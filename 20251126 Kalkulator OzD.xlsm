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briela_zapora\Desktop\"/>
    </mc:Choice>
  </mc:AlternateContent>
  <xr:revisionPtr revIDLastSave="0" documentId="13_ncr:1_{3E2676FB-9E64-40FD-B0BF-EF0DCD70C9D7}" xr6:coauthVersionLast="47" xr6:coauthVersionMax="47" xr10:uidLastSave="{00000000-0000-0000-0000-000000000000}"/>
  <bookViews>
    <workbookView xWindow="-110" yWindow="-110" windowWidth="19420" windowHeight="10300" tabRatio="804" xr2:uid="{3C7AB671-D9BF-4757-8508-0A00647B3C12}"/>
  </bookViews>
  <sheets>
    <sheet name="Wstęp" sheetId="12" r:id="rId1"/>
    <sheet name="Założenia" sheetId="5" r:id="rId2"/>
    <sheet name="Wyniki" sheetId="6" r:id="rId3"/>
    <sheet name="Wyniki - porównanie" sheetId="13" r:id="rId4"/>
    <sheet name="Wariant 1" sheetId="2" r:id="rId5"/>
    <sheet name="Wariant 2" sheetId="8" r:id="rId6"/>
    <sheet name="Wariant 3" sheetId="9" r:id="rId7"/>
    <sheet name="Księga założeń" sheetId="7" r:id="rId8"/>
    <sheet name="zakładka techniczna" sheetId="4" state="veryHidden" r:id="rId9"/>
  </sheets>
  <externalReferences>
    <externalReference r:id="rId10"/>
  </externalReferences>
  <definedNames>
    <definedName name="cena.ciepla">'[1]Input Makroekonomia i flagi'!$32:$32</definedName>
    <definedName name="cena.ener.elek">'[1]Input Makroekonomia i flagi'!$31:$31</definedName>
    <definedName name="cena.gate.fee">'[1]Input Makroekonomia i flagi'!$30:$30</definedName>
    <definedName name="cena.uprawnien.pln">'[1]Input Makroekonomia i flagi'!$28:$28</definedName>
    <definedName name="CIT" localSheetId="0">'[1]Input rózne'!$J$27</definedName>
    <definedName name="CIT">'zakładka techniczna'!$Q$12:$BA$12</definedName>
    <definedName name="CPI">'zakładka techniczna'!$Q$9:$BA$9</definedName>
    <definedName name="CPI.skum">'[1]Input Makroekonomia i flagi'!$35:$35</definedName>
    <definedName name="CPIc">'zakładka techniczna'!$Q$10:$BA$10</definedName>
    <definedName name="DSRA.procent">'[1]Input rózne'!$J$78</definedName>
    <definedName name="dyskonto.PSC">[1]VFM!$79:$79</definedName>
    <definedName name="fee.w1">Założenia!$K$190</definedName>
    <definedName name="fee.w2">Założenia!$M$190</definedName>
    <definedName name="fee.w3">Założenia!$O$190</definedName>
    <definedName name="flaga.ETS">'[1]Input Makroekonomia i flagi'!$56:$56</definedName>
    <definedName name="GJ.to.MWh">'[1]Input rózne'!$J$36</definedName>
    <definedName name="irr.diff.w1">Założenia!$K$191</definedName>
    <definedName name="irr.diff.w2">Założenia!$M$191</definedName>
    <definedName name="irr.diff.w3">Założenia!$O$191</definedName>
    <definedName name="IRR.goal.w1">Założenia!$K$188</definedName>
    <definedName name="IRR.goal.w2">Założenia!$M$188</definedName>
    <definedName name="IRR.goal.w3">Założenia!$O$188</definedName>
    <definedName name="IRR.w1">Założenia!$K$189</definedName>
    <definedName name="IRR.w2">Założenia!$M$189</definedName>
    <definedName name="IRR.w3">Założenia!$O$189</definedName>
    <definedName name="min.DSCR">[1]PANEL!$G$24</definedName>
    <definedName name="min.IRR">[1]PANEL!$G$23</definedName>
    <definedName name="OBk.w1">'zakładka techniczna'!$Q$37:$BA$37</definedName>
    <definedName name="OBk.w2">'zakładka techniczna'!$Q$57:$BA$57</definedName>
    <definedName name="OBk.w3">'zakładka techniczna'!$Q$77:$BA$77</definedName>
    <definedName name="OBp.w1">'zakładka techniczna'!$Q$36:$BA$36</definedName>
    <definedName name="OBp.w2">'zakładka techniczna'!$Q$56:$BA$56</definedName>
    <definedName name="OBp.w3">'zakładka techniczna'!$Q$76:$BA$76</definedName>
    <definedName name="_xlnm.Print_Area" localSheetId="7">'Księga założeń'!$A$1:$B$12</definedName>
    <definedName name="_xlnm.Print_Area" localSheetId="0">Wstęp!$A$1:$BQ$43</definedName>
    <definedName name="OBt.w1">'zakładka techniczna'!$Q$38:$BA$38</definedName>
    <definedName name="OBt.w2">'zakładka techniczna'!$Q$58:$BA$58</definedName>
    <definedName name="OBt.w3">'zakładka techniczna'!$Q$78:$BA$78</definedName>
    <definedName name="OEk.w1">'zakładka techniczna'!$Q$41:$BA$41</definedName>
    <definedName name="OEk.w2">'zakładka techniczna'!$Q$61:$BA$61</definedName>
    <definedName name="OEk.w3">'zakładka techniczna'!$Q$81:$BA$81</definedName>
    <definedName name="OEp.w1">'zakładka techniczna'!$Q$40:$BA$40</definedName>
    <definedName name="OEp.w2">'zakładka techniczna'!$Q$60:$BA$60</definedName>
    <definedName name="OEp.w3">'zakładka techniczna'!$Q$80:$BA$80</definedName>
    <definedName name="OEt.w1">'zakładka techniczna'!$Q$42:$BA$42</definedName>
    <definedName name="OEt.w2">'zakładka techniczna'!$Q$62:$BA$62</definedName>
    <definedName name="OEt.w3">'zakładka techniczna'!$Q$82:$BA$82</definedName>
    <definedName name="okres.budowy">'[1]Input Makroekonomia i flagi'!$49:$49</definedName>
    <definedName name="okres.operacyjny">'[1]Input Makroekonomia i flagi'!$50:$50</definedName>
    <definedName name="okres.spłaty.fin">'[1]Input Makroekonomia i flagi'!$60:$60</definedName>
    <definedName name="Okres_Trwałości">'[1]Input Makroekonomia i flagi'!$AA$119:$BL$119</definedName>
    <definedName name="Okres_trwania_Projektu">'[1]Input Makroekonomia i flagi'!$AA$51:$BL$51</definedName>
    <definedName name="OPk.w1">'zakładka techniczna'!$Q$33:$BA$33</definedName>
    <definedName name="OPk.w2">'zakładka techniczna'!$Q$53:$BA$53</definedName>
    <definedName name="OPk.w3">'zakładka techniczna'!$Q$73:$BA$73</definedName>
    <definedName name="OPp.w1">'zakładka techniczna'!$Q$32:$BA$32</definedName>
    <definedName name="OPp.w2">'zakładka techniczna'!$Q$52:$BA$52</definedName>
    <definedName name="OPp.w3">'zakładka techniczna'!$Q$72:$BA$72</definedName>
    <definedName name="OPt.w1">'zakładka techniczna'!$Q$34:$BA$34</definedName>
    <definedName name="OPt.w2">'zakładka techniczna'!$Q$54:$BA$54</definedName>
    <definedName name="OPt.w3">'zakładka techniczna'!$Q$74:$BA$74</definedName>
    <definedName name="PPPk.w1">'zakładka techniczna'!$Q$45:$BA$45</definedName>
    <definedName name="PPPk.w2">'zakładka techniczna'!$Q$65:$BA$65</definedName>
    <definedName name="PPPk.w3">'zakładka techniczna'!$Q$85:$BA$85</definedName>
    <definedName name="PPPp.w1">'zakładka techniczna'!$Q$44:$BA$44</definedName>
    <definedName name="PPPp.w2">'zakładka techniczna'!$Q$64:$BA$64</definedName>
    <definedName name="PPPp.w3">'zakładka techniczna'!$Q$84:$BA$84</definedName>
    <definedName name="PPPt.w1">'zakładka techniczna'!$Q$46:$BA$46</definedName>
    <definedName name="PPPt.w2">'zakładka techniczna'!$Q$66:$BA$66</definedName>
    <definedName name="PPPt.w3">'zakładka techniczna'!$Q$86:$BA$86</definedName>
    <definedName name="stopa.hedge.wibor">[1]PANEL!$G$36</definedName>
    <definedName name="VAT" localSheetId="0">'[1]Input rózne'!$J$26</definedName>
    <definedName name="VAT">'zakładka techniczna'!$Q$13:$BA$13</definedName>
    <definedName name="w.1">Założenia!$K$6</definedName>
    <definedName name="w.2">Założenia!$M$6</definedName>
    <definedName name="w.3">Założenia!$O$6</definedName>
    <definedName name="wariant">[1]PANEL!$G$19</definedName>
    <definedName name="WIBOR">'[1]Input Makroekonomia i flagi'!$23:$23</definedName>
    <definedName name="wyniki_copy">[1]Wyniki!$D$28:$D$84,[1]Wyniki!$D$94:$D$103,[1]Wyniki!$D$110:$D$122</definedName>
    <definedName name="zm.capex">[1]Calc!$653:$653</definedName>
    <definedName name="zm.cen.cieplo">[1]Calc!$655:$655</definedName>
    <definedName name="zm.cen.gatefee">[1]Calc!$657:$657</definedName>
    <definedName name="zm.cen.mat.skum">'[1]Input Makroekonomia i flagi'!$37:$37</definedName>
    <definedName name="zm.cen.prad">[1]Calc!$656:$656</definedName>
    <definedName name="zm.opex">[1]Calc!$654:$654</definedName>
    <definedName name="zm.wynagr.skum">'[1]Input Makroekonomia i flagi'!$36:$36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11" i="4" l="1"/>
  <c r="N2" i="13"/>
  <c r="Q1" i="13"/>
  <c r="K26" i="5"/>
  <c r="I190" i="5"/>
  <c r="O188" i="5"/>
  <c r="M188" i="5"/>
  <c r="K188" i="5"/>
  <c r="B3" i="7"/>
  <c r="B10" i="7"/>
  <c r="B4" i="7" l="1"/>
  <c r="BA11" i="4"/>
  <c r="AZ11" i="4"/>
  <c r="AY11" i="4"/>
  <c r="AX11" i="4"/>
  <c r="AW11" i="4"/>
  <c r="AV11" i="4"/>
  <c r="AU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I125" i="5" l="1"/>
  <c r="I86" i="5"/>
  <c r="O17" i="5" l="1"/>
  <c r="M17" i="5"/>
  <c r="K17" i="5"/>
  <c r="I44" i="5"/>
  <c r="I168" i="5"/>
  <c r="I167" i="5"/>
  <c r="M20" i="5"/>
  <c r="M23" i="5" s="1"/>
  <c r="M26" i="5"/>
  <c r="M29" i="5" s="1"/>
  <c r="Q10" i="4" l="1"/>
  <c r="N2" i="9"/>
  <c r="N2" i="8"/>
  <c r="N2" i="2"/>
  <c r="N2" i="6"/>
  <c r="J46" i="5"/>
  <c r="J47" i="5" s="1"/>
  <c r="J48" i="5" s="1"/>
  <c r="J49" i="5" s="1"/>
  <c r="J50" i="5" s="1"/>
  <c r="J51" i="5" s="1"/>
  <c r="J52" i="5" s="1"/>
  <c r="J53" i="5" s="1"/>
  <c r="J54" i="5" s="1"/>
  <c r="J55" i="5" s="1"/>
  <c r="J56" i="5" s="1"/>
  <c r="J57" i="5" s="1"/>
  <c r="J58" i="5" s="1"/>
  <c r="J59" i="5" s="1"/>
  <c r="J60" i="5" s="1"/>
  <c r="J61" i="5" s="1"/>
  <c r="J62" i="5" s="1"/>
  <c r="J63" i="5" s="1"/>
  <c r="J64" i="5" s="1"/>
  <c r="J65" i="5" s="1"/>
  <c r="J66" i="5" s="1"/>
  <c r="J67" i="5" s="1"/>
  <c r="J68" i="5" s="1"/>
  <c r="J69" i="5" s="1"/>
  <c r="J70" i="5" s="1"/>
  <c r="J71" i="5" s="1"/>
  <c r="J72" i="5" s="1"/>
  <c r="J73" i="5" s="1"/>
  <c r="J74" i="5" s="1"/>
  <c r="J75" i="5" s="1"/>
  <c r="J76" i="5" s="1"/>
  <c r="J77" i="5" s="1"/>
  <c r="J78" i="5" s="1"/>
  <c r="J79" i="5" s="1"/>
  <c r="J80" i="5" s="1"/>
  <c r="J81" i="5" s="1"/>
  <c r="BA150" i="9"/>
  <c r="AZ150" i="9"/>
  <c r="AY150" i="9"/>
  <c r="AX150" i="9"/>
  <c r="AW150" i="9"/>
  <c r="AV150" i="9"/>
  <c r="AU150" i="9"/>
  <c r="AT150" i="9"/>
  <c r="AS150" i="9"/>
  <c r="AR150" i="9"/>
  <c r="AQ150" i="9"/>
  <c r="AP150" i="9"/>
  <c r="AO150" i="9"/>
  <c r="AN150" i="9"/>
  <c r="AM150" i="9"/>
  <c r="AL150" i="9"/>
  <c r="AK150" i="9"/>
  <c r="AJ150" i="9"/>
  <c r="AI150" i="9"/>
  <c r="AH150" i="9"/>
  <c r="AG150" i="9"/>
  <c r="AF150" i="9"/>
  <c r="AE150" i="9"/>
  <c r="AD150" i="9"/>
  <c r="AC150" i="9"/>
  <c r="AB150" i="9"/>
  <c r="AA150" i="9"/>
  <c r="Z150" i="9"/>
  <c r="Y150" i="9"/>
  <c r="X150" i="9"/>
  <c r="W150" i="9"/>
  <c r="V150" i="9"/>
  <c r="U150" i="9"/>
  <c r="T150" i="9"/>
  <c r="S150" i="9"/>
  <c r="R150" i="9"/>
  <c r="Q150" i="9"/>
  <c r="BA149" i="9"/>
  <c r="AZ149" i="9"/>
  <c r="AY149" i="9"/>
  <c r="AX149" i="9"/>
  <c r="AW149" i="9"/>
  <c r="AV149" i="9"/>
  <c r="AU149" i="9"/>
  <c r="AT149" i="9"/>
  <c r="AS149" i="9"/>
  <c r="AR149" i="9"/>
  <c r="AQ149" i="9"/>
  <c r="AP149" i="9"/>
  <c r="AO149" i="9"/>
  <c r="AN149" i="9"/>
  <c r="AM149" i="9"/>
  <c r="AL149" i="9"/>
  <c r="AK149" i="9"/>
  <c r="AJ149" i="9"/>
  <c r="AI149" i="9"/>
  <c r="AH149" i="9"/>
  <c r="AG149" i="9"/>
  <c r="AF149" i="9"/>
  <c r="AE149" i="9"/>
  <c r="AD149" i="9"/>
  <c r="AC149" i="9"/>
  <c r="AB149" i="9"/>
  <c r="AA149" i="9"/>
  <c r="Z149" i="9"/>
  <c r="Y149" i="9"/>
  <c r="X149" i="9"/>
  <c r="W149" i="9"/>
  <c r="V149" i="9"/>
  <c r="U149" i="9"/>
  <c r="T149" i="9"/>
  <c r="S149" i="9"/>
  <c r="R149" i="9"/>
  <c r="Q149" i="9"/>
  <c r="BA148" i="9"/>
  <c r="AZ148" i="9"/>
  <c r="AY148" i="9"/>
  <c r="AX148" i="9"/>
  <c r="AW148" i="9"/>
  <c r="AV148" i="9"/>
  <c r="AU148" i="9"/>
  <c r="AT148" i="9"/>
  <c r="AS148" i="9"/>
  <c r="AR148" i="9"/>
  <c r="AQ148" i="9"/>
  <c r="AP148" i="9"/>
  <c r="AO148" i="9"/>
  <c r="AN148" i="9"/>
  <c r="AM148" i="9"/>
  <c r="AL148" i="9"/>
  <c r="AK148" i="9"/>
  <c r="AJ148" i="9"/>
  <c r="AI148" i="9"/>
  <c r="AH148" i="9"/>
  <c r="AG148" i="9"/>
  <c r="AF148" i="9"/>
  <c r="AE148" i="9"/>
  <c r="AD148" i="9"/>
  <c r="AC148" i="9"/>
  <c r="AB148" i="9"/>
  <c r="AA148" i="9"/>
  <c r="Z148" i="9"/>
  <c r="Y148" i="9"/>
  <c r="X148" i="9"/>
  <c r="W148" i="9"/>
  <c r="V148" i="9"/>
  <c r="U148" i="9"/>
  <c r="T148" i="9"/>
  <c r="S148" i="9"/>
  <c r="R148" i="9"/>
  <c r="Q148" i="9"/>
  <c r="N137" i="9"/>
  <c r="BA134" i="9"/>
  <c r="AZ134" i="9"/>
  <c r="AY134" i="9"/>
  <c r="AX134" i="9"/>
  <c r="AW134" i="9"/>
  <c r="AV134" i="9"/>
  <c r="AU134" i="9"/>
  <c r="AT134" i="9"/>
  <c r="AS134" i="9"/>
  <c r="AR134" i="9"/>
  <c r="AQ134" i="9"/>
  <c r="AP134" i="9"/>
  <c r="AO134" i="9"/>
  <c r="AN134" i="9"/>
  <c r="AM134" i="9"/>
  <c r="AL134" i="9"/>
  <c r="AK134" i="9"/>
  <c r="AJ134" i="9"/>
  <c r="AI134" i="9"/>
  <c r="AH134" i="9"/>
  <c r="AG134" i="9"/>
  <c r="AF134" i="9"/>
  <c r="AE134" i="9"/>
  <c r="AD134" i="9"/>
  <c r="AC134" i="9"/>
  <c r="AB134" i="9"/>
  <c r="AA134" i="9"/>
  <c r="Z134" i="9"/>
  <c r="Y134" i="9"/>
  <c r="X134" i="9"/>
  <c r="W134" i="9"/>
  <c r="V134" i="9"/>
  <c r="U134" i="9"/>
  <c r="T134" i="9"/>
  <c r="S134" i="9"/>
  <c r="R134" i="9"/>
  <c r="Q134" i="9"/>
  <c r="BA133" i="9"/>
  <c r="AZ133" i="9"/>
  <c r="AY133" i="9"/>
  <c r="AX133" i="9"/>
  <c r="AW133" i="9"/>
  <c r="AV133" i="9"/>
  <c r="AU133" i="9"/>
  <c r="AT133" i="9"/>
  <c r="AS133" i="9"/>
  <c r="AR133" i="9"/>
  <c r="AQ133" i="9"/>
  <c r="AP133" i="9"/>
  <c r="AO133" i="9"/>
  <c r="AN133" i="9"/>
  <c r="AM133" i="9"/>
  <c r="AL133" i="9"/>
  <c r="AK133" i="9"/>
  <c r="AJ133" i="9"/>
  <c r="AI133" i="9"/>
  <c r="AH133" i="9"/>
  <c r="AG133" i="9"/>
  <c r="AF133" i="9"/>
  <c r="AE133" i="9"/>
  <c r="AD133" i="9"/>
  <c r="AC133" i="9"/>
  <c r="AB133" i="9"/>
  <c r="AA133" i="9"/>
  <c r="Z133" i="9"/>
  <c r="Y133" i="9"/>
  <c r="X133" i="9"/>
  <c r="W133" i="9"/>
  <c r="V133" i="9"/>
  <c r="U133" i="9"/>
  <c r="T133" i="9"/>
  <c r="S133" i="9"/>
  <c r="R133" i="9"/>
  <c r="Q133" i="9"/>
  <c r="N120" i="9"/>
  <c r="N112" i="9"/>
  <c r="N65" i="9"/>
  <c r="N57" i="9"/>
  <c r="Q1" i="9"/>
  <c r="Q85" i="4"/>
  <c r="Q84" i="4"/>
  <c r="Q86" i="4" s="1" a="1"/>
  <c r="Q86" i="4" s="1"/>
  <c r="Q81" i="4"/>
  <c r="Q77" i="4"/>
  <c r="Q73" i="4"/>
  <c r="Q72" i="4"/>
  <c r="Q74" i="4" s="1" a="1"/>
  <c r="Q74" i="4" s="1"/>
  <c r="Q65" i="4"/>
  <c r="Q64" i="4"/>
  <c r="Q66" i="4" s="1" a="1"/>
  <c r="Q66" i="4" s="1"/>
  <c r="Q61" i="4"/>
  <c r="Q57" i="4"/>
  <c r="Q53" i="4"/>
  <c r="Q52" i="4"/>
  <c r="Q54" i="4" s="1" a="1"/>
  <c r="Q54" i="4" s="1"/>
  <c r="BA150" i="8"/>
  <c r="AZ150" i="8"/>
  <c r="AY150" i="8"/>
  <c r="AX150" i="8"/>
  <c r="AW150" i="8"/>
  <c r="AV150" i="8"/>
  <c r="AU150" i="8"/>
  <c r="AT150" i="8"/>
  <c r="AS150" i="8"/>
  <c r="AR150" i="8"/>
  <c r="AQ150" i="8"/>
  <c r="AP150" i="8"/>
  <c r="AO150" i="8"/>
  <c r="AN150" i="8"/>
  <c r="AM150" i="8"/>
  <c r="AL150" i="8"/>
  <c r="AK150" i="8"/>
  <c r="AJ150" i="8"/>
  <c r="AI150" i="8"/>
  <c r="AH150" i="8"/>
  <c r="AG150" i="8"/>
  <c r="AF150" i="8"/>
  <c r="AE150" i="8"/>
  <c r="AD150" i="8"/>
  <c r="AC150" i="8"/>
  <c r="AB150" i="8"/>
  <c r="AA150" i="8"/>
  <c r="Z150" i="8"/>
  <c r="Y150" i="8"/>
  <c r="X150" i="8"/>
  <c r="W150" i="8"/>
  <c r="V150" i="8"/>
  <c r="U150" i="8"/>
  <c r="T150" i="8"/>
  <c r="S150" i="8"/>
  <c r="R150" i="8"/>
  <c r="Q150" i="8"/>
  <c r="BA149" i="8"/>
  <c r="AZ149" i="8"/>
  <c r="AY149" i="8"/>
  <c r="AX149" i="8"/>
  <c r="AW149" i="8"/>
  <c r="AV149" i="8"/>
  <c r="AU149" i="8"/>
  <c r="AT149" i="8"/>
  <c r="AS149" i="8"/>
  <c r="AR149" i="8"/>
  <c r="AQ149" i="8"/>
  <c r="AP149" i="8"/>
  <c r="AO149" i="8"/>
  <c r="AN149" i="8"/>
  <c r="AM149" i="8"/>
  <c r="AL149" i="8"/>
  <c r="AK149" i="8"/>
  <c r="AJ149" i="8"/>
  <c r="AI149" i="8"/>
  <c r="AH149" i="8"/>
  <c r="AG149" i="8"/>
  <c r="AF149" i="8"/>
  <c r="AE149" i="8"/>
  <c r="AD149" i="8"/>
  <c r="AC149" i="8"/>
  <c r="AB149" i="8"/>
  <c r="AA149" i="8"/>
  <c r="Z149" i="8"/>
  <c r="Y149" i="8"/>
  <c r="X149" i="8"/>
  <c r="W149" i="8"/>
  <c r="V149" i="8"/>
  <c r="U149" i="8"/>
  <c r="T149" i="8"/>
  <c r="S149" i="8"/>
  <c r="R149" i="8"/>
  <c r="Q149" i="8"/>
  <c r="BA148" i="8"/>
  <c r="AZ148" i="8"/>
  <c r="AY148" i="8"/>
  <c r="AX148" i="8"/>
  <c r="AW148" i="8"/>
  <c r="AV148" i="8"/>
  <c r="AU148" i="8"/>
  <c r="AT148" i="8"/>
  <c r="AS148" i="8"/>
  <c r="AR148" i="8"/>
  <c r="AQ148" i="8"/>
  <c r="AP148" i="8"/>
  <c r="AO148" i="8"/>
  <c r="AN148" i="8"/>
  <c r="AM148" i="8"/>
  <c r="AL148" i="8"/>
  <c r="AK148" i="8"/>
  <c r="AJ148" i="8"/>
  <c r="AI148" i="8"/>
  <c r="AH148" i="8"/>
  <c r="AG148" i="8"/>
  <c r="AF148" i="8"/>
  <c r="AE148" i="8"/>
  <c r="AD148" i="8"/>
  <c r="AC148" i="8"/>
  <c r="AB148" i="8"/>
  <c r="AA148" i="8"/>
  <c r="Z148" i="8"/>
  <c r="Y148" i="8"/>
  <c r="X148" i="8"/>
  <c r="W148" i="8"/>
  <c r="V148" i="8"/>
  <c r="U148" i="8"/>
  <c r="T148" i="8"/>
  <c r="S148" i="8"/>
  <c r="R148" i="8"/>
  <c r="Q148" i="8"/>
  <c r="N137" i="8"/>
  <c r="BA134" i="8"/>
  <c r="AZ134" i="8"/>
  <c r="AY134" i="8"/>
  <c r="AX134" i="8"/>
  <c r="AW134" i="8"/>
  <c r="AV134" i="8"/>
  <c r="AU134" i="8"/>
  <c r="AT134" i="8"/>
  <c r="AS134" i="8"/>
  <c r="AR134" i="8"/>
  <c r="AQ134" i="8"/>
  <c r="AP134" i="8"/>
  <c r="AO134" i="8"/>
  <c r="AN134" i="8"/>
  <c r="AM134" i="8"/>
  <c r="AL134" i="8"/>
  <c r="AK134" i="8"/>
  <c r="AJ134" i="8"/>
  <c r="AI134" i="8"/>
  <c r="AH134" i="8"/>
  <c r="AG134" i="8"/>
  <c r="AF134" i="8"/>
  <c r="AE134" i="8"/>
  <c r="AD134" i="8"/>
  <c r="AC134" i="8"/>
  <c r="AB134" i="8"/>
  <c r="AA134" i="8"/>
  <c r="Z134" i="8"/>
  <c r="Y134" i="8"/>
  <c r="X134" i="8"/>
  <c r="W134" i="8"/>
  <c r="V134" i="8"/>
  <c r="U134" i="8"/>
  <c r="T134" i="8"/>
  <c r="S134" i="8"/>
  <c r="R134" i="8"/>
  <c r="Q134" i="8"/>
  <c r="BA133" i="8"/>
  <c r="AZ133" i="8"/>
  <c r="AY133" i="8"/>
  <c r="AX133" i="8"/>
  <c r="AW133" i="8"/>
  <c r="AV133" i="8"/>
  <c r="AU133" i="8"/>
  <c r="AT133" i="8"/>
  <c r="AS133" i="8"/>
  <c r="AR133" i="8"/>
  <c r="AQ133" i="8"/>
  <c r="AP133" i="8"/>
  <c r="AO133" i="8"/>
  <c r="AN133" i="8"/>
  <c r="AM133" i="8"/>
  <c r="AL133" i="8"/>
  <c r="AK133" i="8"/>
  <c r="AJ133" i="8"/>
  <c r="AI133" i="8"/>
  <c r="AH133" i="8"/>
  <c r="AG133" i="8"/>
  <c r="AF133" i="8"/>
  <c r="AE133" i="8"/>
  <c r="AD133" i="8"/>
  <c r="AC133" i="8"/>
  <c r="AB133" i="8"/>
  <c r="AA133" i="8"/>
  <c r="Z133" i="8"/>
  <c r="Y133" i="8"/>
  <c r="X133" i="8"/>
  <c r="W133" i="8"/>
  <c r="V133" i="8"/>
  <c r="U133" i="8"/>
  <c r="T133" i="8"/>
  <c r="S133" i="8"/>
  <c r="R133" i="8"/>
  <c r="Q133" i="8"/>
  <c r="N120" i="8"/>
  <c r="N112" i="8"/>
  <c r="N65" i="8"/>
  <c r="N57" i="8"/>
  <c r="Q1" i="8"/>
  <c r="Q264" i="13" l="1"/>
  <c r="Q265" i="13"/>
  <c r="Q228" i="13"/>
  <c r="Q229" i="13"/>
  <c r="Q74" i="8"/>
  <c r="Q74" i="9"/>
  <c r="Q60" i="4"/>
  <c r="Q56" i="4"/>
  <c r="Q58" i="4" s="1" a="1"/>
  <c r="Q58" i="4" s="1"/>
  <c r="Q126" i="6" l="1"/>
  <c r="Q125" i="6"/>
  <c r="Q225" i="13"/>
  <c r="Q226" i="13"/>
  <c r="Q62" i="4" a="1"/>
  <c r="Q62" i="4" s="1"/>
  <c r="Q127" i="8"/>
  <c r="Q77" i="8" l="1"/>
  <c r="Q73" i="8"/>
  <c r="Q45" i="4" l="1"/>
  <c r="Q44" i="4"/>
  <c r="Q41" i="4"/>
  <c r="Q37" i="4"/>
  <c r="Q33" i="4"/>
  <c r="Q32" i="4"/>
  <c r="O177" i="5" l="1"/>
  <c r="O175" i="5" s="1"/>
  <c r="M177" i="5"/>
  <c r="M175" i="5" s="1"/>
  <c r="Q155" i="8" s="1"/>
  <c r="N57" i="2"/>
  <c r="N137" i="2"/>
  <c r="N120" i="2"/>
  <c r="N112" i="2"/>
  <c r="N65" i="2"/>
  <c r="K177" i="5" l="1"/>
  <c r="K175" i="5" s="1"/>
  <c r="Q169" i="8" l="1"/>
  <c r="Q170" i="8" s="1"/>
  <c r="Q13" i="9"/>
  <c r="Q158" i="9"/>
  <c r="Q164" i="9"/>
  <c r="Q97" i="9"/>
  <c r="Q145" i="6" s="1"/>
  <c r="Q40" i="9"/>
  <c r="Q164" i="8"/>
  <c r="Q97" i="8"/>
  <c r="Q111" i="6" s="1"/>
  <c r="Q40" i="8"/>
  <c r="Q13" i="8"/>
  <c r="Q158" i="8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Q209" i="13" l="1"/>
  <c r="Q245" i="13"/>
  <c r="Q107" i="8"/>
  <c r="Q112" i="6" s="1"/>
  <c r="Q107" i="9"/>
  <c r="Q146" i="6" s="1"/>
  <c r="N20" i="4"/>
  <c r="B9" i="7" s="1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O26" i="5"/>
  <c r="O29" i="5" s="1"/>
  <c r="K29" i="5"/>
  <c r="O20" i="5"/>
  <c r="O23" i="5" s="1"/>
  <c r="K20" i="5"/>
  <c r="Q246" i="13" l="1"/>
  <c r="Q244" i="13" s="1"/>
  <c r="Q210" i="13"/>
  <c r="Q208" i="13" s="1"/>
  <c r="K23" i="5"/>
  <c r="Q76" i="4"/>
  <c r="Q80" i="4"/>
  <c r="Q144" i="6"/>
  <c r="Q110" i="6"/>
  <c r="Q68" i="4"/>
  <c r="Q36" i="4"/>
  <c r="Q40" i="4"/>
  <c r="J88" i="5"/>
  <c r="J127" i="5"/>
  <c r="I43" i="5"/>
  <c r="Q160" i="6" l="1"/>
  <c r="Q159" i="6"/>
  <c r="Q91" i="6"/>
  <c r="Q92" i="6"/>
  <c r="Q155" i="9"/>
  <c r="Q261" i="13"/>
  <c r="Q262" i="13"/>
  <c r="Q155" i="2"/>
  <c r="Q189" i="13"/>
  <c r="Q43" i="13" s="1"/>
  <c r="Q190" i="13"/>
  <c r="Q44" i="13" s="1"/>
  <c r="Q127" i="9"/>
  <c r="Q82" i="4" a="1"/>
  <c r="Q82" i="4" s="1"/>
  <c r="Q73" i="9" s="1"/>
  <c r="Q78" i="4" a="1"/>
  <c r="Q78" i="4" s="1"/>
  <c r="Q2" i="8"/>
  <c r="J128" i="5"/>
  <c r="J129" i="5" s="1"/>
  <c r="J130" i="5" s="1"/>
  <c r="J131" i="5" s="1"/>
  <c r="J132" i="5" s="1"/>
  <c r="J133" i="5" s="1"/>
  <c r="J134" i="5" s="1"/>
  <c r="J135" i="5" s="1"/>
  <c r="J136" i="5" s="1"/>
  <c r="J137" i="5" s="1"/>
  <c r="J138" i="5" s="1"/>
  <c r="J139" i="5" s="1"/>
  <c r="J140" i="5" s="1"/>
  <c r="J141" i="5" s="1"/>
  <c r="J142" i="5" s="1"/>
  <c r="J143" i="5" s="1"/>
  <c r="J144" i="5" s="1"/>
  <c r="J145" i="5" s="1"/>
  <c r="J146" i="5" s="1"/>
  <c r="J147" i="5" s="1"/>
  <c r="J148" i="5" s="1"/>
  <c r="J149" i="5" s="1"/>
  <c r="J150" i="5" s="1"/>
  <c r="J151" i="5" s="1"/>
  <c r="J152" i="5" s="1"/>
  <c r="J153" i="5" s="1"/>
  <c r="J154" i="5" s="1"/>
  <c r="J155" i="5" s="1"/>
  <c r="J156" i="5" s="1"/>
  <c r="J157" i="5" s="1"/>
  <c r="J158" i="5" s="1"/>
  <c r="J159" i="5" s="1"/>
  <c r="J160" i="5" s="1"/>
  <c r="J161" i="5" s="1"/>
  <c r="J162" i="5" s="1"/>
  <c r="J89" i="5"/>
  <c r="J90" i="5" s="1"/>
  <c r="J91" i="5" s="1"/>
  <c r="J92" i="5" s="1"/>
  <c r="J93" i="5" s="1"/>
  <c r="J94" i="5" s="1"/>
  <c r="J95" i="5" s="1"/>
  <c r="J96" i="5" s="1"/>
  <c r="J97" i="5" s="1"/>
  <c r="J98" i="5" s="1"/>
  <c r="J99" i="5" s="1"/>
  <c r="J100" i="5" s="1"/>
  <c r="J101" i="5" s="1"/>
  <c r="J102" i="5" s="1"/>
  <c r="J103" i="5" s="1"/>
  <c r="J104" i="5" s="1"/>
  <c r="J105" i="5" s="1"/>
  <c r="J106" i="5" s="1"/>
  <c r="J107" i="5" s="1"/>
  <c r="J108" i="5" s="1"/>
  <c r="J109" i="5" s="1"/>
  <c r="J110" i="5" s="1"/>
  <c r="J111" i="5" s="1"/>
  <c r="J112" i="5" s="1"/>
  <c r="J113" i="5" s="1"/>
  <c r="J114" i="5" s="1"/>
  <c r="J115" i="5" s="1"/>
  <c r="J116" i="5" s="1"/>
  <c r="J117" i="5" s="1"/>
  <c r="J118" i="5" s="1"/>
  <c r="J119" i="5" s="1"/>
  <c r="J120" i="5" s="1"/>
  <c r="J121" i="5" s="1"/>
  <c r="J122" i="5" s="1"/>
  <c r="J123" i="5" s="1"/>
  <c r="I36" i="5"/>
  <c r="I35" i="5"/>
  <c r="I34" i="5"/>
  <c r="Q88" i="4" l="1"/>
  <c r="Q2" i="9" s="1"/>
  <c r="Q169" i="9"/>
  <c r="Q77" i="9"/>
  <c r="Q100" i="9" s="1"/>
  <c r="Q154" i="6" s="1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Q254" i="13" l="1"/>
  <c r="Q170" i="9"/>
  <c r="Q168" i="9" s="1"/>
  <c r="Q96" i="9"/>
  <c r="Q165" i="9"/>
  <c r="Q72" i="9"/>
  <c r="Q41" i="9"/>
  <c r="Q14" i="9"/>
  <c r="Q157" i="9"/>
  <c r="Q168" i="8"/>
  <c r="Q250" i="13" l="1"/>
  <c r="Q150" i="6"/>
  <c r="Q104" i="9"/>
  <c r="Q81" i="9"/>
  <c r="Q171" i="9"/>
  <c r="Q106" i="9"/>
  <c r="Q156" i="9"/>
  <c r="Q95" i="9"/>
  <c r="Q8" i="9" s="1"/>
  <c r="Q104" i="8"/>
  <c r="Q81" i="8"/>
  <c r="Q171" i="8"/>
  <c r="Q251" i="13" l="1"/>
  <c r="Q263" i="13" s="1"/>
  <c r="Q151" i="6"/>
  <c r="Q161" i="6" s="1"/>
  <c r="Q82" i="9"/>
  <c r="Q154" i="9"/>
  <c r="Q43" i="9" s="1"/>
  <c r="Q80" i="9"/>
  <c r="Q125" i="9"/>
  <c r="Q105" i="9"/>
  <c r="Q125" i="8"/>
  <c r="Q80" i="8"/>
  <c r="Q1" i="6"/>
  <c r="Q249" i="13" l="1"/>
  <c r="Q128" i="6"/>
  <c r="Q163" i="6"/>
  <c r="Q162" i="6"/>
  <c r="Q129" i="6"/>
  <c r="Q149" i="6"/>
  <c r="Q79" i="9"/>
  <c r="Q78" i="9" s="1"/>
  <c r="Q79" i="8"/>
  <c r="Q38" i="4" a="1"/>
  <c r="Q38" i="4" s="1"/>
  <c r="Q1" i="2"/>
  <c r="Q74" i="2" s="1"/>
  <c r="Q34" i="4" a="1"/>
  <c r="Q34" i="4" s="1"/>
  <c r="R1" i="4"/>
  <c r="R1" i="13" s="1"/>
  <c r="R1" i="9" l="1"/>
  <c r="R84" i="4"/>
  <c r="R77" i="4"/>
  <c r="R65" i="4"/>
  <c r="R61" i="4"/>
  <c r="R52" i="4"/>
  <c r="R57" i="4"/>
  <c r="R85" i="4"/>
  <c r="R81" i="4"/>
  <c r="R73" i="4"/>
  <c r="R64" i="4"/>
  <c r="R53" i="4"/>
  <c r="R1" i="8"/>
  <c r="R72" i="4"/>
  <c r="R10" i="4"/>
  <c r="R60" i="4"/>
  <c r="R56" i="4"/>
  <c r="R76" i="4"/>
  <c r="R80" i="4"/>
  <c r="R33" i="4"/>
  <c r="R44" i="4"/>
  <c r="R37" i="4"/>
  <c r="R45" i="4"/>
  <c r="R41" i="4"/>
  <c r="R32" i="4"/>
  <c r="R36" i="4"/>
  <c r="R40" i="4"/>
  <c r="R1" i="6"/>
  <c r="Q127" i="2"/>
  <c r="Q46" i="4" a="1"/>
  <c r="Q46" i="4" s="1"/>
  <c r="Q42" i="4" a="1"/>
  <c r="Q42" i="4" s="1"/>
  <c r="Q73" i="2" s="1"/>
  <c r="S1" i="4"/>
  <c r="S1" i="13" s="1"/>
  <c r="R1" i="2"/>
  <c r="R159" i="6" l="1"/>
  <c r="R160" i="6"/>
  <c r="Q94" i="6"/>
  <c r="Q95" i="6"/>
  <c r="R126" i="6"/>
  <c r="R125" i="6"/>
  <c r="R92" i="6"/>
  <c r="R91" i="6"/>
  <c r="Q192" i="13"/>
  <c r="Q46" i="13" s="1"/>
  <c r="Q193" i="13"/>
  <c r="Q47" i="13" s="1"/>
  <c r="R261" i="13"/>
  <c r="R262" i="13"/>
  <c r="R189" i="13"/>
  <c r="R43" i="13" s="1"/>
  <c r="R190" i="13"/>
  <c r="R44" i="13" s="1"/>
  <c r="R226" i="13"/>
  <c r="R225" i="13"/>
  <c r="R58" i="4" a="1"/>
  <c r="R58" i="4" s="1"/>
  <c r="R74" i="9"/>
  <c r="R127" i="8"/>
  <c r="R62" i="4" a="1"/>
  <c r="R62" i="4" s="1"/>
  <c r="R73" i="8" s="1"/>
  <c r="R78" i="4" a="1"/>
  <c r="R78" i="4" s="1"/>
  <c r="R54" i="4" a="1"/>
  <c r="R54" i="4" s="1"/>
  <c r="S84" i="4"/>
  <c r="S86" i="4" s="1" a="1"/>
  <c r="S86" i="4" s="1"/>
  <c r="S77" i="4"/>
  <c r="S72" i="4"/>
  <c r="S65" i="4"/>
  <c r="S61" i="4"/>
  <c r="S52" i="4"/>
  <c r="S85" i="4"/>
  <c r="S81" i="4"/>
  <c r="S73" i="4"/>
  <c r="S64" i="4"/>
  <c r="S57" i="4"/>
  <c r="S53" i="4"/>
  <c r="S1" i="8"/>
  <c r="S1" i="9"/>
  <c r="S56" i="4"/>
  <c r="S58" i="4" s="1" a="1"/>
  <c r="S58" i="4" s="1"/>
  <c r="S60" i="4"/>
  <c r="S10" i="4"/>
  <c r="S80" i="4"/>
  <c r="S76" i="4"/>
  <c r="R86" i="4" a="1"/>
  <c r="R86" i="4" s="1"/>
  <c r="R162" i="6" s="1"/>
  <c r="R74" i="4" a="1"/>
  <c r="R74" i="4" s="1"/>
  <c r="R74" i="8"/>
  <c r="R74" i="2"/>
  <c r="R82" i="4" a="1"/>
  <c r="R82" i="4" s="1"/>
  <c r="R77" i="9" s="1"/>
  <c r="R127" i="9"/>
  <c r="R66" i="4" a="1"/>
  <c r="R66" i="4" s="1"/>
  <c r="R128" i="6" s="1"/>
  <c r="Q48" i="4"/>
  <c r="S37" i="4"/>
  <c r="S45" i="4"/>
  <c r="S32" i="4"/>
  <c r="S34" i="4" s="1" a="1"/>
  <c r="S34" i="4" s="1"/>
  <c r="S41" i="4"/>
  <c r="S44" i="4"/>
  <c r="S33" i="4"/>
  <c r="S40" i="4"/>
  <c r="S36" i="4"/>
  <c r="Q77" i="2"/>
  <c r="Q100" i="2" s="1"/>
  <c r="Q86" i="6" s="1"/>
  <c r="S1" i="6"/>
  <c r="Q97" i="2"/>
  <c r="Q77" i="6" s="1"/>
  <c r="Q164" i="2"/>
  <c r="Q158" i="2"/>
  <c r="Q107" i="2" s="1"/>
  <c r="Q78" i="6" s="1"/>
  <c r="R127" i="2"/>
  <c r="R46" i="4" a="1"/>
  <c r="R46" i="4" s="1"/>
  <c r="T1" i="4"/>
  <c r="T1" i="13" s="1"/>
  <c r="S1" i="2"/>
  <c r="R34" i="4" a="1"/>
  <c r="R34" i="4" s="1"/>
  <c r="R38" i="4" a="1"/>
  <c r="R38" i="4" s="1"/>
  <c r="R42" i="4" a="1"/>
  <c r="R42" i="4" s="1"/>
  <c r="R73" i="2" s="1"/>
  <c r="R129" i="6" l="1"/>
  <c r="R163" i="6"/>
  <c r="S159" i="6"/>
  <c r="S160" i="6"/>
  <c r="S125" i="6"/>
  <c r="S126" i="6"/>
  <c r="S163" i="6"/>
  <c r="S162" i="6"/>
  <c r="R94" i="6"/>
  <c r="R95" i="6"/>
  <c r="S92" i="6"/>
  <c r="S91" i="6"/>
  <c r="Q76" i="6"/>
  <c r="Q182" i="13"/>
  <c r="Q38" i="13" s="1"/>
  <c r="S62" i="4" a="1"/>
  <c r="S62" i="4" s="1"/>
  <c r="S73" i="8" s="1"/>
  <c r="S225" i="13"/>
  <c r="S226" i="13"/>
  <c r="R193" i="13"/>
  <c r="R47" i="13" s="1"/>
  <c r="R192" i="13"/>
  <c r="R46" i="13" s="1"/>
  <c r="Q174" i="13"/>
  <c r="Q30" i="13" s="1"/>
  <c r="S189" i="13"/>
  <c r="S43" i="13" s="1"/>
  <c r="S190" i="13"/>
  <c r="S44" i="13" s="1"/>
  <c r="R228" i="13"/>
  <c r="R229" i="13"/>
  <c r="R265" i="13"/>
  <c r="R264" i="13"/>
  <c r="Q173" i="13"/>
  <c r="Q29" i="13" s="1"/>
  <c r="S82" i="4" a="1"/>
  <c r="S82" i="4" s="1"/>
  <c r="S73" i="9" s="1"/>
  <c r="S261" i="13"/>
  <c r="S262" i="13"/>
  <c r="S264" i="13"/>
  <c r="S265" i="13"/>
  <c r="R77" i="8"/>
  <c r="R100" i="8" s="1"/>
  <c r="R120" i="6" s="1"/>
  <c r="S74" i="8"/>
  <c r="S74" i="2"/>
  <c r="S66" i="4" a="1"/>
  <c r="S66" i="4" s="1"/>
  <c r="S129" i="6" s="1"/>
  <c r="S127" i="9"/>
  <c r="S127" i="8"/>
  <c r="S78" i="4" a="1"/>
  <c r="S78" i="4" s="1"/>
  <c r="T85" i="4"/>
  <c r="T81" i="4"/>
  <c r="T73" i="4"/>
  <c r="T1" i="8"/>
  <c r="T64" i="4"/>
  <c r="T57" i="4"/>
  <c r="T53" i="4"/>
  <c r="T77" i="4"/>
  <c r="T1" i="9"/>
  <c r="T84" i="4"/>
  <c r="T72" i="4"/>
  <c r="T65" i="4"/>
  <c r="T61" i="4"/>
  <c r="T52" i="4"/>
  <c r="T54" i="4" s="1" a="1"/>
  <c r="T54" i="4" s="1"/>
  <c r="T56" i="4"/>
  <c r="T60" i="4"/>
  <c r="T10" i="4"/>
  <c r="T76" i="4"/>
  <c r="T80" i="4"/>
  <c r="S54" i="4" a="1"/>
  <c r="S54" i="4" s="1"/>
  <c r="R73" i="9"/>
  <c r="R14" i="9" s="1"/>
  <c r="S74" i="4" a="1"/>
  <c r="S74" i="4" s="1"/>
  <c r="S74" i="9"/>
  <c r="R13" i="9"/>
  <c r="R158" i="9"/>
  <c r="R164" i="9"/>
  <c r="R97" i="9"/>
  <c r="R145" i="6" s="1"/>
  <c r="R40" i="9"/>
  <c r="R164" i="8"/>
  <c r="R40" i="8"/>
  <c r="R97" i="8"/>
  <c r="R111" i="6" s="1"/>
  <c r="R158" i="8"/>
  <c r="R13" i="8"/>
  <c r="R100" i="9"/>
  <c r="R154" i="6" s="1"/>
  <c r="R68" i="4"/>
  <c r="R48" i="4"/>
  <c r="Q157" i="8"/>
  <c r="Q165" i="8"/>
  <c r="Q72" i="8"/>
  <c r="Q96" i="8"/>
  <c r="Q116" i="6" s="1"/>
  <c r="Q41" i="8"/>
  <c r="Q14" i="8"/>
  <c r="Q100" i="8"/>
  <c r="Q120" i="6" s="1"/>
  <c r="Q2" i="2"/>
  <c r="R88" i="4"/>
  <c r="R2" i="9" s="1"/>
  <c r="T37" i="4"/>
  <c r="T45" i="4"/>
  <c r="T32" i="4"/>
  <c r="T41" i="4"/>
  <c r="T33" i="4"/>
  <c r="T44" i="4"/>
  <c r="T46" i="4" s="1" a="1"/>
  <c r="T46" i="4" s="1"/>
  <c r="T36" i="4"/>
  <c r="T38" i="4" s="1" a="1"/>
  <c r="T38" i="4" s="1"/>
  <c r="T40" i="4"/>
  <c r="T1" i="6"/>
  <c r="Q96" i="2"/>
  <c r="Q82" i="6" s="1"/>
  <c r="Q165" i="2"/>
  <c r="Q157" i="2"/>
  <c r="R97" i="2"/>
  <c r="R77" i="6" s="1"/>
  <c r="R158" i="2"/>
  <c r="R107" i="2" s="1"/>
  <c r="R78" i="6" s="1"/>
  <c r="R164" i="2"/>
  <c r="Q72" i="2"/>
  <c r="S127" i="2"/>
  <c r="Q14" i="2"/>
  <c r="Q41" i="2"/>
  <c r="R77" i="2"/>
  <c r="Q13" i="2"/>
  <c r="Q40" i="2"/>
  <c r="R13" i="2"/>
  <c r="R40" i="2"/>
  <c r="S42" i="4" a="1"/>
  <c r="S42" i="4" s="1"/>
  <c r="S73" i="2" s="1"/>
  <c r="S38" i="4" a="1"/>
  <c r="S38" i="4" s="1"/>
  <c r="U1" i="4"/>
  <c r="U1" i="13" s="1"/>
  <c r="T1" i="2"/>
  <c r="S46" i="4" a="1"/>
  <c r="S46" i="4" s="1"/>
  <c r="S68" i="4" l="1"/>
  <c r="T160" i="6"/>
  <c r="T159" i="6"/>
  <c r="T125" i="6"/>
  <c r="T126" i="6"/>
  <c r="S128" i="6"/>
  <c r="T94" i="6"/>
  <c r="T95" i="6"/>
  <c r="S94" i="6"/>
  <c r="S95" i="6"/>
  <c r="T91" i="6"/>
  <c r="T92" i="6"/>
  <c r="R76" i="6"/>
  <c r="S77" i="9"/>
  <c r="S100" i="9" s="1"/>
  <c r="S193" i="13"/>
  <c r="S47" i="13" s="1"/>
  <c r="S192" i="13"/>
  <c r="S46" i="13" s="1"/>
  <c r="R174" i="13"/>
  <c r="R30" i="13" s="1"/>
  <c r="T262" i="13"/>
  <c r="T261" i="13"/>
  <c r="T192" i="13"/>
  <c r="T46" i="13" s="1"/>
  <c r="T193" i="13"/>
  <c r="T47" i="13" s="1"/>
  <c r="Q218" i="13"/>
  <c r="T225" i="13"/>
  <c r="T226" i="13"/>
  <c r="S228" i="13"/>
  <c r="S229" i="13"/>
  <c r="Q172" i="13"/>
  <c r="T189" i="13"/>
  <c r="T43" i="13" s="1"/>
  <c r="T190" i="13"/>
  <c r="T44" i="13" s="1"/>
  <c r="S77" i="8"/>
  <c r="R254" i="13"/>
  <c r="R245" i="13"/>
  <c r="Q178" i="13"/>
  <c r="Q34" i="13" s="1"/>
  <c r="R173" i="13"/>
  <c r="R29" i="13" s="1"/>
  <c r="Q214" i="13"/>
  <c r="R218" i="13"/>
  <c r="R209" i="13"/>
  <c r="S88" i="4"/>
  <c r="S2" i="9" s="1"/>
  <c r="R72" i="9"/>
  <c r="R41" i="9"/>
  <c r="T74" i="8"/>
  <c r="T74" i="2"/>
  <c r="R96" i="9"/>
  <c r="R150" i="6" s="1"/>
  <c r="R165" i="9"/>
  <c r="R157" i="9"/>
  <c r="R156" i="9" s="1"/>
  <c r="T58" i="4" a="1"/>
  <c r="T58" i="4" s="1"/>
  <c r="T66" i="4" a="1"/>
  <c r="T66" i="4" s="1"/>
  <c r="T129" i="6" s="1"/>
  <c r="T62" i="4" a="1"/>
  <c r="T62" i="4" s="1"/>
  <c r="T73" i="8" s="1"/>
  <c r="T127" i="9"/>
  <c r="T82" i="4" a="1"/>
  <c r="T82" i="4" s="1"/>
  <c r="T77" i="9" s="1"/>
  <c r="T74" i="4" a="1"/>
  <c r="T74" i="4" s="1"/>
  <c r="T78" i="4" a="1"/>
  <c r="T78" i="4" s="1"/>
  <c r="T86" i="4" a="1"/>
  <c r="T86" i="4" s="1"/>
  <c r="T162" i="6" s="1"/>
  <c r="U65" i="4"/>
  <c r="U61" i="4"/>
  <c r="U52" i="4"/>
  <c r="U85" i="4"/>
  <c r="U81" i="4"/>
  <c r="U73" i="4"/>
  <c r="U64" i="4"/>
  <c r="U66" i="4" s="1" a="1"/>
  <c r="U66" i="4" s="1"/>
  <c r="U57" i="4"/>
  <c r="U53" i="4"/>
  <c r="U1" i="8"/>
  <c r="U1" i="9"/>
  <c r="U84" i="4"/>
  <c r="U77" i="4"/>
  <c r="U72" i="4"/>
  <c r="U74" i="4" s="1" a="1"/>
  <c r="U74" i="4" s="1"/>
  <c r="U56" i="4"/>
  <c r="U60" i="4"/>
  <c r="U10" i="4"/>
  <c r="U80" i="4"/>
  <c r="U76" i="4"/>
  <c r="T74" i="9"/>
  <c r="T127" i="8"/>
  <c r="S48" i="4"/>
  <c r="S2" i="2" s="1"/>
  <c r="R107" i="8"/>
  <c r="R112" i="6" s="1"/>
  <c r="S41" i="9"/>
  <c r="S14" i="9"/>
  <c r="S72" i="9"/>
  <c r="S157" i="9"/>
  <c r="S96" i="9"/>
  <c r="S150" i="6" s="1"/>
  <c r="S165" i="9"/>
  <c r="S158" i="8"/>
  <c r="S107" i="8" s="1"/>
  <c r="S112" i="6" s="1"/>
  <c r="S164" i="8"/>
  <c r="S97" i="8"/>
  <c r="S111" i="6" s="1"/>
  <c r="S13" i="8"/>
  <c r="S40" i="8"/>
  <c r="S40" i="9"/>
  <c r="S158" i="9"/>
  <c r="S107" i="9" s="1"/>
  <c r="S146" i="6" s="1"/>
  <c r="S97" i="9"/>
  <c r="S145" i="6" s="1"/>
  <c r="S164" i="9"/>
  <c r="S13" i="9"/>
  <c r="R107" i="9"/>
  <c r="R146" i="6" s="1"/>
  <c r="R2" i="8"/>
  <c r="S2" i="8"/>
  <c r="S77" i="2"/>
  <c r="S100" i="2" s="1"/>
  <c r="S86" i="6" s="1"/>
  <c r="Q156" i="8"/>
  <c r="Q106" i="8"/>
  <c r="Q117" i="6" s="1"/>
  <c r="Q127" i="6" s="1"/>
  <c r="Q95" i="8"/>
  <c r="R2" i="2"/>
  <c r="R157" i="8"/>
  <c r="R165" i="8"/>
  <c r="R96" i="8"/>
  <c r="R72" i="8"/>
  <c r="R41" i="8"/>
  <c r="R14" i="8"/>
  <c r="U45" i="4"/>
  <c r="U32" i="4"/>
  <c r="U34" i="4" s="1" a="1"/>
  <c r="U34" i="4" s="1"/>
  <c r="U41" i="4"/>
  <c r="U44" i="4"/>
  <c r="U33" i="4"/>
  <c r="U37" i="4"/>
  <c r="U40" i="4"/>
  <c r="U36" i="4"/>
  <c r="U1" i="6"/>
  <c r="S97" i="2"/>
  <c r="S77" i="6" s="1"/>
  <c r="S158" i="2"/>
  <c r="S107" i="2" s="1"/>
  <c r="S78" i="6" s="1"/>
  <c r="S164" i="2"/>
  <c r="R96" i="2"/>
  <c r="R82" i="6" s="1"/>
  <c r="R157" i="2"/>
  <c r="R165" i="2"/>
  <c r="Q95" i="2"/>
  <c r="Q8" i="2" s="1"/>
  <c r="R100" i="2"/>
  <c r="R86" i="6" s="1"/>
  <c r="Q106" i="2"/>
  <c r="Q83" i="6" s="1"/>
  <c r="R72" i="2"/>
  <c r="Q156" i="2"/>
  <c r="T127" i="2"/>
  <c r="R14" i="2"/>
  <c r="R41" i="2"/>
  <c r="T42" i="4" a="1"/>
  <c r="T42" i="4" s="1"/>
  <c r="T73" i="2" s="1"/>
  <c r="T34" i="4" a="1"/>
  <c r="T34" i="4" s="1"/>
  <c r="V1" i="4"/>
  <c r="V1" i="13" s="1"/>
  <c r="U1" i="2"/>
  <c r="U125" i="6" l="1"/>
  <c r="U126" i="6"/>
  <c r="U160" i="6"/>
  <c r="U159" i="6"/>
  <c r="S254" i="13"/>
  <c r="S154" i="6"/>
  <c r="T163" i="6"/>
  <c r="R214" i="13"/>
  <c r="R116" i="6"/>
  <c r="T128" i="6"/>
  <c r="U128" i="6"/>
  <c r="U129" i="6"/>
  <c r="U92" i="6"/>
  <c r="U91" i="6"/>
  <c r="R250" i="13"/>
  <c r="R246" i="13"/>
  <c r="R244" i="13" s="1"/>
  <c r="U261" i="13"/>
  <c r="U262" i="13"/>
  <c r="R178" i="13"/>
  <c r="R34" i="13" s="1"/>
  <c r="R210" i="13"/>
  <c r="R208" i="13" s="1"/>
  <c r="S209" i="13"/>
  <c r="S210" i="13"/>
  <c r="U226" i="13"/>
  <c r="U225" i="13"/>
  <c r="T265" i="13"/>
  <c r="T264" i="13"/>
  <c r="T229" i="13"/>
  <c r="T228" i="13"/>
  <c r="S174" i="13"/>
  <c r="S30" i="13" s="1"/>
  <c r="U189" i="13"/>
  <c r="U43" i="13" s="1"/>
  <c r="U190" i="13"/>
  <c r="U44" i="13" s="1"/>
  <c r="Q215" i="13"/>
  <c r="Q213" i="13" s="1"/>
  <c r="S245" i="13"/>
  <c r="U229" i="13"/>
  <c r="U228" i="13"/>
  <c r="Q28" i="13"/>
  <c r="R182" i="13"/>
  <c r="R38" i="13" s="1"/>
  <c r="S182" i="13"/>
  <c r="S38" i="13" s="1"/>
  <c r="Q179" i="13"/>
  <c r="S173" i="13"/>
  <c r="S29" i="13" s="1"/>
  <c r="S144" i="6"/>
  <c r="S246" i="13"/>
  <c r="S250" i="13"/>
  <c r="R172" i="13"/>
  <c r="R28" i="13"/>
  <c r="R106" i="9"/>
  <c r="R151" i="6" s="1"/>
  <c r="U74" i="2"/>
  <c r="R95" i="9"/>
  <c r="R8" i="9" s="1"/>
  <c r="T77" i="8"/>
  <c r="T100" i="8" s="1"/>
  <c r="T120" i="6" s="1"/>
  <c r="U74" i="8"/>
  <c r="U78" i="4" a="1"/>
  <c r="U78" i="4" s="1"/>
  <c r="U74" i="9"/>
  <c r="T88" i="4"/>
  <c r="T2" i="9" s="1"/>
  <c r="U127" i="9"/>
  <c r="U82" i="4" a="1"/>
  <c r="U82" i="4" s="1"/>
  <c r="U73" i="9" s="1"/>
  <c r="U127" i="8"/>
  <c r="V85" i="4"/>
  <c r="V81" i="4"/>
  <c r="V1" i="8"/>
  <c r="V65" i="4"/>
  <c r="V64" i="4"/>
  <c r="V57" i="4"/>
  <c r="V53" i="4"/>
  <c r="V1" i="9"/>
  <c r="V84" i="4"/>
  <c r="V86" i="4" s="1" a="1"/>
  <c r="V86" i="4" s="1"/>
  <c r="V77" i="4"/>
  <c r="V72" i="4"/>
  <c r="V74" i="4" s="1" a="1"/>
  <c r="V74" i="4" s="1"/>
  <c r="V61" i="4"/>
  <c r="V52" i="4"/>
  <c r="V73" i="4"/>
  <c r="V60" i="4"/>
  <c r="V56" i="4"/>
  <c r="V10" i="4"/>
  <c r="V80" i="4"/>
  <c r="V76" i="4"/>
  <c r="U62" i="4" a="1"/>
  <c r="U62" i="4" s="1"/>
  <c r="U77" i="8" s="1"/>
  <c r="U58" i="4" a="1"/>
  <c r="U58" i="4" s="1"/>
  <c r="T73" i="9"/>
  <c r="T157" i="9" s="1"/>
  <c r="U54" i="4" a="1"/>
  <c r="U54" i="4" s="1"/>
  <c r="U86" i="4" a="1"/>
  <c r="U86" i="4" s="1"/>
  <c r="U163" i="6" s="1"/>
  <c r="R144" i="6"/>
  <c r="R95" i="8"/>
  <c r="R8" i="8" s="1"/>
  <c r="R110" i="6"/>
  <c r="T13" i="9"/>
  <c r="T97" i="9"/>
  <c r="T145" i="6" s="1"/>
  <c r="T40" i="9"/>
  <c r="T164" i="9"/>
  <c r="T158" i="9"/>
  <c r="R82" i="9"/>
  <c r="S95" i="9"/>
  <c r="S8" i="9" s="1"/>
  <c r="S156" i="9"/>
  <c r="S82" i="9" s="1"/>
  <c r="S106" i="9"/>
  <c r="T40" i="8"/>
  <c r="T164" i="8"/>
  <c r="T13" i="8"/>
  <c r="T158" i="8"/>
  <c r="T107" i="8" s="1"/>
  <c r="T112" i="6" s="1"/>
  <c r="T97" i="8"/>
  <c r="T111" i="6" s="1"/>
  <c r="T100" i="9"/>
  <c r="T154" i="6" s="1"/>
  <c r="T68" i="4"/>
  <c r="Q82" i="8"/>
  <c r="Q154" i="8"/>
  <c r="Q105" i="8"/>
  <c r="T48" i="4"/>
  <c r="R156" i="8"/>
  <c r="R82" i="8" s="1"/>
  <c r="R106" i="8"/>
  <c r="S165" i="8"/>
  <c r="S157" i="8"/>
  <c r="S96" i="8"/>
  <c r="S72" i="8"/>
  <c r="S41" i="8"/>
  <c r="S14" i="8"/>
  <c r="Q8" i="8"/>
  <c r="S100" i="8"/>
  <c r="S120" i="6" s="1"/>
  <c r="V32" i="4"/>
  <c r="V34" i="4" s="1" a="1"/>
  <c r="V34" i="4" s="1"/>
  <c r="V41" i="4"/>
  <c r="V33" i="4"/>
  <c r="V44" i="4"/>
  <c r="V46" i="4" s="1" a="1"/>
  <c r="V46" i="4" s="1"/>
  <c r="V45" i="4"/>
  <c r="V37" i="4"/>
  <c r="V40" i="4"/>
  <c r="V36" i="4"/>
  <c r="V1" i="6"/>
  <c r="Q105" i="2"/>
  <c r="S96" i="2"/>
  <c r="S82" i="6" s="1"/>
  <c r="S157" i="2"/>
  <c r="S165" i="2"/>
  <c r="T97" i="2"/>
  <c r="T77" i="6" s="1"/>
  <c r="T164" i="2"/>
  <c r="T158" i="2"/>
  <c r="T107" i="2" s="1"/>
  <c r="T78" i="6" s="1"/>
  <c r="R95" i="2"/>
  <c r="R8" i="2" s="1"/>
  <c r="R106" i="2"/>
  <c r="R83" i="6" s="1"/>
  <c r="Q82" i="2"/>
  <c r="S72" i="2"/>
  <c r="U127" i="2"/>
  <c r="R156" i="2"/>
  <c r="S14" i="2"/>
  <c r="S41" i="2"/>
  <c r="T40" i="2"/>
  <c r="T13" i="2"/>
  <c r="S40" i="2"/>
  <c r="S13" i="2"/>
  <c r="T77" i="2"/>
  <c r="W1" i="4"/>
  <c r="W1" i="13" s="1"/>
  <c r="V1" i="2"/>
  <c r="U38" i="4" a="1"/>
  <c r="U38" i="4" s="1"/>
  <c r="U42" i="4" a="1"/>
  <c r="U42" i="4" s="1"/>
  <c r="U73" i="2" s="1"/>
  <c r="U46" i="4" a="1"/>
  <c r="U46" i="4" s="1"/>
  <c r="Q177" i="13" l="1"/>
  <c r="Q35" i="13"/>
  <c r="Q33" i="13" s="1"/>
  <c r="V160" i="6"/>
  <c r="V159" i="6"/>
  <c r="V125" i="6"/>
  <c r="V126" i="6"/>
  <c r="S251" i="13"/>
  <c r="S249" i="13" s="1"/>
  <c r="S151" i="6"/>
  <c r="U162" i="6"/>
  <c r="S214" i="13"/>
  <c r="S116" i="6"/>
  <c r="R215" i="13"/>
  <c r="R213" i="13" s="1"/>
  <c r="R117" i="6"/>
  <c r="V162" i="6"/>
  <c r="V163" i="6"/>
  <c r="V94" i="6"/>
  <c r="V95" i="6"/>
  <c r="U95" i="6"/>
  <c r="U94" i="6"/>
  <c r="V91" i="6"/>
  <c r="V92" i="6"/>
  <c r="S110" i="6"/>
  <c r="S76" i="6"/>
  <c r="T209" i="13"/>
  <c r="V189" i="13"/>
  <c r="V43" i="13" s="1"/>
  <c r="V190" i="13"/>
  <c r="V44" i="13" s="1"/>
  <c r="V226" i="13"/>
  <c r="V225" i="13"/>
  <c r="S172" i="13"/>
  <c r="U193" i="13"/>
  <c r="U47" i="13" s="1"/>
  <c r="U192" i="13"/>
  <c r="U46" i="13" s="1"/>
  <c r="Q115" i="6"/>
  <c r="T218" i="13"/>
  <c r="S208" i="13"/>
  <c r="S218" i="13"/>
  <c r="R149" i="6"/>
  <c r="R251" i="13"/>
  <c r="R249" i="13" s="1"/>
  <c r="T173" i="13"/>
  <c r="T29" i="13" s="1"/>
  <c r="T210" i="13"/>
  <c r="R81" i="6"/>
  <c r="R179" i="13"/>
  <c r="R35" i="13" s="1"/>
  <c r="S178" i="13"/>
  <c r="S34" i="13" s="1"/>
  <c r="V193" i="13"/>
  <c r="V47" i="13" s="1"/>
  <c r="V192" i="13"/>
  <c r="V46" i="13" s="1"/>
  <c r="T245" i="13"/>
  <c r="U265" i="13"/>
  <c r="U264" i="13"/>
  <c r="Q227" i="13"/>
  <c r="V261" i="13"/>
  <c r="V262" i="13"/>
  <c r="S244" i="13"/>
  <c r="T174" i="13"/>
  <c r="T30" i="13" s="1"/>
  <c r="T254" i="13"/>
  <c r="V265" i="13"/>
  <c r="V264" i="13"/>
  <c r="U88" i="4"/>
  <c r="U2" i="9" s="1"/>
  <c r="R105" i="9"/>
  <c r="U73" i="8"/>
  <c r="T165" i="9"/>
  <c r="T41" i="9"/>
  <c r="T14" i="9"/>
  <c r="U77" i="9"/>
  <c r="U100" i="9" s="1"/>
  <c r="U154" i="6" s="1"/>
  <c r="T72" i="9"/>
  <c r="T96" i="9"/>
  <c r="T150" i="6" s="1"/>
  <c r="V74" i="2"/>
  <c r="V74" i="9"/>
  <c r="V58" i="4" a="1"/>
  <c r="V58" i="4" s="1"/>
  <c r="V127" i="8"/>
  <c r="V62" i="4" a="1"/>
  <c r="V62" i="4" s="1"/>
  <c r="V73" i="8" s="1"/>
  <c r="W85" i="4"/>
  <c r="W81" i="4"/>
  <c r="W73" i="4"/>
  <c r="W64" i="4"/>
  <c r="W57" i="4"/>
  <c r="W53" i="4"/>
  <c r="W1" i="8"/>
  <c r="W1" i="9"/>
  <c r="W84" i="4"/>
  <c r="W77" i="4"/>
  <c r="W72" i="4"/>
  <c r="W65" i="4"/>
  <c r="W61" i="4"/>
  <c r="W52" i="4"/>
  <c r="W54" i="4" s="1" a="1"/>
  <c r="W54" i="4" s="1"/>
  <c r="W60" i="4"/>
  <c r="W56" i="4"/>
  <c r="W10" i="4"/>
  <c r="W76" i="4"/>
  <c r="W80" i="4"/>
  <c r="V74" i="8"/>
  <c r="V127" i="9"/>
  <c r="V82" i="4" a="1"/>
  <c r="V82" i="4" s="1"/>
  <c r="V77" i="9" s="1"/>
  <c r="V78" i="4" a="1"/>
  <c r="V78" i="4" s="1"/>
  <c r="V66" i="4" a="1"/>
  <c r="V66" i="4" s="1"/>
  <c r="V128" i="6" s="1"/>
  <c r="V54" i="4" a="1"/>
  <c r="V54" i="4" s="1"/>
  <c r="S105" i="9"/>
  <c r="S95" i="8"/>
  <c r="S8" i="8" s="1"/>
  <c r="R105" i="8"/>
  <c r="T107" i="9"/>
  <c r="T146" i="6" s="1"/>
  <c r="T156" i="9"/>
  <c r="T106" i="9"/>
  <c r="U13" i="8"/>
  <c r="U158" i="8"/>
  <c r="U107" i="8" s="1"/>
  <c r="U112" i="6" s="1"/>
  <c r="U97" i="8"/>
  <c r="U111" i="6" s="1"/>
  <c r="U40" i="8"/>
  <c r="U164" i="8"/>
  <c r="U14" i="9"/>
  <c r="U41" i="9"/>
  <c r="U165" i="9"/>
  <c r="U157" i="9"/>
  <c r="U96" i="9"/>
  <c r="U72" i="9"/>
  <c r="U97" i="9"/>
  <c r="U145" i="6" s="1"/>
  <c r="U40" i="9"/>
  <c r="U158" i="9"/>
  <c r="U107" i="9" s="1"/>
  <c r="U146" i="6" s="1"/>
  <c r="U13" i="9"/>
  <c r="U164" i="9"/>
  <c r="T2" i="8"/>
  <c r="Q78" i="8"/>
  <c r="T2" i="2"/>
  <c r="T165" i="8"/>
  <c r="T157" i="8"/>
  <c r="T72" i="8"/>
  <c r="T96" i="8"/>
  <c r="T41" i="8"/>
  <c r="T14" i="8"/>
  <c r="S156" i="8"/>
  <c r="S82" i="8" s="1"/>
  <c r="S106" i="8"/>
  <c r="S117" i="6" s="1"/>
  <c r="U48" i="4"/>
  <c r="Q43" i="8"/>
  <c r="U68" i="4"/>
  <c r="W41" i="4"/>
  <c r="W32" i="4"/>
  <c r="W34" i="4" s="1" a="1"/>
  <c r="W34" i="4" s="1"/>
  <c r="W44" i="4"/>
  <c r="W33" i="4"/>
  <c r="W37" i="4"/>
  <c r="W45" i="4"/>
  <c r="W40" i="4"/>
  <c r="W36" i="4"/>
  <c r="W38" i="4" s="1" a="1"/>
  <c r="W38" i="4" s="1"/>
  <c r="W1" i="6"/>
  <c r="Q81" i="6"/>
  <c r="S95" i="2"/>
  <c r="S8" i="2" s="1"/>
  <c r="T96" i="2"/>
  <c r="T82" i="6" s="1"/>
  <c r="T157" i="2"/>
  <c r="T165" i="2"/>
  <c r="U97" i="2"/>
  <c r="U77" i="6" s="1"/>
  <c r="U158" i="2"/>
  <c r="U107" i="2" s="1"/>
  <c r="U78" i="6" s="1"/>
  <c r="U164" i="2"/>
  <c r="T100" i="2"/>
  <c r="T86" i="6" s="1"/>
  <c r="S106" i="2"/>
  <c r="S83" i="6" s="1"/>
  <c r="R105" i="2"/>
  <c r="R82" i="2"/>
  <c r="T72" i="2"/>
  <c r="S156" i="2"/>
  <c r="V127" i="2"/>
  <c r="T41" i="2"/>
  <c r="T14" i="2"/>
  <c r="U77" i="2"/>
  <c r="U100" i="2" s="1"/>
  <c r="U86" i="6" s="1"/>
  <c r="U40" i="2"/>
  <c r="U13" i="2"/>
  <c r="V42" i="4" a="1"/>
  <c r="V42" i="4" s="1"/>
  <c r="V73" i="2" s="1"/>
  <c r="X1" i="4"/>
  <c r="X1" i="13" s="1"/>
  <c r="W1" i="2"/>
  <c r="V38" i="4" a="1"/>
  <c r="V38" i="4" s="1"/>
  <c r="W160" i="6" l="1"/>
  <c r="W159" i="6"/>
  <c r="W126" i="6"/>
  <c r="W125" i="6"/>
  <c r="T251" i="13"/>
  <c r="T151" i="6"/>
  <c r="U250" i="13"/>
  <c r="U150" i="6"/>
  <c r="V129" i="6"/>
  <c r="T214" i="13"/>
  <c r="T116" i="6"/>
  <c r="W91" i="6"/>
  <c r="W92" i="6"/>
  <c r="T110" i="6"/>
  <c r="T76" i="6"/>
  <c r="U254" i="13"/>
  <c r="S28" i="13"/>
  <c r="T208" i="13"/>
  <c r="R33" i="13"/>
  <c r="T250" i="13"/>
  <c r="W226" i="13"/>
  <c r="W225" i="13"/>
  <c r="R177" i="13"/>
  <c r="T178" i="13"/>
  <c r="T34" i="13" s="1"/>
  <c r="U144" i="6"/>
  <c r="U246" i="13"/>
  <c r="T144" i="6"/>
  <c r="T246" i="13"/>
  <c r="T244" i="13" s="1"/>
  <c r="U173" i="13"/>
  <c r="U29" i="13" s="1"/>
  <c r="U182" i="13"/>
  <c r="U38" i="13" s="1"/>
  <c r="S179" i="13"/>
  <c r="T172" i="13"/>
  <c r="U210" i="13"/>
  <c r="T182" i="13"/>
  <c r="T38" i="13" s="1"/>
  <c r="U245" i="13"/>
  <c r="W262" i="13"/>
  <c r="W261" i="13"/>
  <c r="W190" i="13"/>
  <c r="W44" i="13" s="1"/>
  <c r="W189" i="13"/>
  <c r="W43" i="13" s="1"/>
  <c r="U174" i="13"/>
  <c r="U30" i="13" s="1"/>
  <c r="S215" i="13"/>
  <c r="U110" i="6"/>
  <c r="U209" i="13"/>
  <c r="V228" i="13"/>
  <c r="V229" i="13"/>
  <c r="V88" i="4"/>
  <c r="V2" i="9" s="1"/>
  <c r="T95" i="9"/>
  <c r="T8" i="9" s="1"/>
  <c r="V68" i="4"/>
  <c r="V2" i="8" s="1"/>
  <c r="W74" i="9"/>
  <c r="W74" i="8"/>
  <c r="V77" i="8"/>
  <c r="V100" i="8" s="1"/>
  <c r="V120" i="6" s="1"/>
  <c r="W74" i="2"/>
  <c r="W86" i="4" a="1"/>
  <c r="W86" i="4" s="1"/>
  <c r="W162" i="6" s="1"/>
  <c r="W58" i="4" a="1"/>
  <c r="W58" i="4" s="1"/>
  <c r="W78" i="4" a="1"/>
  <c r="W78" i="4" s="1"/>
  <c r="W127" i="8"/>
  <c r="V73" i="9"/>
  <c r="V96" i="9" s="1"/>
  <c r="V150" i="6" s="1"/>
  <c r="W74" i="4" a="1"/>
  <c r="W74" i="4" s="1"/>
  <c r="W66" i="4" a="1"/>
  <c r="W66" i="4" s="1"/>
  <c r="W128" i="6" s="1"/>
  <c r="W62" i="4" a="1"/>
  <c r="W62" i="4" s="1"/>
  <c r="W73" i="8" s="1"/>
  <c r="W127" i="9"/>
  <c r="W82" i="4" a="1"/>
  <c r="W82" i="4" s="1"/>
  <c r="W73" i="9" s="1"/>
  <c r="X1" i="9"/>
  <c r="X84" i="4"/>
  <c r="X77" i="4"/>
  <c r="X72" i="4"/>
  <c r="X65" i="4"/>
  <c r="X61" i="4"/>
  <c r="X52" i="4"/>
  <c r="X85" i="4"/>
  <c r="X81" i="4"/>
  <c r="X73" i="4"/>
  <c r="X64" i="4"/>
  <c r="X57" i="4"/>
  <c r="X53" i="4"/>
  <c r="X1" i="8"/>
  <c r="X60" i="4"/>
  <c r="X56" i="4"/>
  <c r="X10" i="4"/>
  <c r="X76" i="4"/>
  <c r="X78" i="4" s="1" a="1"/>
  <c r="X78" i="4" s="1"/>
  <c r="X80" i="4"/>
  <c r="S149" i="6"/>
  <c r="U95" i="9"/>
  <c r="U8" i="9" s="1"/>
  <c r="T105" i="9"/>
  <c r="T95" i="8"/>
  <c r="T8" i="8" s="1"/>
  <c r="R115" i="6"/>
  <c r="S115" i="6"/>
  <c r="V100" i="9"/>
  <c r="V154" i="6" s="1"/>
  <c r="U156" i="9"/>
  <c r="U82" i="9" s="1"/>
  <c r="U106" i="9"/>
  <c r="T82" i="9"/>
  <c r="V164" i="9"/>
  <c r="V158" i="9"/>
  <c r="V107" i="9" s="1"/>
  <c r="V146" i="6" s="1"/>
  <c r="V97" i="9"/>
  <c r="V145" i="6" s="1"/>
  <c r="V40" i="9"/>
  <c r="V13" i="9"/>
  <c r="V97" i="8"/>
  <c r="V111" i="6" s="1"/>
  <c r="V13" i="8"/>
  <c r="V164" i="8"/>
  <c r="V158" i="8"/>
  <c r="V40" i="8"/>
  <c r="U2" i="8"/>
  <c r="T156" i="8"/>
  <c r="T106" i="8"/>
  <c r="U2" i="2"/>
  <c r="U100" i="8"/>
  <c r="U120" i="6" s="1"/>
  <c r="U165" i="8"/>
  <c r="U157" i="8"/>
  <c r="U72" i="8"/>
  <c r="U96" i="8"/>
  <c r="U41" i="8"/>
  <c r="U14" i="8"/>
  <c r="S105" i="8"/>
  <c r="V48" i="4"/>
  <c r="X44" i="4"/>
  <c r="X33" i="4"/>
  <c r="X37" i="4"/>
  <c r="X45" i="4"/>
  <c r="X32" i="4"/>
  <c r="X41" i="4"/>
  <c r="X36" i="4"/>
  <c r="X40" i="4"/>
  <c r="X1" i="6"/>
  <c r="S105" i="2"/>
  <c r="U96" i="2"/>
  <c r="U82" i="6" s="1"/>
  <c r="U157" i="2"/>
  <c r="U165" i="2"/>
  <c r="V97" i="2"/>
  <c r="V77" i="6" s="1"/>
  <c r="V164" i="2"/>
  <c r="V158" i="2"/>
  <c r="V107" i="2" s="1"/>
  <c r="V78" i="6" s="1"/>
  <c r="T95" i="2"/>
  <c r="T8" i="2" s="1"/>
  <c r="T106" i="2"/>
  <c r="T83" i="6" s="1"/>
  <c r="S82" i="2"/>
  <c r="U72" i="2"/>
  <c r="W127" i="2"/>
  <c r="T156" i="2"/>
  <c r="V77" i="2"/>
  <c r="V100" i="2" s="1"/>
  <c r="V86" i="6" s="1"/>
  <c r="V40" i="2"/>
  <c r="V13" i="2"/>
  <c r="U41" i="2"/>
  <c r="U14" i="2"/>
  <c r="W42" i="4" a="1"/>
  <c r="W42" i="4" s="1"/>
  <c r="W73" i="2" s="1"/>
  <c r="Y1" i="4"/>
  <c r="Y1" i="13" s="1"/>
  <c r="X1" i="2"/>
  <c r="W46" i="4" a="1"/>
  <c r="W46" i="4" s="1"/>
  <c r="S177" i="13" l="1"/>
  <c r="S35" i="13"/>
  <c r="S33" i="13" s="1"/>
  <c r="X159" i="6"/>
  <c r="X160" i="6"/>
  <c r="X126" i="6"/>
  <c r="X125" i="6"/>
  <c r="U251" i="13"/>
  <c r="U249" i="13" s="1"/>
  <c r="U151" i="6"/>
  <c r="U149" i="6" s="1"/>
  <c r="W163" i="6"/>
  <c r="W129" i="6"/>
  <c r="U214" i="13"/>
  <c r="U116" i="6"/>
  <c r="T215" i="13"/>
  <c r="T213" i="13" s="1"/>
  <c r="T117" i="6"/>
  <c r="W95" i="6"/>
  <c r="W94" i="6"/>
  <c r="X91" i="6"/>
  <c r="X92" i="6"/>
  <c r="T28" i="13"/>
  <c r="X190" i="13"/>
  <c r="X44" i="13" s="1"/>
  <c r="X189" i="13"/>
  <c r="X43" i="13" s="1"/>
  <c r="U218" i="13"/>
  <c r="V209" i="13"/>
  <c r="V254" i="13"/>
  <c r="U178" i="13"/>
  <c r="U34" i="13" s="1"/>
  <c r="V245" i="13"/>
  <c r="U208" i="13"/>
  <c r="T81" i="6"/>
  <c r="T179" i="13"/>
  <c r="U76" i="6"/>
  <c r="V246" i="13"/>
  <c r="V173" i="13"/>
  <c r="V29" i="13" s="1"/>
  <c r="V250" i="13"/>
  <c r="V218" i="13"/>
  <c r="X62" i="4" a="1"/>
  <c r="X62" i="4" s="1"/>
  <c r="X77" i="8" s="1"/>
  <c r="X225" i="13"/>
  <c r="X226" i="13"/>
  <c r="W193" i="13"/>
  <c r="W47" i="13" s="1"/>
  <c r="W192" i="13"/>
  <c r="W46" i="13" s="1"/>
  <c r="V174" i="13"/>
  <c r="V30" i="13" s="1"/>
  <c r="X82" i="4" a="1"/>
  <c r="X82" i="4" s="1"/>
  <c r="X73" i="9" s="1"/>
  <c r="X261" i="13"/>
  <c r="X262" i="13"/>
  <c r="W229" i="13"/>
  <c r="W228" i="13"/>
  <c r="S213" i="13"/>
  <c r="U244" i="13"/>
  <c r="T249" i="13"/>
  <c r="U172" i="13"/>
  <c r="U28" i="13"/>
  <c r="V182" i="13"/>
  <c r="V38" i="13" s="1"/>
  <c r="W264" i="13"/>
  <c r="W265" i="13"/>
  <c r="W77" i="9"/>
  <c r="W100" i="9" s="1"/>
  <c r="W154" i="6" s="1"/>
  <c r="W77" i="8"/>
  <c r="V14" i="9"/>
  <c r="V72" i="9"/>
  <c r="V41" i="9"/>
  <c r="V157" i="9"/>
  <c r="V156" i="9" s="1"/>
  <c r="V165" i="9"/>
  <c r="X74" i="4" a="1"/>
  <c r="X74" i="4" s="1"/>
  <c r="X74" i="2"/>
  <c r="X127" i="9"/>
  <c r="X58" i="4" a="1"/>
  <c r="X58" i="4" s="1"/>
  <c r="X66" i="4" a="1"/>
  <c r="X66" i="4" s="1"/>
  <c r="X129" i="6" s="1"/>
  <c r="Y64" i="4"/>
  <c r="Y57" i="4"/>
  <c r="Y53" i="4"/>
  <c r="Y1" i="8"/>
  <c r="Y1" i="9"/>
  <c r="Y84" i="4"/>
  <c r="Y86" i="4" s="1" a="1"/>
  <c r="Y86" i="4" s="1"/>
  <c r="Y77" i="4"/>
  <c r="Y72" i="4"/>
  <c r="Y74" i="4" s="1" a="1"/>
  <c r="Y74" i="4" s="1"/>
  <c r="Y65" i="4"/>
  <c r="Y61" i="4"/>
  <c r="Y52" i="4"/>
  <c r="Y85" i="4"/>
  <c r="Y81" i="4"/>
  <c r="Y73" i="4"/>
  <c r="Y56" i="4"/>
  <c r="Y60" i="4"/>
  <c r="Y10" i="4"/>
  <c r="Y80" i="4"/>
  <c r="Y76" i="4"/>
  <c r="X86" i="4" a="1"/>
  <c r="X86" i="4" s="1"/>
  <c r="X162" i="6" s="1"/>
  <c r="X74" i="9"/>
  <c r="X127" i="8"/>
  <c r="X54" i="4" a="1"/>
  <c r="X54" i="4" s="1"/>
  <c r="X74" i="8"/>
  <c r="U105" i="9"/>
  <c r="T149" i="6"/>
  <c r="T105" i="8"/>
  <c r="U95" i="8"/>
  <c r="U8" i="8" s="1"/>
  <c r="V95" i="9"/>
  <c r="V8" i="9" s="1"/>
  <c r="W40" i="8"/>
  <c r="W158" i="8"/>
  <c r="W107" i="8" s="1"/>
  <c r="W112" i="6" s="1"/>
  <c r="W97" i="8"/>
  <c r="W111" i="6" s="1"/>
  <c r="W164" i="8"/>
  <c r="W13" i="8"/>
  <c r="V107" i="8"/>
  <c r="V112" i="6" s="1"/>
  <c r="W97" i="9"/>
  <c r="W145" i="6" s="1"/>
  <c r="W40" i="9"/>
  <c r="W164" i="9"/>
  <c r="W13" i="9"/>
  <c r="W158" i="9"/>
  <c r="W157" i="9"/>
  <c r="W96" i="9"/>
  <c r="W150" i="6" s="1"/>
  <c r="W41" i="9"/>
  <c r="W72" i="9"/>
  <c r="W14" i="9"/>
  <c r="W165" i="9"/>
  <c r="T82" i="8"/>
  <c r="U156" i="8"/>
  <c r="U82" i="8" s="1"/>
  <c r="U106" i="8"/>
  <c r="U117" i="6" s="1"/>
  <c r="V2" i="2"/>
  <c r="V165" i="8"/>
  <c r="V157" i="8"/>
  <c r="V72" i="8"/>
  <c r="V96" i="8"/>
  <c r="V116" i="6" s="1"/>
  <c r="V41" i="8"/>
  <c r="V14" i="8"/>
  <c r="W88" i="4"/>
  <c r="W2" i="9" s="1"/>
  <c r="W68" i="4"/>
  <c r="W48" i="4"/>
  <c r="Y44" i="4"/>
  <c r="Y46" i="4" s="1" a="1"/>
  <c r="Y46" i="4" s="1"/>
  <c r="Y33" i="4"/>
  <c r="Y37" i="4"/>
  <c r="Y32" i="4"/>
  <c r="Y34" i="4" s="1" a="1"/>
  <c r="Y34" i="4" s="1"/>
  <c r="Y45" i="4"/>
  <c r="Y41" i="4"/>
  <c r="Y36" i="4"/>
  <c r="Y40" i="4"/>
  <c r="Y1" i="6"/>
  <c r="S81" i="6"/>
  <c r="U95" i="2"/>
  <c r="U8" i="2" s="1"/>
  <c r="V96" i="2"/>
  <c r="V82" i="6" s="1"/>
  <c r="V165" i="2"/>
  <c r="V157" i="2"/>
  <c r="W97" i="2"/>
  <c r="W77" i="6" s="1"/>
  <c r="W164" i="2"/>
  <c r="W158" i="2"/>
  <c r="W107" i="2" s="1"/>
  <c r="W78" i="6" s="1"/>
  <c r="T105" i="2"/>
  <c r="U106" i="2"/>
  <c r="U83" i="6" s="1"/>
  <c r="T82" i="2"/>
  <c r="V72" i="2"/>
  <c r="X127" i="2"/>
  <c r="U156" i="2"/>
  <c r="V14" i="2"/>
  <c r="V41" i="2"/>
  <c r="W77" i="2"/>
  <c r="W100" i="2" s="1"/>
  <c r="W86" i="6" s="1"/>
  <c r="W13" i="2"/>
  <c r="W40" i="2"/>
  <c r="X46" i="4" a="1"/>
  <c r="X46" i="4" s="1"/>
  <c r="X38" i="4" a="1"/>
  <c r="X38" i="4" s="1"/>
  <c r="X42" i="4" a="1"/>
  <c r="X42" i="4" s="1"/>
  <c r="X73" i="2" s="1"/>
  <c r="Z1" i="4"/>
  <c r="Z1" i="13" s="1"/>
  <c r="Y1" i="2"/>
  <c r="X34" i="4" a="1"/>
  <c r="X34" i="4" s="1"/>
  <c r="T177" i="13" l="1"/>
  <c r="T35" i="13"/>
  <c r="X128" i="6"/>
  <c r="Y126" i="6"/>
  <c r="Y125" i="6"/>
  <c r="Y159" i="6"/>
  <c r="Y160" i="6"/>
  <c r="X163" i="6"/>
  <c r="Y163" i="6"/>
  <c r="Y162" i="6"/>
  <c r="X95" i="6"/>
  <c r="X94" i="6"/>
  <c r="Y94" i="6"/>
  <c r="Y95" i="6"/>
  <c r="Y92" i="6"/>
  <c r="Y91" i="6"/>
  <c r="V244" i="13"/>
  <c r="V144" i="6"/>
  <c r="X193" i="13"/>
  <c r="X47" i="13" s="1"/>
  <c r="X192" i="13"/>
  <c r="X46" i="13" s="1"/>
  <c r="X264" i="13"/>
  <c r="X265" i="13"/>
  <c r="X77" i="9"/>
  <c r="X100" i="9" s="1"/>
  <c r="X154" i="6" s="1"/>
  <c r="V76" i="6"/>
  <c r="Y261" i="13"/>
  <c r="Y262" i="13"/>
  <c r="Y189" i="13"/>
  <c r="Y43" i="13" s="1"/>
  <c r="Y190" i="13"/>
  <c r="Y44" i="13" s="1"/>
  <c r="V110" i="6"/>
  <c r="V210" i="13"/>
  <c r="V208" i="13" s="1"/>
  <c r="U179" i="13"/>
  <c r="V178" i="13"/>
  <c r="V34" i="13" s="1"/>
  <c r="W250" i="13"/>
  <c r="X73" i="8"/>
  <c r="W182" i="13"/>
  <c r="W38" i="13" s="1"/>
  <c r="U215" i="13"/>
  <c r="W174" i="13"/>
  <c r="W30" i="13" s="1"/>
  <c r="W254" i="13"/>
  <c r="Y192" i="13"/>
  <c r="Y46" i="13" s="1"/>
  <c r="Y193" i="13"/>
  <c r="Y47" i="13" s="1"/>
  <c r="W209" i="13"/>
  <c r="Y225" i="13"/>
  <c r="Y226" i="13"/>
  <c r="X229" i="13"/>
  <c r="X228" i="13"/>
  <c r="W245" i="13"/>
  <c r="W173" i="13"/>
  <c r="W29" i="13" s="1"/>
  <c r="V214" i="13"/>
  <c r="W210" i="13"/>
  <c r="Y265" i="13"/>
  <c r="Y264" i="13"/>
  <c r="V172" i="13"/>
  <c r="X68" i="4"/>
  <c r="X2" i="8" s="1"/>
  <c r="V106" i="9"/>
  <c r="V151" i="6" s="1"/>
  <c r="Y78" i="4" a="1"/>
  <c r="Y78" i="4" s="1"/>
  <c r="Y66" i="4" a="1"/>
  <c r="Y66" i="4" s="1"/>
  <c r="Y129" i="6" s="1"/>
  <c r="Y74" i="2"/>
  <c r="Y127" i="8"/>
  <c r="Y62" i="4" a="1"/>
  <c r="Y62" i="4" s="1"/>
  <c r="Y73" i="8" s="1"/>
  <c r="Y58" i="4" a="1"/>
  <c r="Y58" i="4" s="1"/>
  <c r="Z1" i="9"/>
  <c r="Z84" i="4"/>
  <c r="Z86" i="4" s="1" a="1"/>
  <c r="Z86" i="4" s="1"/>
  <c r="Z77" i="4"/>
  <c r="Z57" i="4"/>
  <c r="Z53" i="4"/>
  <c r="Z65" i="4"/>
  <c r="Z61" i="4"/>
  <c r="Z52" i="4"/>
  <c r="Z64" i="4"/>
  <c r="Z66" i="4" s="1" a="1"/>
  <c r="Z66" i="4" s="1"/>
  <c r="Z85" i="4"/>
  <c r="Z81" i="4"/>
  <c r="Z73" i="4"/>
  <c r="Z72" i="4"/>
  <c r="Z1" i="8"/>
  <c r="Z60" i="4"/>
  <c r="Z56" i="4"/>
  <c r="Z58" i="4" s="1" a="1"/>
  <c r="Z58" i="4" s="1"/>
  <c r="Z10" i="4"/>
  <c r="Z76" i="4"/>
  <c r="Z78" i="4" s="1" a="1"/>
  <c r="Z78" i="4" s="1"/>
  <c r="Z80" i="4"/>
  <c r="Y54" i="4" a="1"/>
  <c r="Y54" i="4" s="1"/>
  <c r="Y127" i="9"/>
  <c r="Y82" i="4" a="1"/>
  <c r="Y82" i="4" s="1"/>
  <c r="Y77" i="9" s="1"/>
  <c r="Y100" i="9" s="1"/>
  <c r="Y154" i="6" s="1"/>
  <c r="Y74" i="9"/>
  <c r="Y74" i="8"/>
  <c r="U115" i="6"/>
  <c r="T115" i="6"/>
  <c r="W110" i="6"/>
  <c r="W107" i="9"/>
  <c r="W146" i="6" s="1"/>
  <c r="X158" i="8"/>
  <c r="X107" i="8" s="1"/>
  <c r="X112" i="6" s="1"/>
  <c r="X97" i="8"/>
  <c r="X111" i="6" s="1"/>
  <c r="X164" i="8"/>
  <c r="X13" i="8"/>
  <c r="X40" i="8"/>
  <c r="X41" i="9"/>
  <c r="X14" i="9"/>
  <c r="X165" i="9"/>
  <c r="X96" i="9"/>
  <c r="X150" i="6" s="1"/>
  <c r="X72" i="9"/>
  <c r="X157" i="9"/>
  <c r="X13" i="9"/>
  <c r="X97" i="9"/>
  <c r="X145" i="6" s="1"/>
  <c r="X40" i="9"/>
  <c r="X164" i="9"/>
  <c r="X158" i="9"/>
  <c r="X107" i="9" s="1"/>
  <c r="X146" i="6" s="1"/>
  <c r="W95" i="9"/>
  <c r="V82" i="9"/>
  <c r="W106" i="9"/>
  <c r="W156" i="9"/>
  <c r="W82" i="9" s="1"/>
  <c r="W2" i="8"/>
  <c r="X100" i="8"/>
  <c r="X120" i="6" s="1"/>
  <c r="W2" i="2"/>
  <c r="U105" i="8"/>
  <c r="V156" i="8"/>
  <c r="V82" i="8" s="1"/>
  <c r="V106" i="8"/>
  <c r="W165" i="8"/>
  <c r="W157" i="8"/>
  <c r="W72" i="8"/>
  <c r="W96" i="8"/>
  <c r="W41" i="8"/>
  <c r="W14" i="8"/>
  <c r="V95" i="8"/>
  <c r="W100" i="8"/>
  <c r="W120" i="6" s="1"/>
  <c r="X88" i="4"/>
  <c r="X2" i="9" s="1"/>
  <c r="X48" i="4"/>
  <c r="Z37" i="4"/>
  <c r="Z41" i="4"/>
  <c r="Z45" i="4"/>
  <c r="Z32" i="4"/>
  <c r="Z34" i="4" s="1" a="1"/>
  <c r="Z34" i="4" s="1"/>
  <c r="Z44" i="4"/>
  <c r="Z46" i="4" s="1" a="1"/>
  <c r="Z46" i="4" s="1"/>
  <c r="Z33" i="4"/>
  <c r="Z40" i="4"/>
  <c r="Z36" i="4"/>
  <c r="Z38" i="4" s="1" a="1"/>
  <c r="Z38" i="4" s="1"/>
  <c r="Z1" i="6"/>
  <c r="U105" i="2"/>
  <c r="V95" i="2"/>
  <c r="V8" i="2" s="1"/>
  <c r="W96" i="2"/>
  <c r="W82" i="6" s="1"/>
  <c r="W165" i="2"/>
  <c r="W157" i="2"/>
  <c r="X97" i="2"/>
  <c r="X77" i="6" s="1"/>
  <c r="X164" i="2"/>
  <c r="X158" i="2"/>
  <c r="X107" i="2" s="1"/>
  <c r="X78" i="6" s="1"/>
  <c r="V106" i="2"/>
  <c r="V83" i="6" s="1"/>
  <c r="U82" i="2"/>
  <c r="V156" i="2"/>
  <c r="W72" i="2"/>
  <c r="Y127" i="2"/>
  <c r="W14" i="2"/>
  <c r="W41" i="2"/>
  <c r="X13" i="2"/>
  <c r="X40" i="2"/>
  <c r="X77" i="2"/>
  <c r="X100" i="2" s="1"/>
  <c r="X86" i="6" s="1"/>
  <c r="AA1" i="4"/>
  <c r="AA1" i="13" s="1"/>
  <c r="Z1" i="2"/>
  <c r="Y38" i="4" a="1"/>
  <c r="Y38" i="4" s="1"/>
  <c r="Y42" i="4" a="1"/>
  <c r="Y42" i="4" s="1"/>
  <c r="Y73" i="2" s="1"/>
  <c r="U177" i="13" l="1"/>
  <c r="U35" i="13"/>
  <c r="U33" i="13" s="1"/>
  <c r="Z126" i="6"/>
  <c r="Z125" i="6"/>
  <c r="Z159" i="6"/>
  <c r="Z160" i="6"/>
  <c r="Y128" i="6"/>
  <c r="W251" i="13"/>
  <c r="W249" i="13" s="1"/>
  <c r="W151" i="6"/>
  <c r="W214" i="13"/>
  <c r="W116" i="6"/>
  <c r="V215" i="13"/>
  <c r="V213" i="13" s="1"/>
  <c r="V117" i="6"/>
  <c r="Z163" i="6"/>
  <c r="Z129" i="6"/>
  <c r="Z162" i="6"/>
  <c r="Z128" i="6"/>
  <c r="Z94" i="6"/>
  <c r="Z95" i="6"/>
  <c r="Z92" i="6"/>
  <c r="Z91" i="6"/>
  <c r="X246" i="13"/>
  <c r="X144" i="6"/>
  <c r="X245" i="13"/>
  <c r="X254" i="13"/>
  <c r="W144" i="6"/>
  <c r="W246" i="13"/>
  <c r="W244" i="13" s="1"/>
  <c r="W172" i="13"/>
  <c r="W28" i="13"/>
  <c r="X173" i="13"/>
  <c r="X29" i="13" s="1"/>
  <c r="V149" i="6"/>
  <c r="V251" i="13"/>
  <c r="U213" i="13"/>
  <c r="X218" i="13"/>
  <c r="W208" i="13"/>
  <c r="Z228" i="13"/>
  <c r="Z229" i="13"/>
  <c r="V28" i="13"/>
  <c r="T33" i="13"/>
  <c r="Y254" i="13"/>
  <c r="Z226" i="13"/>
  <c r="Z225" i="13"/>
  <c r="X182" i="13"/>
  <c r="X38" i="13" s="1"/>
  <c r="W178" i="13"/>
  <c r="W34" i="13" s="1"/>
  <c r="V179" i="13"/>
  <c r="Z189" i="13"/>
  <c r="Z43" i="13" s="1"/>
  <c r="Z190" i="13"/>
  <c r="Z44" i="13" s="1"/>
  <c r="W76" i="6"/>
  <c r="W218" i="13"/>
  <c r="X209" i="13"/>
  <c r="Z261" i="13"/>
  <c r="Z262" i="13"/>
  <c r="X174" i="13"/>
  <c r="X30" i="13" s="1"/>
  <c r="Z193" i="13"/>
  <c r="Z47" i="13" s="1"/>
  <c r="Z192" i="13"/>
  <c r="Z46" i="13" s="1"/>
  <c r="X250" i="13"/>
  <c r="X210" i="13"/>
  <c r="Z265" i="13"/>
  <c r="Z264" i="13"/>
  <c r="Y228" i="13"/>
  <c r="Y229" i="13"/>
  <c r="Z74" i="2"/>
  <c r="Y77" i="8"/>
  <c r="V105" i="9"/>
  <c r="Z74" i="8"/>
  <c r="Z74" i="4" a="1"/>
  <c r="Z74" i="4" s="1"/>
  <c r="Y73" i="9"/>
  <c r="Y96" i="9" s="1"/>
  <c r="Y150" i="6" s="1"/>
  <c r="Z127" i="9"/>
  <c r="Z82" i="4" a="1"/>
  <c r="Z82" i="4" s="1"/>
  <c r="Z73" i="9" s="1"/>
  <c r="AA84" i="4"/>
  <c r="AA86" i="4" s="1" a="1"/>
  <c r="AA86" i="4" s="1"/>
  <c r="AA77" i="4"/>
  <c r="AA72" i="4"/>
  <c r="AA74" i="4" s="1" a="1"/>
  <c r="AA74" i="4" s="1"/>
  <c r="AA65" i="4"/>
  <c r="AA61" i="4"/>
  <c r="AA52" i="4"/>
  <c r="AA54" i="4" s="1" a="1"/>
  <c r="AA54" i="4" s="1"/>
  <c r="AA1" i="9"/>
  <c r="AA85" i="4"/>
  <c r="AA81" i="4"/>
  <c r="AA73" i="4"/>
  <c r="AA64" i="4"/>
  <c r="AA66" i="4" s="1" a="1"/>
  <c r="AA66" i="4" s="1"/>
  <c r="AA57" i="4"/>
  <c r="AA53" i="4"/>
  <c r="AA1" i="8"/>
  <c r="AA56" i="4"/>
  <c r="AA58" i="4" s="1" a="1"/>
  <c r="AA58" i="4" s="1"/>
  <c r="AA60" i="4"/>
  <c r="AA10" i="4"/>
  <c r="AA80" i="4"/>
  <c r="AA76" i="4"/>
  <c r="AA78" i="4" s="1" a="1"/>
  <c r="AA78" i="4" s="1"/>
  <c r="Z74" i="9"/>
  <c r="Z54" i="4" a="1"/>
  <c r="Z54" i="4" s="1"/>
  <c r="Z127" i="8"/>
  <c r="Z62" i="4" a="1"/>
  <c r="Z62" i="4" s="1"/>
  <c r="Z73" i="8" s="1"/>
  <c r="X110" i="6"/>
  <c r="W105" i="9"/>
  <c r="W95" i="8"/>
  <c r="W8" i="8" s="1"/>
  <c r="V105" i="8"/>
  <c r="X95" i="9"/>
  <c r="X8" i="9" s="1"/>
  <c r="W8" i="9"/>
  <c r="Y97" i="9"/>
  <c r="Y145" i="6" s="1"/>
  <c r="Y40" i="9"/>
  <c r="Y13" i="9"/>
  <c r="Y158" i="9"/>
  <c r="Y107" i="9" s="1"/>
  <c r="Y146" i="6" s="1"/>
  <c r="Y164" i="9"/>
  <c r="Y40" i="8"/>
  <c r="Y13" i="8"/>
  <c r="Y158" i="8"/>
  <c r="Y107" i="8" s="1"/>
  <c r="Y112" i="6" s="1"/>
  <c r="Y164" i="8"/>
  <c r="Y97" i="8"/>
  <c r="Y111" i="6" s="1"/>
  <c r="X106" i="9"/>
  <c r="X156" i="9"/>
  <c r="X157" i="8"/>
  <c r="X165" i="8"/>
  <c r="X72" i="8"/>
  <c r="X96" i="8"/>
  <c r="X41" i="8"/>
  <c r="X14" i="8"/>
  <c r="V8" i="8"/>
  <c r="W156" i="8"/>
  <c r="W82" i="8" s="1"/>
  <c r="W106" i="8"/>
  <c r="X2" i="2"/>
  <c r="Y68" i="4"/>
  <c r="Y88" i="4"/>
  <c r="Y2" i="9" s="1"/>
  <c r="Y48" i="4"/>
  <c r="AA37" i="4"/>
  <c r="AA45" i="4"/>
  <c r="AA32" i="4"/>
  <c r="AA34" i="4" s="1" a="1"/>
  <c r="AA34" i="4" s="1"/>
  <c r="AA41" i="4"/>
  <c r="AA44" i="4"/>
  <c r="AA46" i="4" s="1" a="1"/>
  <c r="AA46" i="4" s="1"/>
  <c r="AA33" i="4"/>
  <c r="AA36" i="4"/>
  <c r="AA38" i="4" s="1" a="1"/>
  <c r="AA38" i="4" s="1"/>
  <c r="AA40" i="4"/>
  <c r="AA1" i="6"/>
  <c r="U81" i="6"/>
  <c r="Y97" i="2"/>
  <c r="Y77" i="6" s="1"/>
  <c r="Y158" i="2"/>
  <c r="Y107" i="2" s="1"/>
  <c r="Y78" i="6" s="1"/>
  <c r="Y164" i="2"/>
  <c r="W95" i="2"/>
  <c r="W8" i="2" s="1"/>
  <c r="V105" i="2"/>
  <c r="X96" i="2"/>
  <c r="X82" i="6" s="1"/>
  <c r="X165" i="2"/>
  <c r="X157" i="2"/>
  <c r="W106" i="2"/>
  <c r="W83" i="6" s="1"/>
  <c r="V82" i="2"/>
  <c r="X72" i="2"/>
  <c r="W156" i="2"/>
  <c r="Z127" i="2"/>
  <c r="X14" i="2"/>
  <c r="X41" i="2"/>
  <c r="Y13" i="2"/>
  <c r="Y40" i="2"/>
  <c r="Y77" i="2"/>
  <c r="Y100" i="2" s="1"/>
  <c r="Y86" i="6" s="1"/>
  <c r="Z42" i="4" a="1"/>
  <c r="Z42" i="4" s="1"/>
  <c r="Z73" i="2" s="1"/>
  <c r="AB1" i="4"/>
  <c r="AB1" i="13" s="1"/>
  <c r="AA1" i="2"/>
  <c r="V177" i="13" l="1"/>
  <c r="V35" i="13"/>
  <c r="V33" i="13" s="1"/>
  <c r="AA126" i="6"/>
  <c r="AA125" i="6"/>
  <c r="AA160" i="6"/>
  <c r="AA159" i="6"/>
  <c r="X251" i="13"/>
  <c r="X249" i="13" s="1"/>
  <c r="X151" i="6"/>
  <c r="X214" i="13"/>
  <c r="X116" i="6"/>
  <c r="W215" i="13"/>
  <c r="W213" i="13" s="1"/>
  <c r="W117" i="6"/>
  <c r="AA163" i="6"/>
  <c r="AA129" i="6"/>
  <c r="AA162" i="6"/>
  <c r="AA128" i="6"/>
  <c r="AA95" i="6"/>
  <c r="AA94" i="6"/>
  <c r="AA92" i="6"/>
  <c r="AA91" i="6"/>
  <c r="X76" i="6"/>
  <c r="X208" i="13"/>
  <c r="Y210" i="13"/>
  <c r="X172" i="13"/>
  <c r="AA189" i="13"/>
  <c r="AA43" i="13" s="1"/>
  <c r="AA190" i="13"/>
  <c r="AA44" i="13" s="1"/>
  <c r="Y209" i="13"/>
  <c r="Y173" i="13"/>
  <c r="Y29" i="13" s="1"/>
  <c r="AA193" i="13"/>
  <c r="AA47" i="13" s="1"/>
  <c r="AA192" i="13"/>
  <c r="AA46" i="13" s="1"/>
  <c r="Y182" i="13"/>
  <c r="Y38" i="13" s="1"/>
  <c r="Y245" i="13"/>
  <c r="AA225" i="13"/>
  <c r="AA226" i="13"/>
  <c r="W81" i="6"/>
  <c r="W179" i="13"/>
  <c r="Y250" i="13"/>
  <c r="AA264" i="13"/>
  <c r="AA265" i="13"/>
  <c r="Y174" i="13"/>
  <c r="Y30" i="13" s="1"/>
  <c r="X178" i="13"/>
  <c r="X34" i="13" s="1"/>
  <c r="Y246" i="13"/>
  <c r="AA228" i="13"/>
  <c r="AA229" i="13"/>
  <c r="V249" i="13"/>
  <c r="X244" i="13"/>
  <c r="AA261" i="13"/>
  <c r="AA262" i="13"/>
  <c r="Y157" i="9"/>
  <c r="Y106" i="9" s="1"/>
  <c r="Y14" i="9"/>
  <c r="Y72" i="9"/>
  <c r="Y165" i="9"/>
  <c r="Z77" i="9"/>
  <c r="Z100" i="9" s="1"/>
  <c r="Z154" i="6" s="1"/>
  <c r="AA74" i="2"/>
  <c r="Y41" i="9"/>
  <c r="AA74" i="8"/>
  <c r="Z88" i="4"/>
  <c r="Z2" i="9" s="1"/>
  <c r="AA127" i="8"/>
  <c r="AA62" i="4" a="1"/>
  <c r="AA62" i="4" s="1"/>
  <c r="AA77" i="8" s="1"/>
  <c r="AA74" i="9"/>
  <c r="Z77" i="8"/>
  <c r="Z100" i="8" s="1"/>
  <c r="Z120" i="6" s="1"/>
  <c r="AA127" i="9"/>
  <c r="AA82" i="4" a="1"/>
  <c r="AA82" i="4" s="1"/>
  <c r="AA73" i="9" s="1"/>
  <c r="AB85" i="4"/>
  <c r="AB81" i="4"/>
  <c r="AB73" i="4"/>
  <c r="AB84" i="4"/>
  <c r="AB86" i="4" s="1" a="1"/>
  <c r="AB86" i="4" s="1"/>
  <c r="AB72" i="4"/>
  <c r="AB74" i="4" s="1" a="1"/>
  <c r="AB74" i="4" s="1"/>
  <c r="AB1" i="8"/>
  <c r="AB64" i="4"/>
  <c r="AB66" i="4" s="1" a="1"/>
  <c r="AB66" i="4" s="1"/>
  <c r="AB57" i="4"/>
  <c r="AB53" i="4"/>
  <c r="AB1" i="9"/>
  <c r="AB77" i="4"/>
  <c r="AB65" i="4"/>
  <c r="AB61" i="4"/>
  <c r="AB52" i="4"/>
  <c r="AB54" i="4" s="1" a="1"/>
  <c r="AB54" i="4" s="1"/>
  <c r="AB56" i="4"/>
  <c r="AB58" i="4" s="1" a="1"/>
  <c r="AB58" i="4" s="1"/>
  <c r="AB60" i="4"/>
  <c r="AB10" i="4"/>
  <c r="AB76" i="4"/>
  <c r="AB78" i="4" s="1" a="1"/>
  <c r="AB78" i="4" s="1"/>
  <c r="AB80" i="4"/>
  <c r="X105" i="9"/>
  <c r="W149" i="6"/>
  <c r="V115" i="6"/>
  <c r="W105" i="8"/>
  <c r="X95" i="8"/>
  <c r="X8" i="8" s="1"/>
  <c r="Y95" i="9"/>
  <c r="Y8" i="9" s="1"/>
  <c r="X82" i="9"/>
  <c r="Z97" i="9"/>
  <c r="Z145" i="6" s="1"/>
  <c r="Z40" i="9"/>
  <c r="Z13" i="9"/>
  <c r="Z164" i="9"/>
  <c r="Z158" i="9"/>
  <c r="Z107" i="9" s="1"/>
  <c r="Z146" i="6" s="1"/>
  <c r="Z158" i="8"/>
  <c r="Z107" i="8" s="1"/>
  <c r="Z112" i="6" s="1"/>
  <c r="Z13" i="8"/>
  <c r="Z164" i="8"/>
  <c r="Z97" i="8"/>
  <c r="Z111" i="6" s="1"/>
  <c r="Z40" i="8"/>
  <c r="Z72" i="9"/>
  <c r="Z41" i="9"/>
  <c r="Z14" i="9"/>
  <c r="Z96" i="9"/>
  <c r="Z150" i="6" s="1"/>
  <c r="Z157" i="9"/>
  <c r="Z165" i="9"/>
  <c r="Y2" i="8"/>
  <c r="Z68" i="4"/>
  <c r="Y2" i="2"/>
  <c r="Z48" i="4"/>
  <c r="Y157" i="8"/>
  <c r="Y165" i="8"/>
  <c r="Y72" i="8"/>
  <c r="Y96" i="8"/>
  <c r="Y41" i="8"/>
  <c r="Y14" i="8"/>
  <c r="Y100" i="8"/>
  <c r="Y120" i="6" s="1"/>
  <c r="X156" i="8"/>
  <c r="X82" i="8" s="1"/>
  <c r="X106" i="8"/>
  <c r="X117" i="6" s="1"/>
  <c r="AB37" i="4"/>
  <c r="AB45" i="4"/>
  <c r="AB32" i="4"/>
  <c r="AB34" i="4" s="1" a="1"/>
  <c r="AB34" i="4" s="1"/>
  <c r="AB41" i="4"/>
  <c r="AB44" i="4"/>
  <c r="AB46" i="4" s="1" a="1"/>
  <c r="AB46" i="4" s="1"/>
  <c r="AB33" i="4"/>
  <c r="AB36" i="4"/>
  <c r="AB38" i="4" s="1" a="1"/>
  <c r="AB38" i="4" s="1"/>
  <c r="AB40" i="4"/>
  <c r="AB1" i="6"/>
  <c r="V81" i="6"/>
  <c r="Y96" i="2"/>
  <c r="Y82" i="6" s="1"/>
  <c r="Y165" i="2"/>
  <c r="Y157" i="2"/>
  <c r="X95" i="2"/>
  <c r="X8" i="2" s="1"/>
  <c r="Z97" i="2"/>
  <c r="Z77" i="6" s="1"/>
  <c r="Z158" i="2"/>
  <c r="Z107" i="2" s="1"/>
  <c r="Z78" i="6" s="1"/>
  <c r="Z164" i="2"/>
  <c r="X106" i="2"/>
  <c r="X83" i="6" s="1"/>
  <c r="W105" i="2"/>
  <c r="W82" i="2"/>
  <c r="Y72" i="2"/>
  <c r="AA127" i="2"/>
  <c r="X156" i="2"/>
  <c r="Y14" i="2"/>
  <c r="Y41" i="2"/>
  <c r="Z77" i="2"/>
  <c r="Z100" i="2" s="1"/>
  <c r="Z86" i="6" s="1"/>
  <c r="Z13" i="2"/>
  <c r="Z40" i="2"/>
  <c r="AA42" i="4" a="1"/>
  <c r="AA42" i="4" s="1"/>
  <c r="AA73" i="2" s="1"/>
  <c r="AC1" i="4"/>
  <c r="AC1" i="13" s="1"/>
  <c r="AB1" i="2"/>
  <c r="W177" i="13" l="1"/>
  <c r="W35" i="13"/>
  <c r="W33" i="13" s="1"/>
  <c r="AB160" i="6"/>
  <c r="AB159" i="6"/>
  <c r="Y208" i="13"/>
  <c r="AB125" i="6"/>
  <c r="AB126" i="6"/>
  <c r="Y251" i="13"/>
  <c r="Y249" i="13" s="1"/>
  <c r="Y151" i="6"/>
  <c r="Y214" i="13"/>
  <c r="Y116" i="6"/>
  <c r="AB129" i="6"/>
  <c r="AB128" i="6"/>
  <c r="AB162" i="6"/>
  <c r="AB163" i="6"/>
  <c r="AB94" i="6"/>
  <c r="AB95" i="6"/>
  <c r="AB92" i="6"/>
  <c r="AB91" i="6"/>
  <c r="Y110" i="6"/>
  <c r="Y76" i="6"/>
  <c r="Y144" i="6"/>
  <c r="Y178" i="13"/>
  <c r="Y34" i="13" s="1"/>
  <c r="Z182" i="13"/>
  <c r="Z38" i="13" s="1"/>
  <c r="AB192" i="13"/>
  <c r="AB46" i="13" s="1"/>
  <c r="AB193" i="13"/>
  <c r="AB47" i="13" s="1"/>
  <c r="Z209" i="13"/>
  <c r="Z245" i="13"/>
  <c r="AB265" i="13"/>
  <c r="AB264" i="13"/>
  <c r="Z218" i="13"/>
  <c r="AB262" i="13"/>
  <c r="AB261" i="13"/>
  <c r="Y244" i="13"/>
  <c r="X179" i="13"/>
  <c r="Z173" i="13"/>
  <c r="Z29" i="13" s="1"/>
  <c r="Z254" i="13"/>
  <c r="Y28" i="13"/>
  <c r="Y172" i="13"/>
  <c r="X28" i="13"/>
  <c r="Y218" i="13"/>
  <c r="Z174" i="13"/>
  <c r="Z30" i="13" s="1"/>
  <c r="Z250" i="13"/>
  <c r="Z110" i="6"/>
  <c r="Z210" i="13"/>
  <c r="AB229" i="13"/>
  <c r="AB228" i="13"/>
  <c r="AB189" i="13"/>
  <c r="AB43" i="13" s="1"/>
  <c r="AB190" i="13"/>
  <c r="AB44" i="13" s="1"/>
  <c r="X215" i="13"/>
  <c r="Z144" i="6"/>
  <c r="Z246" i="13"/>
  <c r="AB225" i="13"/>
  <c r="AB226" i="13"/>
  <c r="Y156" i="9"/>
  <c r="Y82" i="9" s="1"/>
  <c r="AB74" i="2"/>
  <c r="AA88" i="4"/>
  <c r="AA2" i="9" s="1"/>
  <c r="AA73" i="8"/>
  <c r="AA68" i="4"/>
  <c r="AA2" i="8" s="1"/>
  <c r="AB74" i="9"/>
  <c r="AB74" i="8"/>
  <c r="AC65" i="4"/>
  <c r="AC61" i="4"/>
  <c r="AC52" i="4"/>
  <c r="AC54" i="4" s="1" a="1"/>
  <c r="AC54" i="4" s="1"/>
  <c r="AC85" i="4"/>
  <c r="AC81" i="4"/>
  <c r="AC73" i="4"/>
  <c r="AC64" i="4"/>
  <c r="AC66" i="4" s="1" a="1"/>
  <c r="AC66" i="4" s="1"/>
  <c r="AC57" i="4"/>
  <c r="AC53" i="4"/>
  <c r="AC1" i="8"/>
  <c r="AC1" i="9"/>
  <c r="AC84" i="4"/>
  <c r="AC86" i="4" s="1" a="1"/>
  <c r="AC86" i="4" s="1"/>
  <c r="AC77" i="4"/>
  <c r="AC72" i="4"/>
  <c r="AC74" i="4" s="1" a="1"/>
  <c r="AC74" i="4" s="1"/>
  <c r="AC60" i="4"/>
  <c r="AC56" i="4"/>
  <c r="AC58" i="4" s="1" a="1"/>
  <c r="AC58" i="4" s="1"/>
  <c r="AC80" i="4"/>
  <c r="AC76" i="4"/>
  <c r="AC78" i="4" s="1" a="1"/>
  <c r="AC78" i="4" s="1"/>
  <c r="AC10" i="4"/>
  <c r="AA77" i="9"/>
  <c r="AA100" i="9" s="1"/>
  <c r="AA154" i="6" s="1"/>
  <c r="AB127" i="9"/>
  <c r="AB82" i="4" a="1"/>
  <c r="AB82" i="4" s="1"/>
  <c r="AB73" i="9" s="1"/>
  <c r="AB127" i="8"/>
  <c r="AB62" i="4" a="1"/>
  <c r="AB62" i="4" s="1"/>
  <c r="AB73" i="8" s="1"/>
  <c r="X115" i="6"/>
  <c r="Y105" i="9"/>
  <c r="X149" i="6"/>
  <c r="Y95" i="8"/>
  <c r="Y8" i="8" s="1"/>
  <c r="W115" i="6"/>
  <c r="Z95" i="9"/>
  <c r="Z8" i="9" s="1"/>
  <c r="AA41" i="9"/>
  <c r="AA14" i="9"/>
  <c r="AA72" i="9"/>
  <c r="AA157" i="9"/>
  <c r="AA96" i="9"/>
  <c r="AA165" i="9"/>
  <c r="Z156" i="9"/>
  <c r="Z82" i="9" s="1"/>
  <c r="Z106" i="9"/>
  <c r="AA97" i="9"/>
  <c r="AA145" i="6" s="1"/>
  <c r="AA40" i="9"/>
  <c r="AA164" i="9"/>
  <c r="AA158" i="9"/>
  <c r="AA107" i="9" s="1"/>
  <c r="AA146" i="6" s="1"/>
  <c r="AA13" i="9"/>
  <c r="AA13" i="8"/>
  <c r="AA158" i="8"/>
  <c r="AA107" i="8" s="1"/>
  <c r="AA112" i="6" s="1"/>
  <c r="AA164" i="8"/>
  <c r="AA40" i="8"/>
  <c r="AA97" i="8"/>
  <c r="AA111" i="6" s="1"/>
  <c r="Z2" i="8"/>
  <c r="Z157" i="8"/>
  <c r="Z165" i="8"/>
  <c r="Z96" i="8"/>
  <c r="Z41" i="8"/>
  <c r="Z72" i="8"/>
  <c r="Z14" i="8"/>
  <c r="AA48" i="4"/>
  <c r="AA100" i="8"/>
  <c r="AA120" i="6" s="1"/>
  <c r="Y156" i="8"/>
  <c r="Y82" i="8" s="1"/>
  <c r="Y106" i="8"/>
  <c r="Z2" i="2"/>
  <c r="X105" i="8"/>
  <c r="AC45" i="4"/>
  <c r="AC32" i="4"/>
  <c r="AC34" i="4" s="1" a="1"/>
  <c r="AC34" i="4" s="1"/>
  <c r="AC41" i="4"/>
  <c r="AC44" i="4"/>
  <c r="AC46" i="4" s="1" a="1"/>
  <c r="AC46" i="4" s="1"/>
  <c r="AC33" i="4"/>
  <c r="AC37" i="4"/>
  <c r="AC40" i="4"/>
  <c r="AC36" i="4"/>
  <c r="AC38" i="4" s="1" a="1"/>
  <c r="AC38" i="4" s="1"/>
  <c r="AC1" i="6"/>
  <c r="AA97" i="2"/>
  <c r="AA77" i="6" s="1"/>
  <c r="AA158" i="2"/>
  <c r="AA107" i="2" s="1"/>
  <c r="AA78" i="6" s="1"/>
  <c r="AA164" i="2"/>
  <c r="Z96" i="2"/>
  <c r="Z82" i="6" s="1"/>
  <c r="Z157" i="2"/>
  <c r="Z165" i="2"/>
  <c r="X105" i="2"/>
  <c r="Y95" i="2"/>
  <c r="Y8" i="2" s="1"/>
  <c r="Y106" i="2"/>
  <c r="Y83" i="6" s="1"/>
  <c r="X82" i="2"/>
  <c r="Z72" i="2"/>
  <c r="AB127" i="2"/>
  <c r="Y156" i="2"/>
  <c r="AA40" i="2"/>
  <c r="AA13" i="2"/>
  <c r="Z14" i="2"/>
  <c r="Z41" i="2"/>
  <c r="AA77" i="2"/>
  <c r="AA100" i="2" s="1"/>
  <c r="AA86" i="6" s="1"/>
  <c r="AB42" i="4" a="1"/>
  <c r="AB42" i="4" s="1"/>
  <c r="AB73" i="2" s="1"/>
  <c r="AD1" i="4"/>
  <c r="AD1" i="13" s="1"/>
  <c r="AC1" i="2"/>
  <c r="X177" i="13" l="1"/>
  <c r="X35" i="13"/>
  <c r="X33" i="13" s="1"/>
  <c r="AC160" i="6"/>
  <c r="AC159" i="6"/>
  <c r="AC125" i="6"/>
  <c r="AC126" i="6"/>
  <c r="Z251" i="13"/>
  <c r="Z249" i="13" s="1"/>
  <c r="Z151" i="6"/>
  <c r="AA250" i="13"/>
  <c r="AA150" i="6"/>
  <c r="Z214" i="13"/>
  <c r="Z116" i="6"/>
  <c r="Y215" i="13"/>
  <c r="Y213" i="13" s="1"/>
  <c r="Y117" i="6"/>
  <c r="Y115" i="6" s="1"/>
  <c r="AC162" i="6"/>
  <c r="AC128" i="6"/>
  <c r="AC163" i="6"/>
  <c r="AC129" i="6"/>
  <c r="AC95" i="6"/>
  <c r="AC94" i="6"/>
  <c r="AC91" i="6"/>
  <c r="AC92" i="6"/>
  <c r="Z76" i="6"/>
  <c r="AA210" i="13"/>
  <c r="AC261" i="13"/>
  <c r="AC262" i="13"/>
  <c r="X213" i="13"/>
  <c r="Z172" i="13"/>
  <c r="Z28" i="13"/>
  <c r="AA182" i="13"/>
  <c r="AA38" i="13" s="1"/>
  <c r="AA174" i="13"/>
  <c r="AA30" i="13" s="1"/>
  <c r="AC189" i="13"/>
  <c r="AC43" i="13" s="1"/>
  <c r="AC190" i="13"/>
  <c r="AC44" i="13" s="1"/>
  <c r="Z208" i="13"/>
  <c r="AC225" i="13"/>
  <c r="AC226" i="13"/>
  <c r="AC229" i="13"/>
  <c r="AC228" i="13"/>
  <c r="AA245" i="13"/>
  <c r="Z178" i="13"/>
  <c r="Z34" i="13" s="1"/>
  <c r="Z244" i="13"/>
  <c r="Y179" i="13"/>
  <c r="AA173" i="13"/>
  <c r="AA29" i="13" s="1"/>
  <c r="AA246" i="13"/>
  <c r="AC193" i="13"/>
  <c r="AC47" i="13" s="1"/>
  <c r="AC192" i="13"/>
  <c r="AC46" i="13" s="1"/>
  <c r="AA218" i="13"/>
  <c r="AA110" i="6"/>
  <c r="AA209" i="13"/>
  <c r="AA254" i="13"/>
  <c r="AC265" i="13"/>
  <c r="AC264" i="13"/>
  <c r="AC74" i="2"/>
  <c r="AB68" i="4"/>
  <c r="AB2" i="8" s="1"/>
  <c r="AB88" i="4"/>
  <c r="AB2" i="9" s="1"/>
  <c r="AB77" i="8"/>
  <c r="AB100" i="8" s="1"/>
  <c r="AB120" i="6" s="1"/>
  <c r="AB77" i="9"/>
  <c r="AB100" i="9" s="1"/>
  <c r="AB154" i="6" s="1"/>
  <c r="AD85" i="4"/>
  <c r="AD81" i="4"/>
  <c r="AD64" i="4"/>
  <c r="AD66" i="4" s="1" a="1"/>
  <c r="AD66" i="4" s="1"/>
  <c r="AD57" i="4"/>
  <c r="AD53" i="4"/>
  <c r="AD1" i="8"/>
  <c r="AD61" i="4"/>
  <c r="AD1" i="9"/>
  <c r="AD52" i="4"/>
  <c r="AD54" i="4" s="1" a="1"/>
  <c r="AD54" i="4" s="1"/>
  <c r="AD84" i="4"/>
  <c r="AD86" i="4" s="1" a="1"/>
  <c r="AD86" i="4" s="1"/>
  <c r="AD77" i="4"/>
  <c r="AD72" i="4"/>
  <c r="AD74" i="4" s="1" a="1"/>
  <c r="AD74" i="4" s="1"/>
  <c r="AD65" i="4"/>
  <c r="AD73" i="4"/>
  <c r="AD60" i="4"/>
  <c r="AD56" i="4"/>
  <c r="AD58" i="4" s="1" a="1"/>
  <c r="AD58" i="4" s="1"/>
  <c r="AD80" i="4"/>
  <c r="AD76" i="4"/>
  <c r="AD78" i="4" s="1" a="1"/>
  <c r="AD78" i="4" s="1"/>
  <c r="AD10" i="4"/>
  <c r="AC74" i="9"/>
  <c r="AC74" i="8"/>
  <c r="AC127" i="9"/>
  <c r="AC82" i="4" a="1"/>
  <c r="AC82" i="4" s="1"/>
  <c r="AC73" i="9" s="1"/>
  <c r="AC127" i="8"/>
  <c r="AC62" i="4" a="1"/>
  <c r="AC62" i="4" s="1"/>
  <c r="AC77" i="8" s="1"/>
  <c r="Y149" i="6"/>
  <c r="Z105" i="9"/>
  <c r="AA95" i="9"/>
  <c r="AA8" i="9" s="1"/>
  <c r="Z95" i="8"/>
  <c r="Z8" i="8" s="1"/>
  <c r="Y105" i="8"/>
  <c r="AB13" i="9"/>
  <c r="AB158" i="9"/>
  <c r="AB107" i="9" s="1"/>
  <c r="AB146" i="6" s="1"/>
  <c r="AB164" i="9"/>
  <c r="AB97" i="9"/>
  <c r="AB145" i="6" s="1"/>
  <c r="AB40" i="9"/>
  <c r="AB97" i="8"/>
  <c r="AB111" i="6" s="1"/>
  <c r="AB40" i="8"/>
  <c r="AB13" i="8"/>
  <c r="AB158" i="8"/>
  <c r="AB107" i="8" s="1"/>
  <c r="AB112" i="6" s="1"/>
  <c r="AB164" i="8"/>
  <c r="AA156" i="9"/>
  <c r="AA82" i="9" s="1"/>
  <c r="AA106" i="9"/>
  <c r="AB165" i="9"/>
  <c r="AB157" i="9"/>
  <c r="AB96" i="9"/>
  <c r="AB72" i="9"/>
  <c r="AB41" i="9"/>
  <c r="AB14" i="9"/>
  <c r="AA2" i="2"/>
  <c r="AB48" i="4"/>
  <c r="AA165" i="8"/>
  <c r="AA157" i="8"/>
  <c r="AA96" i="8"/>
  <c r="AA72" i="8"/>
  <c r="AA41" i="8"/>
  <c r="AA14" i="8"/>
  <c r="Z156" i="8"/>
  <c r="Z82" i="8" s="1"/>
  <c r="Z106" i="8"/>
  <c r="AD32" i="4"/>
  <c r="AD34" i="4" s="1" a="1"/>
  <c r="AD34" i="4" s="1"/>
  <c r="AD41" i="4"/>
  <c r="AD33" i="4"/>
  <c r="AD44" i="4"/>
  <c r="AD46" i="4" s="1" a="1"/>
  <c r="AD46" i="4" s="1"/>
  <c r="AD37" i="4"/>
  <c r="AD45" i="4"/>
  <c r="AD40" i="4"/>
  <c r="AD36" i="4"/>
  <c r="AD38" i="4" s="1" a="1"/>
  <c r="AD38" i="4" s="1"/>
  <c r="AD1" i="6"/>
  <c r="X81" i="6"/>
  <c r="Z95" i="2"/>
  <c r="Z8" i="2" s="1"/>
  <c r="Y105" i="2"/>
  <c r="AA96" i="2"/>
  <c r="AA82" i="6" s="1"/>
  <c r="AA157" i="2"/>
  <c r="AA165" i="2"/>
  <c r="AB97" i="2"/>
  <c r="AB77" i="6" s="1"/>
  <c r="AB158" i="2"/>
  <c r="AB107" i="2" s="1"/>
  <c r="AB78" i="6" s="1"/>
  <c r="AB164" i="2"/>
  <c r="Z106" i="2"/>
  <c r="Z83" i="6" s="1"/>
  <c r="Y82" i="2"/>
  <c r="AA72" i="2"/>
  <c r="AC127" i="2"/>
  <c r="Z156" i="2"/>
  <c r="AB13" i="2"/>
  <c r="AB40" i="2"/>
  <c r="AA14" i="2"/>
  <c r="AA41" i="2"/>
  <c r="AB77" i="2"/>
  <c r="AB100" i="2" s="1"/>
  <c r="AB86" i="6" s="1"/>
  <c r="AC42" i="4" a="1"/>
  <c r="AC42" i="4" s="1"/>
  <c r="AC73" i="2" s="1"/>
  <c r="AE1" i="4"/>
  <c r="AE1" i="13" s="1"/>
  <c r="AD1" i="2"/>
  <c r="Y177" i="13" l="1"/>
  <c r="Y35" i="13"/>
  <c r="Y33" i="13" s="1"/>
  <c r="AD160" i="6"/>
  <c r="AD159" i="6"/>
  <c r="AD125" i="6"/>
  <c r="AD126" i="6"/>
  <c r="AB250" i="13"/>
  <c r="AB150" i="6"/>
  <c r="AA251" i="13"/>
  <c r="AA249" i="13" s="1"/>
  <c r="AA151" i="6"/>
  <c r="AA214" i="13"/>
  <c r="AA116" i="6"/>
  <c r="Z215" i="13"/>
  <c r="Z213" i="13" s="1"/>
  <c r="Z117" i="6"/>
  <c r="AD162" i="6"/>
  <c r="AD128" i="6"/>
  <c r="AD163" i="6"/>
  <c r="AD129" i="6"/>
  <c r="AD94" i="6"/>
  <c r="AD95" i="6"/>
  <c r="AD91" i="6"/>
  <c r="AD92" i="6"/>
  <c r="AA144" i="6"/>
  <c r="AB173" i="13"/>
  <c r="AB29" i="13" s="1"/>
  <c r="AA76" i="6"/>
  <c r="AD228" i="13"/>
  <c r="AD229" i="13"/>
  <c r="AB210" i="13"/>
  <c r="AD193" i="13"/>
  <c r="AD47" i="13" s="1"/>
  <c r="AD192" i="13"/>
  <c r="AD46" i="13" s="1"/>
  <c r="AD265" i="13"/>
  <c r="AD264" i="13"/>
  <c r="AD262" i="13"/>
  <c r="AD261" i="13"/>
  <c r="AB174" i="13"/>
  <c r="AB30" i="13" s="1"/>
  <c r="AB209" i="13"/>
  <c r="AB182" i="13"/>
  <c r="AB38" i="13" s="1"/>
  <c r="AA178" i="13"/>
  <c r="AA34" i="13" s="1"/>
  <c r="AB245" i="13"/>
  <c r="AB254" i="13"/>
  <c r="AA244" i="13"/>
  <c r="AB246" i="13"/>
  <c r="Z179" i="13"/>
  <c r="Z35" i="13" s="1"/>
  <c r="AD189" i="13"/>
  <c r="AD43" i="13" s="1"/>
  <c r="AD190" i="13"/>
  <c r="AD44" i="13" s="1"/>
  <c r="AD226" i="13"/>
  <c r="AD225" i="13"/>
  <c r="AB218" i="13"/>
  <c r="AA208" i="13"/>
  <c r="AA172" i="13"/>
  <c r="AA28" i="13"/>
  <c r="AC77" i="9"/>
  <c r="AC100" i="9" s="1"/>
  <c r="AC154" i="6" s="1"/>
  <c r="AC88" i="4"/>
  <c r="AC2" i="9" s="1"/>
  <c r="AD74" i="2"/>
  <c r="AD158" i="2" s="1"/>
  <c r="AD107" i="2" s="1"/>
  <c r="AD78" i="6" s="1"/>
  <c r="AC73" i="8"/>
  <c r="AC68" i="4"/>
  <c r="AC2" i="8" s="1"/>
  <c r="AD74" i="9"/>
  <c r="AD127" i="8"/>
  <c r="AD62" i="4" a="1"/>
  <c r="AD62" i="4" s="1"/>
  <c r="AD73" i="8" s="1"/>
  <c r="AD74" i="8"/>
  <c r="AE85" i="4"/>
  <c r="AE81" i="4"/>
  <c r="AE73" i="4"/>
  <c r="AE64" i="4"/>
  <c r="AE66" i="4" s="1" a="1"/>
  <c r="AE66" i="4" s="1"/>
  <c r="AE57" i="4"/>
  <c r="AE53" i="4"/>
  <c r="AE1" i="8"/>
  <c r="AE1" i="9"/>
  <c r="AE84" i="4"/>
  <c r="AE86" i="4" s="1" a="1"/>
  <c r="AE86" i="4" s="1"/>
  <c r="AE77" i="4"/>
  <c r="AE72" i="4"/>
  <c r="AE74" i="4" s="1" a="1"/>
  <c r="AE74" i="4" s="1"/>
  <c r="AE65" i="4"/>
  <c r="AE61" i="4"/>
  <c r="AE52" i="4"/>
  <c r="AE54" i="4" s="1" a="1"/>
  <c r="AE54" i="4" s="1"/>
  <c r="AE60" i="4"/>
  <c r="AE56" i="4"/>
  <c r="AE58" i="4" s="1" a="1"/>
  <c r="AE58" i="4" s="1"/>
  <c r="AE80" i="4"/>
  <c r="AE76" i="4"/>
  <c r="AE78" i="4" s="1" a="1"/>
  <c r="AE78" i="4" s="1"/>
  <c r="AE10" i="4"/>
  <c r="AD127" i="9"/>
  <c r="AD82" i="4" a="1"/>
  <c r="AD82" i="4" s="1"/>
  <c r="AD77" i="9" s="1"/>
  <c r="AD100" i="9" s="1"/>
  <c r="AD154" i="6" s="1"/>
  <c r="AB110" i="6"/>
  <c r="Z149" i="6"/>
  <c r="AA105" i="9"/>
  <c r="AB95" i="9"/>
  <c r="AB8" i="9" s="1"/>
  <c r="AA95" i="8"/>
  <c r="AA8" i="8" s="1"/>
  <c r="Z105" i="8"/>
  <c r="AC13" i="8"/>
  <c r="AC164" i="8"/>
  <c r="AC158" i="8"/>
  <c r="AC107" i="8" s="1"/>
  <c r="AC112" i="6" s="1"/>
  <c r="AC97" i="8"/>
  <c r="AC111" i="6" s="1"/>
  <c r="AC40" i="8"/>
  <c r="AB156" i="9"/>
  <c r="AB82" i="9" s="1"/>
  <c r="AB106" i="9"/>
  <c r="AC14" i="9"/>
  <c r="AC165" i="9"/>
  <c r="AC96" i="9"/>
  <c r="AC150" i="6" s="1"/>
  <c r="AC157" i="9"/>
  <c r="AC72" i="9"/>
  <c r="AC41" i="9"/>
  <c r="AC164" i="9"/>
  <c r="AC158" i="9"/>
  <c r="AC107" i="9" s="1"/>
  <c r="AC146" i="6" s="1"/>
  <c r="AC97" i="9"/>
  <c r="AC145" i="6" s="1"/>
  <c r="AC40" i="9"/>
  <c r="AC13" i="9"/>
  <c r="AA156" i="8"/>
  <c r="AA82" i="8" s="1"/>
  <c r="AA106" i="8"/>
  <c r="AB165" i="8"/>
  <c r="AB157" i="8"/>
  <c r="AB72" i="8"/>
  <c r="AB96" i="8"/>
  <c r="AB41" i="8"/>
  <c r="AB14" i="8"/>
  <c r="AB2" i="2"/>
  <c r="AC48" i="4"/>
  <c r="AC100" i="8"/>
  <c r="AC120" i="6" s="1"/>
  <c r="AE41" i="4"/>
  <c r="AE44" i="4"/>
  <c r="AE46" i="4" s="1" a="1"/>
  <c r="AE46" i="4" s="1"/>
  <c r="AE33" i="4"/>
  <c r="AE37" i="4"/>
  <c r="AE32" i="4"/>
  <c r="AE34" i="4" s="1" a="1"/>
  <c r="AE34" i="4" s="1"/>
  <c r="AE45" i="4"/>
  <c r="AE40" i="4"/>
  <c r="AE36" i="4"/>
  <c r="AE38" i="4" s="1" a="1"/>
  <c r="AE38" i="4" s="1"/>
  <c r="AE1" i="6"/>
  <c r="Y81" i="6"/>
  <c r="Z105" i="2"/>
  <c r="AA95" i="2"/>
  <c r="AA8" i="2" s="1"/>
  <c r="AB96" i="2"/>
  <c r="AB82" i="6" s="1"/>
  <c r="AB157" i="2"/>
  <c r="AB165" i="2"/>
  <c r="AC97" i="2"/>
  <c r="AC77" i="6" s="1"/>
  <c r="AC158" i="2"/>
  <c r="AC107" i="2" s="1"/>
  <c r="AC78" i="6" s="1"/>
  <c r="AC164" i="2"/>
  <c r="AA106" i="2"/>
  <c r="AA83" i="6" s="1"/>
  <c r="Z82" i="2"/>
  <c r="AB72" i="2"/>
  <c r="AD127" i="2"/>
  <c r="AA156" i="2"/>
  <c r="AC77" i="2"/>
  <c r="AC100" i="2" s="1"/>
  <c r="AC86" i="6" s="1"/>
  <c r="AC13" i="2"/>
  <c r="AC40" i="2"/>
  <c r="AB14" i="2"/>
  <c r="AB41" i="2"/>
  <c r="AD42" i="4" a="1"/>
  <c r="AD42" i="4" s="1"/>
  <c r="AD73" i="2" s="1"/>
  <c r="AF1" i="4"/>
  <c r="AF1" i="13" s="1"/>
  <c r="AE1" i="2"/>
  <c r="AE126" i="6" l="1"/>
  <c r="AE125" i="6"/>
  <c r="AE159" i="6"/>
  <c r="AE160" i="6"/>
  <c r="AB251" i="13"/>
  <c r="AB249" i="13" s="1"/>
  <c r="AB151" i="6"/>
  <c r="AA215" i="13"/>
  <c r="AA213" i="13" s="1"/>
  <c r="AA117" i="6"/>
  <c r="AA115" i="6" s="1"/>
  <c r="AB214" i="13"/>
  <c r="AB116" i="6"/>
  <c r="AE162" i="6"/>
  <c r="AE128" i="6"/>
  <c r="AE163" i="6"/>
  <c r="AE129" i="6"/>
  <c r="AE95" i="6"/>
  <c r="AE94" i="6"/>
  <c r="AE91" i="6"/>
  <c r="AE92" i="6"/>
  <c r="AB144" i="6"/>
  <c r="AB244" i="13"/>
  <c r="AB76" i="6"/>
  <c r="AC218" i="13"/>
  <c r="Z33" i="13"/>
  <c r="AB172" i="13"/>
  <c r="AB28" i="13"/>
  <c r="AB178" i="13"/>
  <c r="AB34" i="13" s="1"/>
  <c r="AE228" i="13"/>
  <c r="AE229" i="13"/>
  <c r="AA179" i="13"/>
  <c r="AA35" i="13" s="1"/>
  <c r="AB208" i="13"/>
  <c r="AE192" i="13"/>
  <c r="AE46" i="13" s="1"/>
  <c r="AE193" i="13"/>
  <c r="AE47" i="13" s="1"/>
  <c r="AC246" i="13"/>
  <c r="AC209" i="13"/>
  <c r="AC210" i="13"/>
  <c r="AE262" i="13"/>
  <c r="AE261" i="13"/>
  <c r="AE264" i="13"/>
  <c r="AE265" i="13"/>
  <c r="Z177" i="13"/>
  <c r="AE190" i="13"/>
  <c r="AE44" i="13" s="1"/>
  <c r="AE189" i="13"/>
  <c r="AE43" i="13" s="1"/>
  <c r="AC174" i="13"/>
  <c r="AC30" i="13" s="1"/>
  <c r="AC250" i="13"/>
  <c r="AD174" i="13"/>
  <c r="AD30" i="13" s="1"/>
  <c r="AC173" i="13"/>
  <c r="AC29" i="13" s="1"/>
  <c r="AD254" i="13"/>
  <c r="AE226" i="13"/>
  <c r="AE225" i="13"/>
  <c r="AC182" i="13"/>
  <c r="AC38" i="13" s="1"/>
  <c r="AC245" i="13"/>
  <c r="AC254" i="13"/>
  <c r="AE74" i="2"/>
  <c r="AD68" i="4"/>
  <c r="AD2" i="8" s="1"/>
  <c r="AE74" i="9"/>
  <c r="AD88" i="4"/>
  <c r="AD2" i="9" s="1"/>
  <c r="AD77" i="8"/>
  <c r="AD100" i="8" s="1"/>
  <c r="AD120" i="6" s="1"/>
  <c r="AD73" i="9"/>
  <c r="AD165" i="9" s="1"/>
  <c r="AE127" i="9"/>
  <c r="AE82" i="4" a="1"/>
  <c r="AE82" i="4" s="1"/>
  <c r="AE73" i="9" s="1"/>
  <c r="AE127" i="8"/>
  <c r="AE62" i="4" a="1"/>
  <c r="AE62" i="4" s="1"/>
  <c r="AE73" i="8" s="1"/>
  <c r="AE74" i="8"/>
  <c r="AF1" i="9"/>
  <c r="AF84" i="4"/>
  <c r="AF86" i="4" s="1" a="1"/>
  <c r="AF86" i="4" s="1"/>
  <c r="AF77" i="4"/>
  <c r="AF72" i="4"/>
  <c r="AF74" i="4" s="1" a="1"/>
  <c r="AF74" i="4" s="1"/>
  <c r="AF81" i="4"/>
  <c r="AF73" i="4"/>
  <c r="AF65" i="4"/>
  <c r="AF61" i="4"/>
  <c r="AF52" i="4"/>
  <c r="AF54" i="4" s="1" a="1"/>
  <c r="AF54" i="4" s="1"/>
  <c r="AF85" i="4"/>
  <c r="AF64" i="4"/>
  <c r="AF66" i="4" s="1" a="1"/>
  <c r="AF66" i="4" s="1"/>
  <c r="AF57" i="4"/>
  <c r="AF53" i="4"/>
  <c r="AF1" i="8"/>
  <c r="AF56" i="4"/>
  <c r="AF58" i="4" s="1" a="1"/>
  <c r="AF58" i="4" s="1"/>
  <c r="AF60" i="4"/>
  <c r="AF76" i="4"/>
  <c r="AF78" i="4" s="1" a="1"/>
  <c r="AF78" i="4" s="1"/>
  <c r="AF80" i="4"/>
  <c r="AF10" i="4"/>
  <c r="AB105" i="9"/>
  <c r="AA149" i="6"/>
  <c r="AA105" i="8"/>
  <c r="Z115" i="6"/>
  <c r="AB95" i="8"/>
  <c r="AB8" i="8" s="1"/>
  <c r="AC106" i="9"/>
  <c r="AC156" i="9"/>
  <c r="AC82" i="9" s="1"/>
  <c r="AC95" i="9"/>
  <c r="AC8" i="9" s="1"/>
  <c r="AD40" i="8"/>
  <c r="AD158" i="8"/>
  <c r="AD107" i="8" s="1"/>
  <c r="AD112" i="6" s="1"/>
  <c r="AD97" i="8"/>
  <c r="AD111" i="6" s="1"/>
  <c r="AD13" i="8"/>
  <c r="AD164" i="8"/>
  <c r="AD13" i="9"/>
  <c r="AD164" i="9"/>
  <c r="AD158" i="9"/>
  <c r="AD107" i="9" s="1"/>
  <c r="AD146" i="6" s="1"/>
  <c r="AD97" i="9"/>
  <c r="AD145" i="6" s="1"/>
  <c r="AD40" i="9"/>
  <c r="AC2" i="2"/>
  <c r="AC165" i="8"/>
  <c r="AC157" i="8"/>
  <c r="AC72" i="8"/>
  <c r="AC96" i="8"/>
  <c r="AC41" i="8"/>
  <c r="AC14" i="8"/>
  <c r="AB156" i="8"/>
  <c r="AB82" i="8" s="1"/>
  <c r="AB106" i="8"/>
  <c r="AD48" i="4"/>
  <c r="AF44" i="4"/>
  <c r="AF46" i="4" s="1" a="1"/>
  <c r="AF46" i="4" s="1"/>
  <c r="AF33" i="4"/>
  <c r="AF41" i="4"/>
  <c r="AF37" i="4"/>
  <c r="AF45" i="4"/>
  <c r="AF32" i="4"/>
  <c r="AF34" i="4" s="1" a="1"/>
  <c r="AF34" i="4" s="1"/>
  <c r="AF36" i="4"/>
  <c r="AF38" i="4" s="1" a="1"/>
  <c r="AF38" i="4" s="1"/>
  <c r="AF40" i="4"/>
  <c r="AD97" i="2"/>
  <c r="AD164" i="2"/>
  <c r="AF1" i="6"/>
  <c r="Z81" i="6"/>
  <c r="AA105" i="2"/>
  <c r="AC96" i="2"/>
  <c r="AC82" i="6" s="1"/>
  <c r="AC165" i="2"/>
  <c r="AC157" i="2"/>
  <c r="AB95" i="2"/>
  <c r="AB8" i="2" s="1"/>
  <c r="AB106" i="2"/>
  <c r="AB83" i="6" s="1"/>
  <c r="AA82" i="2"/>
  <c r="AC72" i="2"/>
  <c r="AE127" i="2"/>
  <c r="AB156" i="2"/>
  <c r="AD77" i="2"/>
  <c r="AD100" i="2" s="1"/>
  <c r="AD86" i="6" s="1"/>
  <c r="AC41" i="2"/>
  <c r="AC14" i="2"/>
  <c r="AD13" i="2"/>
  <c r="AD40" i="2"/>
  <c r="AE42" i="4" a="1"/>
  <c r="AE42" i="4" s="1"/>
  <c r="AE73" i="2" s="1"/>
  <c r="AG1" i="4"/>
  <c r="AG1" i="13" s="1"/>
  <c r="AF1" i="2"/>
  <c r="AF159" i="6" l="1"/>
  <c r="AF160" i="6"/>
  <c r="AF126" i="6"/>
  <c r="AF125" i="6"/>
  <c r="AD173" i="13"/>
  <c r="AD172" i="13" s="1"/>
  <c r="AD77" i="6"/>
  <c r="AC251" i="13"/>
  <c r="AC249" i="13" s="1"/>
  <c r="AC151" i="6"/>
  <c r="AC214" i="13"/>
  <c r="AC116" i="6"/>
  <c r="AB215" i="13"/>
  <c r="AB213" i="13" s="1"/>
  <c r="AB117" i="6"/>
  <c r="AF162" i="6"/>
  <c r="AF128" i="6"/>
  <c r="AF163" i="6"/>
  <c r="AF129" i="6"/>
  <c r="AF95" i="6"/>
  <c r="AF94" i="6"/>
  <c r="AF92" i="6"/>
  <c r="AF91" i="6"/>
  <c r="AC76" i="6"/>
  <c r="AC110" i="6"/>
  <c r="AC144" i="6"/>
  <c r="AA33" i="13"/>
  <c r="AC244" i="13"/>
  <c r="AB179" i="13"/>
  <c r="AD210" i="13"/>
  <c r="AD218" i="13"/>
  <c r="AC28" i="13"/>
  <c r="AC172" i="13"/>
  <c r="AF192" i="13"/>
  <c r="AF46" i="13" s="1"/>
  <c r="AF193" i="13"/>
  <c r="AF47" i="13" s="1"/>
  <c r="AF190" i="13"/>
  <c r="AF44" i="13" s="1"/>
  <c r="AF189" i="13"/>
  <c r="AF43" i="13" s="1"/>
  <c r="AD246" i="13"/>
  <c r="AD144" i="6"/>
  <c r="AD245" i="13"/>
  <c r="AF229" i="13"/>
  <c r="AF228" i="13"/>
  <c r="AF226" i="13"/>
  <c r="AF225" i="13"/>
  <c r="AD209" i="13"/>
  <c r="AD182" i="13"/>
  <c r="AD38" i="13" s="1"/>
  <c r="AC178" i="13"/>
  <c r="AC34" i="13" s="1"/>
  <c r="AF261" i="13"/>
  <c r="AF262" i="13"/>
  <c r="AF264" i="13"/>
  <c r="AF265" i="13"/>
  <c r="AA177" i="13"/>
  <c r="AC208" i="13"/>
  <c r="AE77" i="9"/>
  <c r="AE100" i="9" s="1"/>
  <c r="AE154" i="6" s="1"/>
  <c r="AD41" i="9"/>
  <c r="AD14" i="9"/>
  <c r="AF74" i="2"/>
  <c r="AE88" i="4"/>
  <c r="AE2" i="9" s="1"/>
  <c r="AD96" i="9"/>
  <c r="AD150" i="6" s="1"/>
  <c r="AE68" i="4"/>
  <c r="AE2" i="8" s="1"/>
  <c r="AD157" i="9"/>
  <c r="AD106" i="9" s="1"/>
  <c r="AE77" i="8"/>
  <c r="AE100" i="8" s="1"/>
  <c r="AE120" i="6" s="1"/>
  <c r="AD72" i="9"/>
  <c r="AF127" i="9"/>
  <c r="AF82" i="4" a="1"/>
  <c r="AF82" i="4" s="1"/>
  <c r="AF88" i="4" s="1"/>
  <c r="AF2" i="9" s="1"/>
  <c r="AF74" i="9"/>
  <c r="AF127" i="8"/>
  <c r="AF62" i="4" a="1"/>
  <c r="AF62" i="4" s="1"/>
  <c r="AF77" i="8" s="1"/>
  <c r="AG64" i="4"/>
  <c r="AG66" i="4" s="1" a="1"/>
  <c r="AG66" i="4" s="1"/>
  <c r="AG57" i="4"/>
  <c r="AG53" i="4"/>
  <c r="AG1" i="8"/>
  <c r="AG1" i="9"/>
  <c r="AG84" i="4"/>
  <c r="AG86" i="4" s="1" a="1"/>
  <c r="AG86" i="4" s="1"/>
  <c r="AG77" i="4"/>
  <c r="AG72" i="4"/>
  <c r="AG74" i="4" s="1" a="1"/>
  <c r="AG74" i="4" s="1"/>
  <c r="AG65" i="4"/>
  <c r="AG61" i="4"/>
  <c r="AG52" i="4"/>
  <c r="AG54" i="4" s="1" a="1"/>
  <c r="AG54" i="4" s="1"/>
  <c r="AG85" i="4"/>
  <c r="AG81" i="4"/>
  <c r="AG73" i="4"/>
  <c r="AG60" i="4"/>
  <c r="AG56" i="4"/>
  <c r="AG58" i="4" s="1" a="1"/>
  <c r="AG58" i="4" s="1"/>
  <c r="AG76" i="4"/>
  <c r="AG78" i="4" s="1" a="1"/>
  <c r="AG78" i="4" s="1"/>
  <c r="AG80" i="4"/>
  <c r="AG10" i="4"/>
  <c r="AF74" i="8"/>
  <c r="AC105" i="9"/>
  <c r="AB149" i="6"/>
  <c r="AB105" i="8"/>
  <c r="AC95" i="8"/>
  <c r="AC8" i="8" s="1"/>
  <c r="AE165" i="9"/>
  <c r="AE157" i="9"/>
  <c r="AE96" i="9"/>
  <c r="AE150" i="6" s="1"/>
  <c r="AE41" i="9"/>
  <c r="AE72" i="9"/>
  <c r="AE14" i="9"/>
  <c r="AE13" i="8"/>
  <c r="AE97" i="8"/>
  <c r="AE111" i="6" s="1"/>
  <c r="AE40" i="8"/>
  <c r="AE158" i="8"/>
  <c r="AE107" i="8" s="1"/>
  <c r="AE112" i="6" s="1"/>
  <c r="AE164" i="8"/>
  <c r="AE164" i="9"/>
  <c r="AE158" i="9"/>
  <c r="AE107" i="9" s="1"/>
  <c r="AE146" i="6" s="1"/>
  <c r="AE97" i="9"/>
  <c r="AE145" i="6" s="1"/>
  <c r="AE40" i="9"/>
  <c r="AE13" i="9"/>
  <c r="AE48" i="4"/>
  <c r="AD2" i="2"/>
  <c r="AC156" i="8"/>
  <c r="AC82" i="8" s="1"/>
  <c r="AC106" i="8"/>
  <c r="AD165" i="8"/>
  <c r="AD157" i="8"/>
  <c r="AD72" i="8"/>
  <c r="AD96" i="8"/>
  <c r="AD41" i="8"/>
  <c r="AD14" i="8"/>
  <c r="AG44" i="4"/>
  <c r="AG46" i="4" s="1" a="1"/>
  <c r="AG46" i="4" s="1"/>
  <c r="AG33" i="4"/>
  <c r="AG32" i="4"/>
  <c r="AG34" i="4" s="1" a="1"/>
  <c r="AG34" i="4" s="1"/>
  <c r="AG37" i="4"/>
  <c r="AG45" i="4"/>
  <c r="AG41" i="4"/>
  <c r="AG40" i="4"/>
  <c r="AG36" i="4"/>
  <c r="AG38" i="4" s="1" a="1"/>
  <c r="AG38" i="4" s="1"/>
  <c r="AG1" i="6"/>
  <c r="AA81" i="6"/>
  <c r="AD96" i="2"/>
  <c r="AD82" i="6" s="1"/>
  <c r="AD165" i="2"/>
  <c r="AD157" i="2"/>
  <c r="AE97" i="2"/>
  <c r="AE77" i="6" s="1"/>
  <c r="AE164" i="2"/>
  <c r="AE158" i="2"/>
  <c r="AE107" i="2" s="1"/>
  <c r="AE78" i="6" s="1"/>
  <c r="AC95" i="2"/>
  <c r="AC8" i="2" s="1"/>
  <c r="AB105" i="2"/>
  <c r="AC106" i="2"/>
  <c r="AC83" i="6" s="1"/>
  <c r="AB82" i="2"/>
  <c r="AD72" i="2"/>
  <c r="AF127" i="2"/>
  <c r="AC156" i="2"/>
  <c r="AD14" i="2"/>
  <c r="AD41" i="2"/>
  <c r="AE77" i="2"/>
  <c r="AE100" i="2" s="1"/>
  <c r="AE86" i="6" s="1"/>
  <c r="AE13" i="2"/>
  <c r="AE40" i="2"/>
  <c r="AF42" i="4" a="1"/>
  <c r="AF42" i="4" s="1"/>
  <c r="AF73" i="2" s="1"/>
  <c r="AH1" i="4"/>
  <c r="AH1" i="13" s="1"/>
  <c r="AG1" i="2"/>
  <c r="AD29" i="13" l="1"/>
  <c r="AD28" i="13" s="1"/>
  <c r="AB177" i="13"/>
  <c r="AB35" i="13"/>
  <c r="AB33" i="13" s="1"/>
  <c r="AG159" i="6"/>
  <c r="AG160" i="6"/>
  <c r="AG126" i="6"/>
  <c r="AG125" i="6"/>
  <c r="AD251" i="13"/>
  <c r="AD151" i="6"/>
  <c r="AD214" i="13"/>
  <c r="AD116" i="6"/>
  <c r="AB115" i="6"/>
  <c r="AC215" i="13"/>
  <c r="AC213" i="13" s="1"/>
  <c r="AC117" i="6"/>
  <c r="AG163" i="6"/>
  <c r="AG129" i="6"/>
  <c r="AG162" i="6"/>
  <c r="AG128" i="6"/>
  <c r="AG95" i="6"/>
  <c r="AG94" i="6"/>
  <c r="AG92" i="6"/>
  <c r="AG91" i="6"/>
  <c r="AD208" i="13"/>
  <c r="AE246" i="13"/>
  <c r="AE218" i="13"/>
  <c r="AD250" i="13"/>
  <c r="AE110" i="6"/>
  <c r="AE210" i="13"/>
  <c r="AC179" i="13"/>
  <c r="AC35" i="13" s="1"/>
  <c r="AD178" i="13"/>
  <c r="AD34" i="13" s="1"/>
  <c r="AG261" i="13"/>
  <c r="AG262" i="13"/>
  <c r="AG192" i="13"/>
  <c r="AG46" i="13" s="1"/>
  <c r="AG193" i="13"/>
  <c r="AG47" i="13" s="1"/>
  <c r="AE182" i="13"/>
  <c r="AE38" i="13" s="1"/>
  <c r="AG229" i="13"/>
  <c r="AG228" i="13"/>
  <c r="AG264" i="13"/>
  <c r="AG265" i="13"/>
  <c r="AE173" i="13"/>
  <c r="AE29" i="13" s="1"/>
  <c r="AE250" i="13"/>
  <c r="AE209" i="13"/>
  <c r="AE254" i="13"/>
  <c r="AG189" i="13"/>
  <c r="AG43" i="13" s="1"/>
  <c r="AG190" i="13"/>
  <c r="AG44" i="13" s="1"/>
  <c r="AE174" i="13"/>
  <c r="AE30" i="13" s="1"/>
  <c r="AE144" i="6"/>
  <c r="AE245" i="13"/>
  <c r="AD110" i="6"/>
  <c r="AG225" i="13"/>
  <c r="AG226" i="13"/>
  <c r="AD244" i="13"/>
  <c r="AF68" i="4"/>
  <c r="AF2" i="8" s="1"/>
  <c r="AD156" i="9"/>
  <c r="AD82" i="9" s="1"/>
  <c r="AG74" i="8"/>
  <c r="AF73" i="9"/>
  <c r="AF72" i="9" s="1"/>
  <c r="AF73" i="8"/>
  <c r="AD95" i="9"/>
  <c r="AD8" i="9" s="1"/>
  <c r="AG74" i="2"/>
  <c r="AG74" i="9"/>
  <c r="AG127" i="8"/>
  <c r="AG62" i="4" a="1"/>
  <c r="AG62" i="4" s="1"/>
  <c r="AG73" i="8" s="1"/>
  <c r="AG127" i="9"/>
  <c r="AG82" i="4" a="1"/>
  <c r="AG82" i="4" s="1"/>
  <c r="AG73" i="9" s="1"/>
  <c r="AH1" i="9"/>
  <c r="AH84" i="4"/>
  <c r="AH86" i="4" s="1" a="1"/>
  <c r="AH86" i="4" s="1"/>
  <c r="AH77" i="4"/>
  <c r="AH65" i="4"/>
  <c r="AH61" i="4"/>
  <c r="AH52" i="4"/>
  <c r="AH54" i="4" s="1" a="1"/>
  <c r="AH54" i="4" s="1"/>
  <c r="AH64" i="4"/>
  <c r="AH66" i="4" s="1" a="1"/>
  <c r="AH66" i="4" s="1"/>
  <c r="AH53" i="4"/>
  <c r="AH85" i="4"/>
  <c r="AH81" i="4"/>
  <c r="AH73" i="4"/>
  <c r="AH57" i="4"/>
  <c r="AH72" i="4"/>
  <c r="AH74" i="4" s="1" a="1"/>
  <c r="AH74" i="4" s="1"/>
  <c r="AH1" i="8"/>
  <c r="AH56" i="4"/>
  <c r="AH58" i="4" s="1" a="1"/>
  <c r="AH58" i="4" s="1"/>
  <c r="AH60" i="4"/>
  <c r="AH80" i="4"/>
  <c r="AH76" i="4"/>
  <c r="AH78" i="4" s="1" a="1"/>
  <c r="AH78" i="4" s="1"/>
  <c r="AH10" i="4"/>
  <c r="AF77" i="9"/>
  <c r="AF100" i="9" s="1"/>
  <c r="AF154" i="6" s="1"/>
  <c r="AD76" i="6"/>
  <c r="AC149" i="6"/>
  <c r="AD105" i="9"/>
  <c r="AD95" i="8"/>
  <c r="AD8" i="8" s="1"/>
  <c r="AC105" i="8"/>
  <c r="AF13" i="8"/>
  <c r="AF164" i="8"/>
  <c r="AF97" i="8"/>
  <c r="AF111" i="6" s="1"/>
  <c r="AF40" i="8"/>
  <c r="AF158" i="8"/>
  <c r="AF107" i="8" s="1"/>
  <c r="AF112" i="6" s="1"/>
  <c r="AE95" i="9"/>
  <c r="AE8" i="9" s="1"/>
  <c r="AE156" i="9"/>
  <c r="AE82" i="9" s="1"/>
  <c r="AE106" i="9"/>
  <c r="AF13" i="9"/>
  <c r="AF158" i="9"/>
  <c r="AF107" i="9" s="1"/>
  <c r="AF146" i="6" s="1"/>
  <c r="AF40" i="9"/>
  <c r="AF164" i="9"/>
  <c r="AF97" i="9"/>
  <c r="AF145" i="6" s="1"/>
  <c r="AE165" i="8"/>
  <c r="AE157" i="8"/>
  <c r="AE72" i="8"/>
  <c r="AE96" i="8"/>
  <c r="AE41" i="8"/>
  <c r="AE14" i="8"/>
  <c r="AD156" i="8"/>
  <c r="AD82" i="8" s="1"/>
  <c r="AD106" i="8"/>
  <c r="AE2" i="2"/>
  <c r="AF48" i="4"/>
  <c r="AF100" i="8"/>
  <c r="AF120" i="6" s="1"/>
  <c r="AH37" i="4"/>
  <c r="AH45" i="4"/>
  <c r="AH44" i="4"/>
  <c r="AH46" i="4" s="1" a="1"/>
  <c r="AH46" i="4" s="1"/>
  <c r="AH33" i="4"/>
  <c r="AH32" i="4"/>
  <c r="AH34" i="4" s="1" a="1"/>
  <c r="AH34" i="4" s="1"/>
  <c r="AH41" i="4"/>
  <c r="AH36" i="4"/>
  <c r="AH38" i="4" s="1" a="1"/>
  <c r="AH38" i="4" s="1"/>
  <c r="AH40" i="4"/>
  <c r="AH1" i="6"/>
  <c r="AB81" i="6"/>
  <c r="AF97" i="2"/>
  <c r="AF77" i="6" s="1"/>
  <c r="AF158" i="2"/>
  <c r="AF107" i="2" s="1"/>
  <c r="AF78" i="6" s="1"/>
  <c r="AF164" i="2"/>
  <c r="AC105" i="2"/>
  <c r="AE96" i="2"/>
  <c r="AE82" i="6" s="1"/>
  <c r="AE165" i="2"/>
  <c r="AE157" i="2"/>
  <c r="AD95" i="2"/>
  <c r="AD8" i="2" s="1"/>
  <c r="AD106" i="2"/>
  <c r="AD83" i="6" s="1"/>
  <c r="AC82" i="2"/>
  <c r="AE72" i="2"/>
  <c r="AG127" i="2"/>
  <c r="AD156" i="2"/>
  <c r="AE14" i="2"/>
  <c r="AE41" i="2"/>
  <c r="AF77" i="2"/>
  <c r="AF100" i="2" s="1"/>
  <c r="AF86" i="6" s="1"/>
  <c r="AF13" i="2"/>
  <c r="AF40" i="2"/>
  <c r="AG42" i="4" a="1"/>
  <c r="AG42" i="4" s="1"/>
  <c r="AG73" i="2" s="1"/>
  <c r="AI1" i="4"/>
  <c r="AI1" i="13" s="1"/>
  <c r="AH1" i="2"/>
  <c r="AD249" i="13" l="1"/>
  <c r="AE244" i="13"/>
  <c r="AH159" i="6"/>
  <c r="AH160" i="6"/>
  <c r="AH126" i="6"/>
  <c r="AH125" i="6"/>
  <c r="AE208" i="13"/>
  <c r="AE251" i="13"/>
  <c r="AE249" i="13" s="1"/>
  <c r="AE151" i="6"/>
  <c r="AE214" i="13"/>
  <c r="AE116" i="6"/>
  <c r="AD215" i="13"/>
  <c r="AD213" i="13" s="1"/>
  <c r="AD117" i="6"/>
  <c r="AH163" i="6"/>
  <c r="AH129" i="6"/>
  <c r="AH162" i="6"/>
  <c r="AH128" i="6"/>
  <c r="AH94" i="6"/>
  <c r="AH95" i="6"/>
  <c r="AH92" i="6"/>
  <c r="AH91" i="6"/>
  <c r="AE76" i="6"/>
  <c r="AF254" i="13"/>
  <c r="AC33" i="13"/>
  <c r="AF174" i="13"/>
  <c r="AF30" i="13" s="1"/>
  <c r="AH265" i="13"/>
  <c r="AH264" i="13"/>
  <c r="AE172" i="13"/>
  <c r="AE28" i="13"/>
  <c r="AF218" i="13"/>
  <c r="AD179" i="13"/>
  <c r="AD35" i="13" s="1"/>
  <c r="AF182" i="13"/>
  <c r="AF38" i="13" s="1"/>
  <c r="AF173" i="13"/>
  <c r="AF29" i="13" s="1"/>
  <c r="AH261" i="13"/>
  <c r="AH262" i="13"/>
  <c r="AC177" i="13"/>
  <c r="AF144" i="6"/>
  <c r="AF246" i="13"/>
  <c r="AH189" i="13"/>
  <c r="AH43" i="13" s="1"/>
  <c r="AH190" i="13"/>
  <c r="AH44" i="13" s="1"/>
  <c r="AF245" i="13"/>
  <c r="AF210" i="13"/>
  <c r="AH226" i="13"/>
  <c r="AH225" i="13"/>
  <c r="AH228" i="13"/>
  <c r="AH229" i="13"/>
  <c r="AE178" i="13"/>
  <c r="AE34" i="13" s="1"/>
  <c r="AH192" i="13"/>
  <c r="AH46" i="13" s="1"/>
  <c r="AH193" i="13"/>
  <c r="AH47" i="13" s="1"/>
  <c r="AF209" i="13"/>
  <c r="AG88" i="4"/>
  <c r="AG2" i="9" s="1"/>
  <c r="AF41" i="9"/>
  <c r="AG77" i="9"/>
  <c r="AG100" i="9" s="1"/>
  <c r="AG154" i="6" s="1"/>
  <c r="AF14" i="9"/>
  <c r="AH74" i="2"/>
  <c r="AF157" i="9"/>
  <c r="AF106" i="9" s="1"/>
  <c r="AG77" i="8"/>
  <c r="AG100" i="8" s="1"/>
  <c r="AG120" i="6" s="1"/>
  <c r="AG68" i="4"/>
  <c r="AG2" i="8" s="1"/>
  <c r="AF96" i="9"/>
  <c r="AF150" i="6" s="1"/>
  <c r="AF165" i="9"/>
  <c r="AH74" i="8"/>
  <c r="AH127" i="9"/>
  <c r="AH82" i="4" a="1"/>
  <c r="AH82" i="4" s="1"/>
  <c r="AH73" i="9" s="1"/>
  <c r="AH74" i="9"/>
  <c r="AH127" i="8"/>
  <c r="AH62" i="4" a="1"/>
  <c r="AH62" i="4" s="1"/>
  <c r="AH73" i="8" s="1"/>
  <c r="AI84" i="4"/>
  <c r="AI86" i="4" s="1" a="1"/>
  <c r="AI86" i="4" s="1"/>
  <c r="AI77" i="4"/>
  <c r="AI72" i="4"/>
  <c r="AI74" i="4" s="1" a="1"/>
  <c r="AI74" i="4" s="1"/>
  <c r="AI65" i="4"/>
  <c r="AI61" i="4"/>
  <c r="AI52" i="4"/>
  <c r="AI54" i="4" s="1" a="1"/>
  <c r="AI54" i="4" s="1"/>
  <c r="AI85" i="4"/>
  <c r="AI81" i="4"/>
  <c r="AI73" i="4"/>
  <c r="AI1" i="9"/>
  <c r="AI64" i="4"/>
  <c r="AI66" i="4" s="1" a="1"/>
  <c r="AI66" i="4" s="1"/>
  <c r="AI57" i="4"/>
  <c r="AI53" i="4"/>
  <c r="AI1" i="8"/>
  <c r="AI60" i="4"/>
  <c r="AI56" i="4"/>
  <c r="AI58" i="4" s="1" a="1"/>
  <c r="AI58" i="4" s="1"/>
  <c r="AI76" i="4"/>
  <c r="AI78" i="4" s="1" a="1"/>
  <c r="AI78" i="4" s="1"/>
  <c r="AI80" i="4"/>
  <c r="AI10" i="4"/>
  <c r="AE105" i="9"/>
  <c r="AD149" i="6"/>
  <c r="AD105" i="8"/>
  <c r="AC115" i="6"/>
  <c r="AE95" i="8"/>
  <c r="AE8" i="8" s="1"/>
  <c r="AG13" i="8"/>
  <c r="AG158" i="8"/>
  <c r="AG107" i="8" s="1"/>
  <c r="AG112" i="6" s="1"/>
  <c r="AG164" i="8"/>
  <c r="AG97" i="8"/>
  <c r="AG111" i="6" s="1"/>
  <c r="AG40" i="8"/>
  <c r="AG72" i="9"/>
  <c r="AG41" i="9"/>
  <c r="AG14" i="9"/>
  <c r="AG165" i="9"/>
  <c r="AG96" i="9"/>
  <c r="AG150" i="6" s="1"/>
  <c r="AG157" i="9"/>
  <c r="AG158" i="9"/>
  <c r="AG107" i="9" s="1"/>
  <c r="AG146" i="6" s="1"/>
  <c r="AG13" i="9"/>
  <c r="AG97" i="9"/>
  <c r="AG145" i="6" s="1"/>
  <c r="AG164" i="9"/>
  <c r="AG40" i="9"/>
  <c r="AF157" i="8"/>
  <c r="AF165" i="8"/>
  <c r="AF72" i="8"/>
  <c r="AF96" i="8"/>
  <c r="AF41" i="8"/>
  <c r="AF14" i="8"/>
  <c r="AF2" i="2"/>
  <c r="AE156" i="8"/>
  <c r="AE82" i="8" s="1"/>
  <c r="AE106" i="8"/>
  <c r="AG48" i="4"/>
  <c r="AI37" i="4"/>
  <c r="AI45" i="4"/>
  <c r="AI32" i="4"/>
  <c r="AI34" i="4" s="1" a="1"/>
  <c r="AI34" i="4" s="1"/>
  <c r="AI41" i="4"/>
  <c r="AI44" i="4"/>
  <c r="AI46" i="4" s="1" a="1"/>
  <c r="AI46" i="4" s="1"/>
  <c r="AI33" i="4"/>
  <c r="AI36" i="4"/>
  <c r="AI38" i="4" s="1" a="1"/>
  <c r="AI38" i="4" s="1"/>
  <c r="AI40" i="4"/>
  <c r="AI1" i="6"/>
  <c r="AC81" i="6"/>
  <c r="AE95" i="2"/>
  <c r="AE8" i="2" s="1"/>
  <c r="AD105" i="2"/>
  <c r="AF96" i="2"/>
  <c r="AF82" i="6" s="1"/>
  <c r="AF165" i="2"/>
  <c r="AF157" i="2"/>
  <c r="AG97" i="2"/>
  <c r="AG77" i="6" s="1"/>
  <c r="AG164" i="2"/>
  <c r="AG158" i="2"/>
  <c r="AG107" i="2" s="1"/>
  <c r="AG78" i="6" s="1"/>
  <c r="AE106" i="2"/>
  <c r="AE83" i="6" s="1"/>
  <c r="AD82" i="2"/>
  <c r="AF72" i="2"/>
  <c r="AH127" i="2"/>
  <c r="AE156" i="2"/>
  <c r="AG77" i="2"/>
  <c r="AG100" i="2" s="1"/>
  <c r="AG86" i="6" s="1"/>
  <c r="AG13" i="2"/>
  <c r="AG40" i="2"/>
  <c r="AF41" i="2"/>
  <c r="AF14" i="2"/>
  <c r="AH42" i="4" a="1"/>
  <c r="AH42" i="4" s="1"/>
  <c r="AH73" i="2" s="1"/>
  <c r="AJ1" i="4"/>
  <c r="AJ1" i="13" s="1"/>
  <c r="AI1" i="2"/>
  <c r="AI160" i="6" l="1"/>
  <c r="AI159" i="6"/>
  <c r="AI126" i="6"/>
  <c r="AI125" i="6"/>
  <c r="AF251" i="13"/>
  <c r="AF151" i="6"/>
  <c r="AE215" i="13"/>
  <c r="AE213" i="13" s="1"/>
  <c r="AE117" i="6"/>
  <c r="AE115" i="6" s="1"/>
  <c r="AF214" i="13"/>
  <c r="AF116" i="6"/>
  <c r="AI163" i="6"/>
  <c r="AI129" i="6"/>
  <c r="AI162" i="6"/>
  <c r="AI128" i="6"/>
  <c r="AI95" i="6"/>
  <c r="AI94" i="6"/>
  <c r="AI92" i="6"/>
  <c r="AI91" i="6"/>
  <c r="AF76" i="6"/>
  <c r="AF110" i="6"/>
  <c r="AF244" i="13"/>
  <c r="AI261" i="13"/>
  <c r="AI262" i="13"/>
  <c r="AG174" i="13"/>
  <c r="AG30" i="13" s="1"/>
  <c r="AI193" i="13"/>
  <c r="AI47" i="13" s="1"/>
  <c r="AI192" i="13"/>
  <c r="AI46" i="13" s="1"/>
  <c r="AE81" i="6"/>
  <c r="AE179" i="13"/>
  <c r="AI225" i="13"/>
  <c r="AI226" i="13"/>
  <c r="AG254" i="13"/>
  <c r="AI264" i="13"/>
  <c r="AI265" i="13"/>
  <c r="AF208" i="13"/>
  <c r="AG245" i="13"/>
  <c r="AG173" i="13"/>
  <c r="AG29" i="13" s="1"/>
  <c r="AG182" i="13"/>
  <c r="AG38" i="13" s="1"/>
  <c r="AG246" i="13"/>
  <c r="AG209" i="13"/>
  <c r="AF250" i="13"/>
  <c r="AF249" i="13" s="1"/>
  <c r="AF172" i="13"/>
  <c r="AF28" i="13"/>
  <c r="AD33" i="13"/>
  <c r="AD177" i="13"/>
  <c r="AF178" i="13"/>
  <c r="AF34" i="13" s="1"/>
  <c r="AI189" i="13"/>
  <c r="AI43" i="13" s="1"/>
  <c r="AI190" i="13"/>
  <c r="AI44" i="13" s="1"/>
  <c r="AG250" i="13"/>
  <c r="AG210" i="13"/>
  <c r="AI228" i="13"/>
  <c r="AI229" i="13"/>
  <c r="AG218" i="13"/>
  <c r="AF156" i="9"/>
  <c r="AF82" i="9" s="1"/>
  <c r="AI74" i="2"/>
  <c r="AF95" i="9"/>
  <c r="AF8" i="9" s="1"/>
  <c r="AH88" i="4"/>
  <c r="AH2" i="9" s="1"/>
  <c r="AH77" i="9"/>
  <c r="AH100" i="9" s="1"/>
  <c r="AH154" i="6" s="1"/>
  <c r="AI74" i="8"/>
  <c r="AI74" i="9"/>
  <c r="AH77" i="8"/>
  <c r="AH100" i="8" s="1"/>
  <c r="AH120" i="6" s="1"/>
  <c r="AH68" i="4"/>
  <c r="AH2" i="8" s="1"/>
  <c r="AJ1" i="8"/>
  <c r="AJ85" i="4"/>
  <c r="AJ81" i="4"/>
  <c r="AJ73" i="4"/>
  <c r="AJ77" i="4"/>
  <c r="AJ84" i="4"/>
  <c r="AJ86" i="4" s="1" a="1"/>
  <c r="AJ86" i="4" s="1"/>
  <c r="AJ64" i="4"/>
  <c r="AJ66" i="4" s="1" a="1"/>
  <c r="AJ66" i="4" s="1"/>
  <c r="AJ57" i="4"/>
  <c r="AJ53" i="4"/>
  <c r="AJ72" i="4"/>
  <c r="AJ74" i="4" s="1" a="1"/>
  <c r="AJ74" i="4" s="1"/>
  <c r="AJ1" i="9"/>
  <c r="AJ65" i="4"/>
  <c r="AJ61" i="4"/>
  <c r="AJ52" i="4"/>
  <c r="AJ54" i="4" s="1" a="1"/>
  <c r="AJ54" i="4" s="1"/>
  <c r="AJ56" i="4"/>
  <c r="AJ58" i="4" s="1" a="1"/>
  <c r="AJ58" i="4" s="1"/>
  <c r="AJ60" i="4"/>
  <c r="AJ76" i="4"/>
  <c r="AJ78" i="4" s="1" a="1"/>
  <c r="AJ78" i="4" s="1"/>
  <c r="AJ80" i="4"/>
  <c r="AJ10" i="4"/>
  <c r="AI127" i="9"/>
  <c r="AI82" i="4" a="1"/>
  <c r="AI82" i="4" s="1"/>
  <c r="AI73" i="9" s="1"/>
  <c r="AI127" i="8"/>
  <c r="AI62" i="4" a="1"/>
  <c r="AI62" i="4" s="1"/>
  <c r="AI73" i="8" s="1"/>
  <c r="AF105" i="9"/>
  <c r="AE149" i="6"/>
  <c r="AE105" i="8"/>
  <c r="AF95" i="8"/>
  <c r="AF8" i="8" s="1"/>
  <c r="AD115" i="6"/>
  <c r="AH158" i="9"/>
  <c r="AH107" i="9" s="1"/>
  <c r="AH146" i="6" s="1"/>
  <c r="AH164" i="9"/>
  <c r="AH97" i="9"/>
  <c r="AH145" i="6" s="1"/>
  <c r="AH13" i="9"/>
  <c r="AH40" i="9"/>
  <c r="AH164" i="8"/>
  <c r="AH97" i="8"/>
  <c r="AH111" i="6" s="1"/>
  <c r="AH40" i="8"/>
  <c r="AH13" i="8"/>
  <c r="AH158" i="8"/>
  <c r="AH107" i="8" s="1"/>
  <c r="AH112" i="6" s="1"/>
  <c r="AH96" i="9"/>
  <c r="AH41" i="9"/>
  <c r="AH14" i="9"/>
  <c r="AH157" i="9"/>
  <c r="AH165" i="9"/>
  <c r="AH72" i="9"/>
  <c r="AG106" i="9"/>
  <c r="AG156" i="9"/>
  <c r="AG82" i="9" s="1"/>
  <c r="AG95" i="9"/>
  <c r="AG8" i="9" s="1"/>
  <c r="AG157" i="8"/>
  <c r="AG165" i="8"/>
  <c r="AG72" i="8"/>
  <c r="AG96" i="8"/>
  <c r="AG41" i="8"/>
  <c r="AG14" i="8"/>
  <c r="AH48" i="4"/>
  <c r="AG2" i="2"/>
  <c r="AF156" i="8"/>
  <c r="AF82" i="8" s="1"/>
  <c r="AF106" i="8"/>
  <c r="AJ37" i="4"/>
  <c r="AJ45" i="4"/>
  <c r="AJ32" i="4"/>
  <c r="AJ34" i="4" s="1" a="1"/>
  <c r="AJ34" i="4" s="1"/>
  <c r="AJ41" i="4"/>
  <c r="AJ33" i="4"/>
  <c r="AJ44" i="4"/>
  <c r="AJ46" i="4" s="1" a="1"/>
  <c r="AJ46" i="4" s="1"/>
  <c r="AJ36" i="4"/>
  <c r="AJ38" i="4" s="1" a="1"/>
  <c r="AJ38" i="4" s="1"/>
  <c r="AJ40" i="4"/>
  <c r="AJ1" i="6"/>
  <c r="AD81" i="6"/>
  <c r="AE105" i="2"/>
  <c r="AF95" i="2"/>
  <c r="AF8" i="2" s="1"/>
  <c r="AG96" i="2"/>
  <c r="AG82" i="6" s="1"/>
  <c r="AG165" i="2"/>
  <c r="AG157" i="2"/>
  <c r="AH97" i="2"/>
  <c r="AH77" i="6" s="1"/>
  <c r="AH158" i="2"/>
  <c r="AH107" i="2" s="1"/>
  <c r="AH78" i="6" s="1"/>
  <c r="AH164" i="2"/>
  <c r="AG76" i="6"/>
  <c r="AF106" i="2"/>
  <c r="AF83" i="6" s="1"/>
  <c r="AE82" i="2"/>
  <c r="AG72" i="2"/>
  <c r="AI127" i="2"/>
  <c r="AF156" i="2"/>
  <c r="AG14" i="2"/>
  <c r="AG41" i="2"/>
  <c r="AH77" i="2"/>
  <c r="AH100" i="2" s="1"/>
  <c r="AH86" i="6" s="1"/>
  <c r="AH13" i="2"/>
  <c r="AH40" i="2"/>
  <c r="AI42" i="4" a="1"/>
  <c r="AI42" i="4" s="1"/>
  <c r="AI73" i="2" s="1"/>
  <c r="AK1" i="4"/>
  <c r="AK1" i="13" s="1"/>
  <c r="AJ1" i="2"/>
  <c r="AE177" i="13" l="1"/>
  <c r="AE35" i="13"/>
  <c r="AE33" i="13" s="1"/>
  <c r="AJ125" i="6"/>
  <c r="AJ126" i="6"/>
  <c r="AJ160" i="6"/>
  <c r="AJ159" i="6"/>
  <c r="AH250" i="13"/>
  <c r="AH150" i="6"/>
  <c r="AG251" i="13"/>
  <c r="AG249" i="13" s="1"/>
  <c r="AG151" i="6"/>
  <c r="AF215" i="13"/>
  <c r="AF213" i="13" s="1"/>
  <c r="AF117" i="6"/>
  <c r="AG214" i="13"/>
  <c r="AG116" i="6"/>
  <c r="AJ129" i="6"/>
  <c r="AJ162" i="6"/>
  <c r="AJ128" i="6"/>
  <c r="AJ163" i="6"/>
  <c r="AJ95" i="6"/>
  <c r="AJ94" i="6"/>
  <c r="AJ91" i="6"/>
  <c r="AJ92" i="6"/>
  <c r="AG144" i="6"/>
  <c r="AG110" i="6"/>
  <c r="AG178" i="13"/>
  <c r="AG34" i="13" s="1"/>
  <c r="AJ229" i="13"/>
  <c r="AJ228" i="13"/>
  <c r="AH218" i="13"/>
  <c r="AH182" i="13"/>
  <c r="AH38" i="13" s="1"/>
  <c r="AF179" i="13"/>
  <c r="AJ189" i="13"/>
  <c r="AJ43" i="13" s="1"/>
  <c r="AJ190" i="13"/>
  <c r="AJ44" i="13" s="1"/>
  <c r="AJ264" i="13"/>
  <c r="AJ265" i="13"/>
  <c r="AG172" i="13"/>
  <c r="AG28" i="13"/>
  <c r="AG208" i="13"/>
  <c r="AJ192" i="13"/>
  <c r="AJ46" i="13" s="1"/>
  <c r="AJ193" i="13"/>
  <c r="AJ47" i="13" s="1"/>
  <c r="AH245" i="13"/>
  <c r="AH254" i="13"/>
  <c r="AG244" i="13"/>
  <c r="AH209" i="13"/>
  <c r="AJ225" i="13"/>
  <c r="AJ226" i="13"/>
  <c r="AH174" i="13"/>
  <c r="AH30" i="13" s="1"/>
  <c r="AH210" i="13"/>
  <c r="AH173" i="13"/>
  <c r="AH29" i="13" s="1"/>
  <c r="AH246" i="13"/>
  <c r="AJ262" i="13"/>
  <c r="AJ261" i="13"/>
  <c r="AJ74" i="2"/>
  <c r="AI68" i="4"/>
  <c r="AI2" i="8" s="1"/>
  <c r="AI77" i="8"/>
  <c r="AI100" i="8" s="1"/>
  <c r="AI120" i="6" s="1"/>
  <c r="AI77" i="9"/>
  <c r="AI100" i="9" s="1"/>
  <c r="AI154" i="6" s="1"/>
  <c r="AI88" i="4"/>
  <c r="AI2" i="9" s="1"/>
  <c r="AK65" i="4"/>
  <c r="AK61" i="4"/>
  <c r="AK52" i="4"/>
  <c r="AK54" i="4" s="1" a="1"/>
  <c r="AK54" i="4" s="1"/>
  <c r="AK85" i="4"/>
  <c r="AK81" i="4"/>
  <c r="AK73" i="4"/>
  <c r="AK64" i="4"/>
  <c r="AK66" i="4" s="1" a="1"/>
  <c r="AK66" i="4" s="1"/>
  <c r="AK57" i="4"/>
  <c r="AK53" i="4"/>
  <c r="AK1" i="8"/>
  <c r="AK1" i="9"/>
  <c r="AK84" i="4"/>
  <c r="AK86" i="4" s="1" a="1"/>
  <c r="AK86" i="4" s="1"/>
  <c r="AK77" i="4"/>
  <c r="AK72" i="4"/>
  <c r="AK74" i="4" s="1" a="1"/>
  <c r="AK74" i="4" s="1"/>
  <c r="AK56" i="4"/>
  <c r="AK58" i="4" s="1" a="1"/>
  <c r="AK58" i="4" s="1"/>
  <c r="AK60" i="4"/>
  <c r="AK76" i="4"/>
  <c r="AK78" i="4" s="1" a="1"/>
  <c r="AK78" i="4" s="1"/>
  <c r="AK80" i="4"/>
  <c r="AK10" i="4"/>
  <c r="AJ127" i="8"/>
  <c r="AJ62" i="4" a="1"/>
  <c r="AJ62" i="4" s="1"/>
  <c r="AJ73" i="8" s="1"/>
  <c r="AJ74" i="9"/>
  <c r="AJ127" i="9"/>
  <c r="AJ82" i="4" a="1"/>
  <c r="AJ82" i="4" s="1"/>
  <c r="AJ73" i="9" s="1"/>
  <c r="AJ74" i="8"/>
  <c r="AH95" i="9"/>
  <c r="AH8" i="9" s="1"/>
  <c r="AF149" i="6"/>
  <c r="AG105" i="9"/>
  <c r="AF105" i="8"/>
  <c r="AG95" i="8"/>
  <c r="AG8" i="8" s="1"/>
  <c r="AI13" i="9"/>
  <c r="AI158" i="9"/>
  <c r="AI107" i="9" s="1"/>
  <c r="AI146" i="6" s="1"/>
  <c r="AI164" i="9"/>
  <c r="AI97" i="9"/>
  <c r="AI145" i="6" s="1"/>
  <c r="AI40" i="9"/>
  <c r="AI158" i="8"/>
  <c r="AI107" i="8" s="1"/>
  <c r="AI112" i="6" s="1"/>
  <c r="AI97" i="8"/>
  <c r="AI111" i="6" s="1"/>
  <c r="AI164" i="8"/>
  <c r="AI40" i="8"/>
  <c r="AI13" i="8"/>
  <c r="AH156" i="9"/>
  <c r="AH82" i="9" s="1"/>
  <c r="AH106" i="9"/>
  <c r="AI165" i="9"/>
  <c r="AI157" i="9"/>
  <c r="AI96" i="9"/>
  <c r="AI150" i="6" s="1"/>
  <c r="AI41" i="9"/>
  <c r="AI72" i="9"/>
  <c r="AI14" i="9"/>
  <c r="AI48" i="4"/>
  <c r="AH157" i="8"/>
  <c r="AH165" i="8"/>
  <c r="AH96" i="8"/>
  <c r="AH72" i="8"/>
  <c r="AH41" i="8"/>
  <c r="AH14" i="8"/>
  <c r="AG156" i="8"/>
  <c r="AG82" i="8" s="1"/>
  <c r="AG106" i="8"/>
  <c r="AH2" i="2"/>
  <c r="AK45" i="4"/>
  <c r="AK32" i="4"/>
  <c r="AK34" i="4" s="1" a="1"/>
  <c r="AK34" i="4" s="1"/>
  <c r="AK41" i="4"/>
  <c r="AK37" i="4"/>
  <c r="AK44" i="4"/>
  <c r="AK46" i="4" s="1" a="1"/>
  <c r="AK46" i="4" s="1"/>
  <c r="AK33" i="4"/>
  <c r="AK40" i="4"/>
  <c r="AK36" i="4"/>
  <c r="AK38" i="4" s="1" a="1"/>
  <c r="AK38" i="4" s="1"/>
  <c r="AK1" i="6"/>
  <c r="AH96" i="2"/>
  <c r="AH82" i="6" s="1"/>
  <c r="AH157" i="2"/>
  <c r="AH165" i="2"/>
  <c r="AF105" i="2"/>
  <c r="AG95" i="2"/>
  <c r="AG8" i="2" s="1"/>
  <c r="AI97" i="2"/>
  <c r="AI77" i="6" s="1"/>
  <c r="AI158" i="2"/>
  <c r="AI107" i="2" s="1"/>
  <c r="AI78" i="6" s="1"/>
  <c r="AI164" i="2"/>
  <c r="AG106" i="2"/>
  <c r="AG83" i="6" s="1"/>
  <c r="AF82" i="2"/>
  <c r="AH72" i="2"/>
  <c r="AJ127" i="2"/>
  <c r="AG156" i="2"/>
  <c r="AI77" i="2"/>
  <c r="AI100" i="2" s="1"/>
  <c r="AI86" i="6" s="1"/>
  <c r="AH14" i="2"/>
  <c r="AH41" i="2"/>
  <c r="AI40" i="2"/>
  <c r="AI13" i="2"/>
  <c r="AJ42" i="4" a="1"/>
  <c r="AJ42" i="4" s="1"/>
  <c r="AJ73" i="2" s="1"/>
  <c r="AL1" i="4"/>
  <c r="AL1" i="13" s="1"/>
  <c r="AK1" i="2"/>
  <c r="AF177" i="13" l="1"/>
  <c r="AF35" i="13"/>
  <c r="AF33" i="13" s="1"/>
  <c r="AK160" i="6"/>
  <c r="AK159" i="6"/>
  <c r="AK125" i="6"/>
  <c r="AK126" i="6"/>
  <c r="AH251" i="13"/>
  <c r="AH249" i="13" s="1"/>
  <c r="AH151" i="6"/>
  <c r="AH149" i="6" s="1"/>
  <c r="AG215" i="13"/>
  <c r="AG213" i="13" s="1"/>
  <c r="AG117" i="6"/>
  <c r="AH214" i="13"/>
  <c r="AH116" i="6"/>
  <c r="AK162" i="6"/>
  <c r="AK128" i="6"/>
  <c r="AK163" i="6"/>
  <c r="AK129" i="6"/>
  <c r="AK95" i="6"/>
  <c r="AK94" i="6"/>
  <c r="AK91" i="6"/>
  <c r="AK92" i="6"/>
  <c r="AH208" i="13"/>
  <c r="AH144" i="6"/>
  <c r="AH76" i="6"/>
  <c r="AH110" i="6"/>
  <c r="AK193" i="13"/>
  <c r="AK47" i="13" s="1"/>
  <c r="AK192" i="13"/>
  <c r="AK46" i="13" s="1"/>
  <c r="AK265" i="13"/>
  <c r="AK264" i="13"/>
  <c r="AI250" i="13"/>
  <c r="AI209" i="13"/>
  <c r="AH172" i="13"/>
  <c r="AH28" i="13"/>
  <c r="AI174" i="13"/>
  <c r="AI30" i="13" s="1"/>
  <c r="AI210" i="13"/>
  <c r="AK261" i="13"/>
  <c r="AK262" i="13"/>
  <c r="AH244" i="13"/>
  <c r="AI173" i="13"/>
  <c r="AI29" i="13" s="1"/>
  <c r="AI245" i="13"/>
  <c r="AK225" i="13"/>
  <c r="AK226" i="13"/>
  <c r="AH178" i="13"/>
  <c r="AH34" i="13" s="1"/>
  <c r="AK189" i="13"/>
  <c r="AK43" i="13" s="1"/>
  <c r="AK190" i="13"/>
  <c r="AK44" i="13" s="1"/>
  <c r="AK229" i="13"/>
  <c r="AK228" i="13"/>
  <c r="AI254" i="13"/>
  <c r="AG179" i="13"/>
  <c r="AI182" i="13"/>
  <c r="AI38" i="13" s="1"/>
  <c r="AI246" i="13"/>
  <c r="AI218" i="13"/>
  <c r="AJ88" i="4"/>
  <c r="AJ2" i="9" s="1"/>
  <c r="AK74" i="2"/>
  <c r="AJ68" i="4"/>
  <c r="AJ2" i="8" s="1"/>
  <c r="AK74" i="8"/>
  <c r="AJ77" i="9"/>
  <c r="AJ100" i="9" s="1"/>
  <c r="AJ154" i="6" s="1"/>
  <c r="AL85" i="4"/>
  <c r="AL81" i="4"/>
  <c r="AL61" i="4"/>
  <c r="AL64" i="4"/>
  <c r="AL66" i="4" s="1" a="1"/>
  <c r="AL66" i="4" s="1"/>
  <c r="AL57" i="4"/>
  <c r="AL53" i="4"/>
  <c r="AL1" i="8"/>
  <c r="AL1" i="9"/>
  <c r="AL65" i="4"/>
  <c r="AL84" i="4"/>
  <c r="AL86" i="4" s="1" a="1"/>
  <c r="AL86" i="4" s="1"/>
  <c r="AL77" i="4"/>
  <c r="AL72" i="4"/>
  <c r="AL74" i="4" s="1" a="1"/>
  <c r="AL74" i="4" s="1"/>
  <c r="AL52" i="4"/>
  <c r="AL54" i="4" s="1" a="1"/>
  <c r="AL54" i="4" s="1"/>
  <c r="AL73" i="4"/>
  <c r="AL60" i="4"/>
  <c r="AL56" i="4"/>
  <c r="AL58" i="4" s="1" a="1"/>
  <c r="AL58" i="4" s="1"/>
  <c r="AL80" i="4"/>
  <c r="AL76" i="4"/>
  <c r="AL78" i="4" s="1" a="1"/>
  <c r="AL78" i="4" s="1"/>
  <c r="AL10" i="4"/>
  <c r="AJ77" i="8"/>
  <c r="AJ100" i="8" s="1"/>
  <c r="AJ120" i="6" s="1"/>
  <c r="AK127" i="8"/>
  <c r="AK62" i="4" a="1"/>
  <c r="AK62" i="4" s="1"/>
  <c r="AK73" i="8" s="1"/>
  <c r="AK74" i="9"/>
  <c r="AK127" i="9"/>
  <c r="AK82" i="4" a="1"/>
  <c r="AK82" i="4" s="1"/>
  <c r="AK73" i="9" s="1"/>
  <c r="AG149" i="6"/>
  <c r="AH105" i="9"/>
  <c r="AG105" i="8"/>
  <c r="AH95" i="8"/>
  <c r="AH8" i="8" s="1"/>
  <c r="AF115" i="6"/>
  <c r="AI95" i="9"/>
  <c r="AI8" i="9" s="1"/>
  <c r="AI156" i="9"/>
  <c r="AI82" i="9" s="1"/>
  <c r="AI106" i="9"/>
  <c r="AJ13" i="9"/>
  <c r="AJ97" i="9"/>
  <c r="AJ145" i="6" s="1"/>
  <c r="AJ40" i="9"/>
  <c r="AJ158" i="9"/>
  <c r="AJ107" i="9" s="1"/>
  <c r="AJ146" i="6" s="1"/>
  <c r="AJ164" i="9"/>
  <c r="AJ158" i="8"/>
  <c r="AJ107" i="8" s="1"/>
  <c r="AJ112" i="6" s="1"/>
  <c r="AJ97" i="8"/>
  <c r="AJ111" i="6" s="1"/>
  <c r="AJ40" i="8"/>
  <c r="AJ13" i="8"/>
  <c r="AJ164" i="8"/>
  <c r="AJ41" i="9"/>
  <c r="AJ14" i="9"/>
  <c r="AJ165" i="9"/>
  <c r="AJ72" i="9"/>
  <c r="AJ157" i="9"/>
  <c r="AJ96" i="9"/>
  <c r="AH106" i="8"/>
  <c r="AH156" i="8"/>
  <c r="AH82" i="8" s="1"/>
  <c r="AI165" i="8"/>
  <c r="AI157" i="8"/>
  <c r="AI96" i="8"/>
  <c r="AI72" i="8"/>
  <c r="AI41" i="8"/>
  <c r="AI14" i="8"/>
  <c r="AJ48" i="4"/>
  <c r="AI2" i="2"/>
  <c r="AL32" i="4"/>
  <c r="AL34" i="4" s="1" a="1"/>
  <c r="AL34" i="4" s="1"/>
  <c r="AL41" i="4"/>
  <c r="AL33" i="4"/>
  <c r="AL44" i="4"/>
  <c r="AL46" i="4" s="1" a="1"/>
  <c r="AL46" i="4" s="1"/>
  <c r="AL45" i="4"/>
  <c r="AL37" i="4"/>
  <c r="AL36" i="4"/>
  <c r="AL38" i="4" s="1" a="1"/>
  <c r="AL38" i="4" s="1"/>
  <c r="AL40" i="4"/>
  <c r="AL1" i="6"/>
  <c r="AF81" i="6"/>
  <c r="AG105" i="2"/>
  <c r="AI96" i="2"/>
  <c r="AI82" i="6" s="1"/>
  <c r="AI157" i="2"/>
  <c r="AI165" i="2"/>
  <c r="AJ97" i="2"/>
  <c r="AJ77" i="6" s="1"/>
  <c r="AJ164" i="2"/>
  <c r="AJ158" i="2"/>
  <c r="AJ107" i="2" s="1"/>
  <c r="AJ78" i="6" s="1"/>
  <c r="AH95" i="2"/>
  <c r="AH8" i="2" s="1"/>
  <c r="AH106" i="2"/>
  <c r="AH83" i="6" s="1"/>
  <c r="AG82" i="2"/>
  <c r="AI72" i="2"/>
  <c r="AK127" i="2"/>
  <c r="AH156" i="2"/>
  <c r="AJ77" i="2"/>
  <c r="AJ100" i="2" s="1"/>
  <c r="AJ86" i="6" s="1"/>
  <c r="AI14" i="2"/>
  <c r="AI41" i="2"/>
  <c r="AJ40" i="2"/>
  <c r="AJ13" i="2"/>
  <c r="AK42" i="4" a="1"/>
  <c r="AK42" i="4" s="1"/>
  <c r="AK73" i="2" s="1"/>
  <c r="AM1" i="4"/>
  <c r="AM1" i="13" s="1"/>
  <c r="AL1" i="2"/>
  <c r="AL74" i="2" l="1"/>
  <c r="AG177" i="13"/>
  <c r="AG35" i="13"/>
  <c r="AG33" i="13" s="1"/>
  <c r="AL160" i="6"/>
  <c r="AL159" i="6"/>
  <c r="AL125" i="6"/>
  <c r="AL126" i="6"/>
  <c r="AJ250" i="13"/>
  <c r="AJ150" i="6"/>
  <c r="AI251" i="13"/>
  <c r="AI249" i="13" s="1"/>
  <c r="AI151" i="6"/>
  <c r="AI214" i="13"/>
  <c r="AI116" i="6"/>
  <c r="AH215" i="13"/>
  <c r="AH213" i="13" s="1"/>
  <c r="AH117" i="6"/>
  <c r="AL162" i="6"/>
  <c r="AL128" i="6"/>
  <c r="AL163" i="6"/>
  <c r="AL129" i="6"/>
  <c r="AL94" i="6"/>
  <c r="AL95" i="6"/>
  <c r="AL91" i="6"/>
  <c r="AL92" i="6"/>
  <c r="AI76" i="6"/>
  <c r="AI110" i="6"/>
  <c r="AI144" i="6"/>
  <c r="AI178" i="13"/>
  <c r="AI34" i="13" s="1"/>
  <c r="AL226" i="13"/>
  <c r="AL225" i="13"/>
  <c r="AJ245" i="13"/>
  <c r="AJ209" i="13"/>
  <c r="AL189" i="13"/>
  <c r="AL43" i="13" s="1"/>
  <c r="AL190" i="13"/>
  <c r="AL44" i="13" s="1"/>
  <c r="AJ174" i="13"/>
  <c r="AJ30" i="13" s="1"/>
  <c r="AJ110" i="6"/>
  <c r="AJ210" i="13"/>
  <c r="AJ218" i="13"/>
  <c r="AL228" i="13"/>
  <c r="AL229" i="13"/>
  <c r="AI244" i="13"/>
  <c r="AL262" i="13"/>
  <c r="AL261" i="13"/>
  <c r="AJ254" i="13"/>
  <c r="AL193" i="13"/>
  <c r="AL47" i="13" s="1"/>
  <c r="AL192" i="13"/>
  <c r="AL46" i="13" s="1"/>
  <c r="AI172" i="13"/>
  <c r="AI28" i="13"/>
  <c r="AH179" i="13"/>
  <c r="AJ182" i="13"/>
  <c r="AJ38" i="13" s="1"/>
  <c r="AJ173" i="13"/>
  <c r="AJ29" i="13" s="1"/>
  <c r="AJ246" i="13"/>
  <c r="AL264" i="13"/>
  <c r="AL265" i="13"/>
  <c r="AI208" i="13"/>
  <c r="AK88" i="4"/>
  <c r="AK2" i="9" s="1"/>
  <c r="AL74" i="8"/>
  <c r="AK68" i="4"/>
  <c r="AK2" i="8" s="1"/>
  <c r="AK77" i="8"/>
  <c r="AK100" i="8" s="1"/>
  <c r="AK120" i="6" s="1"/>
  <c r="AK77" i="9"/>
  <c r="AK100" i="9" s="1"/>
  <c r="AK154" i="6" s="1"/>
  <c r="AL74" i="9"/>
  <c r="AL127" i="8"/>
  <c r="AL62" i="4" a="1"/>
  <c r="AL62" i="4" s="1"/>
  <c r="AL77" i="8" s="1"/>
  <c r="AM85" i="4"/>
  <c r="AM81" i="4"/>
  <c r="AM73" i="4"/>
  <c r="AM64" i="4"/>
  <c r="AM66" i="4" s="1" a="1"/>
  <c r="AM66" i="4" s="1"/>
  <c r="AM57" i="4"/>
  <c r="AM53" i="4"/>
  <c r="AM1" i="8"/>
  <c r="AM1" i="9"/>
  <c r="AM84" i="4"/>
  <c r="AM86" i="4" s="1" a="1"/>
  <c r="AM86" i="4" s="1"/>
  <c r="AM77" i="4"/>
  <c r="AM72" i="4"/>
  <c r="AM74" i="4" s="1" a="1"/>
  <c r="AM74" i="4" s="1"/>
  <c r="AM65" i="4"/>
  <c r="AM61" i="4"/>
  <c r="AM52" i="4"/>
  <c r="AM54" i="4" s="1" a="1"/>
  <c r="AM54" i="4" s="1"/>
  <c r="AM60" i="4"/>
  <c r="AM56" i="4"/>
  <c r="AM58" i="4" s="1" a="1"/>
  <c r="AM58" i="4" s="1"/>
  <c r="AM80" i="4"/>
  <c r="AM76" i="4"/>
  <c r="AM78" i="4" s="1" a="1"/>
  <c r="AM78" i="4" s="1"/>
  <c r="AM10" i="4"/>
  <c r="AL127" i="9"/>
  <c r="AL82" i="4" a="1"/>
  <c r="AL82" i="4" s="1"/>
  <c r="AL88" i="4" s="1"/>
  <c r="AL2" i="9" s="1"/>
  <c r="AJ95" i="9"/>
  <c r="AJ8" i="9" s="1"/>
  <c r="AI105" i="9"/>
  <c r="AH105" i="8"/>
  <c r="AG115" i="6"/>
  <c r="AI95" i="8"/>
  <c r="AI8" i="8" s="1"/>
  <c r="AK165" i="9"/>
  <c r="AK14" i="9"/>
  <c r="AK157" i="9"/>
  <c r="AK96" i="9"/>
  <c r="AK150" i="6" s="1"/>
  <c r="AK72" i="9"/>
  <c r="AK41" i="9"/>
  <c r="AK13" i="9"/>
  <c r="AK97" i="9"/>
  <c r="AK145" i="6" s="1"/>
  <c r="AK40" i="9"/>
  <c r="AK158" i="9"/>
  <c r="AK107" i="9" s="1"/>
  <c r="AK146" i="6" s="1"/>
  <c r="AK164" i="9"/>
  <c r="AJ156" i="9"/>
  <c r="AJ82" i="9" s="1"/>
  <c r="AJ106" i="9"/>
  <c r="AK13" i="8"/>
  <c r="AK97" i="8"/>
  <c r="AK111" i="6" s="1"/>
  <c r="AK40" i="8"/>
  <c r="AK164" i="8"/>
  <c r="AK158" i="8"/>
  <c r="AK107" i="8" s="1"/>
  <c r="AK112" i="6" s="1"/>
  <c r="AK48" i="4"/>
  <c r="AI156" i="8"/>
  <c r="AI82" i="8" s="1"/>
  <c r="AI106" i="8"/>
  <c r="AJ165" i="8"/>
  <c r="AJ157" i="8"/>
  <c r="AJ72" i="8"/>
  <c r="AJ96" i="8"/>
  <c r="AJ41" i="8"/>
  <c r="AJ14" i="8"/>
  <c r="AJ2" i="2"/>
  <c r="AM41" i="4"/>
  <c r="AM44" i="4"/>
  <c r="AM46" i="4" s="1" a="1"/>
  <c r="AM46" i="4" s="1"/>
  <c r="AM33" i="4"/>
  <c r="AM32" i="4"/>
  <c r="AM34" i="4" s="1" a="1"/>
  <c r="AM34" i="4" s="1"/>
  <c r="AM37" i="4"/>
  <c r="AM45" i="4"/>
  <c r="AM36" i="4"/>
  <c r="AM38" i="4" s="1" a="1"/>
  <c r="AM38" i="4" s="1"/>
  <c r="AM40" i="4"/>
  <c r="AM1" i="6"/>
  <c r="AG81" i="6"/>
  <c r="AH105" i="2"/>
  <c r="AI95" i="2"/>
  <c r="AI8" i="2" s="1"/>
  <c r="AK97" i="2"/>
  <c r="AK77" i="6" s="1"/>
  <c r="AK158" i="2"/>
  <c r="AK107" i="2" s="1"/>
  <c r="AK78" i="6" s="1"/>
  <c r="AK164" i="2"/>
  <c r="AJ96" i="2"/>
  <c r="AJ82" i="6" s="1"/>
  <c r="AJ157" i="2"/>
  <c r="AJ165" i="2"/>
  <c r="AI106" i="2"/>
  <c r="AI83" i="6" s="1"/>
  <c r="AH82" i="2"/>
  <c r="AJ72" i="2"/>
  <c r="AI156" i="2"/>
  <c r="AL127" i="2"/>
  <c r="AJ14" i="2"/>
  <c r="AJ41" i="2"/>
  <c r="AK40" i="2"/>
  <c r="AK13" i="2"/>
  <c r="AK77" i="2"/>
  <c r="AK100" i="2" s="1"/>
  <c r="AK86" i="6" s="1"/>
  <c r="AL42" i="4" a="1"/>
  <c r="AL42" i="4" s="1"/>
  <c r="AL73" i="2" s="1"/>
  <c r="AN1" i="4"/>
  <c r="AN1" i="13" s="1"/>
  <c r="AM1" i="2"/>
  <c r="AH177" i="13" l="1"/>
  <c r="AH35" i="13"/>
  <c r="AH33" i="13" s="1"/>
  <c r="AM159" i="6"/>
  <c r="AM160" i="6"/>
  <c r="AM125" i="6"/>
  <c r="AM126" i="6"/>
  <c r="AJ251" i="13"/>
  <c r="AJ249" i="13" s="1"/>
  <c r="AJ151" i="6"/>
  <c r="AJ149" i="6" s="1"/>
  <c r="AI215" i="13"/>
  <c r="AI213" i="13" s="1"/>
  <c r="AI117" i="6"/>
  <c r="AI115" i="6" s="1"/>
  <c r="AJ214" i="13"/>
  <c r="AJ116" i="6"/>
  <c r="AM162" i="6"/>
  <c r="AM128" i="6"/>
  <c r="AM163" i="6"/>
  <c r="AM129" i="6"/>
  <c r="AM94" i="6"/>
  <c r="AM95" i="6"/>
  <c r="AM91" i="6"/>
  <c r="AM92" i="6"/>
  <c r="AJ244" i="13"/>
  <c r="AJ76" i="6"/>
  <c r="AJ144" i="6"/>
  <c r="AM262" i="13"/>
  <c r="AM261" i="13"/>
  <c r="AK210" i="13"/>
  <c r="AK246" i="13"/>
  <c r="AJ172" i="13"/>
  <c r="AJ28" i="13"/>
  <c r="AK182" i="13"/>
  <c r="AK38" i="13" s="1"/>
  <c r="AI179" i="13"/>
  <c r="AM226" i="13"/>
  <c r="AM225" i="13"/>
  <c r="AJ208" i="13"/>
  <c r="AM265" i="13"/>
  <c r="AM264" i="13"/>
  <c r="AK209" i="13"/>
  <c r="AK250" i="13"/>
  <c r="AK218" i="13"/>
  <c r="AJ178" i="13"/>
  <c r="AJ34" i="13" s="1"/>
  <c r="AK174" i="13"/>
  <c r="AK30" i="13" s="1"/>
  <c r="AM192" i="13"/>
  <c r="AM46" i="13" s="1"/>
  <c r="AM193" i="13"/>
  <c r="AM47" i="13" s="1"/>
  <c r="AM229" i="13"/>
  <c r="AM228" i="13"/>
  <c r="AM190" i="13"/>
  <c r="AM44" i="13" s="1"/>
  <c r="AM189" i="13"/>
  <c r="AM43" i="13" s="1"/>
  <c r="AK245" i="13"/>
  <c r="AK173" i="13"/>
  <c r="AK29" i="13" s="1"/>
  <c r="AK254" i="13"/>
  <c r="AM74" i="9"/>
  <c r="AL68" i="4"/>
  <c r="AL2" i="8" s="1"/>
  <c r="AL77" i="9"/>
  <c r="AL100" i="9" s="1"/>
  <c r="AL154" i="6" s="1"/>
  <c r="AM74" i="2"/>
  <c r="AL73" i="8"/>
  <c r="AL73" i="9"/>
  <c r="AL165" i="9" s="1"/>
  <c r="AN1" i="9"/>
  <c r="AN84" i="4"/>
  <c r="AN86" i="4" s="1" a="1"/>
  <c r="AN86" i="4" s="1"/>
  <c r="AN77" i="4"/>
  <c r="AN72" i="4"/>
  <c r="AN74" i="4" s="1" a="1"/>
  <c r="AN74" i="4" s="1"/>
  <c r="AN85" i="4"/>
  <c r="AN73" i="4"/>
  <c r="AN65" i="4"/>
  <c r="AN61" i="4"/>
  <c r="AN52" i="4"/>
  <c r="AN54" i="4" s="1" a="1"/>
  <c r="AN54" i="4" s="1"/>
  <c r="AN81" i="4"/>
  <c r="AN57" i="4"/>
  <c r="AN53" i="4"/>
  <c r="AN1" i="8"/>
  <c r="AN64" i="4"/>
  <c r="AN66" i="4" s="1" a="1"/>
  <c r="AN66" i="4" s="1"/>
  <c r="AN56" i="4"/>
  <c r="AN58" i="4" s="1" a="1"/>
  <c r="AN58" i="4" s="1"/>
  <c r="AN60" i="4"/>
  <c r="AN80" i="4"/>
  <c r="AN76" i="4"/>
  <c r="AN78" i="4" s="1" a="1"/>
  <c r="AN78" i="4" s="1"/>
  <c r="AN10" i="4"/>
  <c r="AM127" i="8"/>
  <c r="AM62" i="4" a="1"/>
  <c r="AM62" i="4" s="1"/>
  <c r="AM73" i="8" s="1"/>
  <c r="AM74" i="8"/>
  <c r="AM127" i="9"/>
  <c r="AM82" i="4" a="1"/>
  <c r="AM82" i="4" s="1"/>
  <c r="AM73" i="9" s="1"/>
  <c r="AJ105" i="9"/>
  <c r="AI149" i="6"/>
  <c r="AI105" i="8"/>
  <c r="AJ95" i="8"/>
  <c r="AJ8" i="8" s="1"/>
  <c r="AH115" i="6"/>
  <c r="AL164" i="9"/>
  <c r="AL158" i="9"/>
  <c r="AL107" i="9" s="1"/>
  <c r="AL146" i="6" s="1"/>
  <c r="AL13" i="9"/>
  <c r="AL97" i="9"/>
  <c r="AL145" i="6" s="1"/>
  <c r="AL40" i="9"/>
  <c r="AK95" i="9"/>
  <c r="AK8" i="9" s="1"/>
  <c r="AL164" i="8"/>
  <c r="AL158" i="8"/>
  <c r="AL107" i="8" s="1"/>
  <c r="AL112" i="6" s="1"/>
  <c r="AL40" i="8"/>
  <c r="AL13" i="8"/>
  <c r="AL97" i="8"/>
  <c r="AL111" i="6" s="1"/>
  <c r="AK156" i="9"/>
  <c r="AK82" i="9" s="1"/>
  <c r="AK106" i="9"/>
  <c r="AJ156" i="8"/>
  <c r="AJ82" i="8" s="1"/>
  <c r="AJ106" i="8"/>
  <c r="AL48" i="4"/>
  <c r="AL100" i="8"/>
  <c r="AL120" i="6" s="1"/>
  <c r="AK165" i="8"/>
  <c r="AK157" i="8"/>
  <c r="AK72" i="8"/>
  <c r="AK96" i="8"/>
  <c r="AK41" i="8"/>
  <c r="AK14" i="8"/>
  <c r="AK2" i="2"/>
  <c r="AN44" i="4"/>
  <c r="AN46" i="4" s="1" a="1"/>
  <c r="AN46" i="4" s="1"/>
  <c r="AN33" i="4"/>
  <c r="AN41" i="4"/>
  <c r="AN37" i="4"/>
  <c r="AN45" i="4"/>
  <c r="AN32" i="4"/>
  <c r="AN34" i="4" s="1" a="1"/>
  <c r="AN34" i="4" s="1"/>
  <c r="AN40" i="4"/>
  <c r="AN36" i="4"/>
  <c r="AN38" i="4" s="1" a="1"/>
  <c r="AN38" i="4" s="1"/>
  <c r="AN1" i="6"/>
  <c r="AH81" i="6"/>
  <c r="AK96" i="2"/>
  <c r="AK82" i="6" s="1"/>
  <c r="AK157" i="2"/>
  <c r="AK165" i="2"/>
  <c r="AI105" i="2"/>
  <c r="AL97" i="2"/>
  <c r="AL77" i="6" s="1"/>
  <c r="AL164" i="2"/>
  <c r="AL158" i="2"/>
  <c r="AL107" i="2" s="1"/>
  <c r="AL78" i="6" s="1"/>
  <c r="AJ95" i="2"/>
  <c r="AJ8" i="2" s="1"/>
  <c r="AJ106" i="2"/>
  <c r="AJ83" i="6" s="1"/>
  <c r="AI82" i="2"/>
  <c r="AK72" i="2"/>
  <c r="AM127" i="2"/>
  <c r="AJ156" i="2"/>
  <c r="AL77" i="2"/>
  <c r="AL100" i="2" s="1"/>
  <c r="AL86" i="6" s="1"/>
  <c r="AL40" i="2"/>
  <c r="AL13" i="2"/>
  <c r="AK41" i="2"/>
  <c r="AK14" i="2"/>
  <c r="AM42" i="4" a="1"/>
  <c r="AM42" i="4" s="1"/>
  <c r="AM73" i="2" s="1"/>
  <c r="AO1" i="4"/>
  <c r="AO1" i="13" s="1"/>
  <c r="AN1" i="2"/>
  <c r="AI177" i="13" l="1"/>
  <c r="AI35" i="13"/>
  <c r="AN126" i="6"/>
  <c r="AN125" i="6"/>
  <c r="AN159" i="6"/>
  <c r="AN160" i="6"/>
  <c r="AK251" i="13"/>
  <c r="AK249" i="13" s="1"/>
  <c r="AK151" i="6"/>
  <c r="AK214" i="13"/>
  <c r="AK116" i="6"/>
  <c r="AJ215" i="13"/>
  <c r="AJ213" i="13" s="1"/>
  <c r="AJ117" i="6"/>
  <c r="AN162" i="6"/>
  <c r="AN128" i="6"/>
  <c r="AN163" i="6"/>
  <c r="AN129" i="6"/>
  <c r="AN94" i="6"/>
  <c r="AN95" i="6"/>
  <c r="AN92" i="6"/>
  <c r="AN91" i="6"/>
  <c r="AK110" i="6"/>
  <c r="AK144" i="6"/>
  <c r="AK76" i="6"/>
  <c r="AK244" i="13"/>
  <c r="AL245" i="13"/>
  <c r="AN229" i="13"/>
  <c r="AN228" i="13"/>
  <c r="AK28" i="13"/>
  <c r="AK172" i="13"/>
  <c r="AL174" i="13"/>
  <c r="AL30" i="13" s="1"/>
  <c r="AL254" i="13"/>
  <c r="AN192" i="13"/>
  <c r="AN46" i="13" s="1"/>
  <c r="AN193" i="13"/>
  <c r="AN47" i="13" s="1"/>
  <c r="AL218" i="13"/>
  <c r="AL182" i="13"/>
  <c r="AL38" i="13" s="1"/>
  <c r="AL210" i="13"/>
  <c r="AN264" i="13"/>
  <c r="AN265" i="13"/>
  <c r="AK208" i="13"/>
  <c r="AN226" i="13"/>
  <c r="AN225" i="13"/>
  <c r="AI33" i="13"/>
  <c r="AL173" i="13"/>
  <c r="AL29" i="13" s="1"/>
  <c r="AL209" i="13"/>
  <c r="AL246" i="13"/>
  <c r="AJ179" i="13"/>
  <c r="AK178" i="13"/>
  <c r="AK34" i="13" s="1"/>
  <c r="AN190" i="13"/>
  <c r="AN44" i="13" s="1"/>
  <c r="AN189" i="13"/>
  <c r="AN43" i="13" s="1"/>
  <c r="AN261" i="13"/>
  <c r="AN262" i="13"/>
  <c r="AL14" i="9"/>
  <c r="AN74" i="9"/>
  <c r="AN74" i="2"/>
  <c r="AM68" i="4"/>
  <c r="AM2" i="8" s="1"/>
  <c r="AN74" i="8"/>
  <c r="AM77" i="8"/>
  <c r="AM100" i="8" s="1"/>
  <c r="AM120" i="6" s="1"/>
  <c r="AM88" i="4"/>
  <c r="AM2" i="9" s="1"/>
  <c r="AM77" i="9"/>
  <c r="AM100" i="9" s="1"/>
  <c r="AM154" i="6" s="1"/>
  <c r="AL72" i="9"/>
  <c r="AL96" i="9"/>
  <c r="AL150" i="6" s="1"/>
  <c r="AL41" i="9"/>
  <c r="AL157" i="9"/>
  <c r="AL106" i="9" s="1"/>
  <c r="AO64" i="4"/>
  <c r="AO66" i="4" s="1" a="1"/>
  <c r="AO66" i="4" s="1"/>
  <c r="AO57" i="4"/>
  <c r="AO53" i="4"/>
  <c r="AO1" i="8"/>
  <c r="AO1" i="9"/>
  <c r="AO84" i="4"/>
  <c r="AO86" i="4" s="1" a="1"/>
  <c r="AO86" i="4" s="1"/>
  <c r="AO77" i="4"/>
  <c r="AO72" i="4"/>
  <c r="AO74" i="4" s="1" a="1"/>
  <c r="AO74" i="4" s="1"/>
  <c r="AO65" i="4"/>
  <c r="AO61" i="4"/>
  <c r="AO52" i="4"/>
  <c r="AO54" i="4" s="1" a="1"/>
  <c r="AO54" i="4" s="1"/>
  <c r="AO85" i="4"/>
  <c r="AO81" i="4"/>
  <c r="AO73" i="4"/>
  <c r="AO56" i="4"/>
  <c r="AO58" i="4" s="1" a="1"/>
  <c r="AO58" i="4" s="1"/>
  <c r="AO60" i="4"/>
  <c r="AO76" i="4"/>
  <c r="AO78" i="4" s="1" a="1"/>
  <c r="AO78" i="4" s="1"/>
  <c r="AO80" i="4"/>
  <c r="AO10" i="4"/>
  <c r="AN127" i="9"/>
  <c r="AN82" i="4" a="1"/>
  <c r="AN82" i="4" s="1"/>
  <c r="AN73" i="9" s="1"/>
  <c r="AN127" i="8"/>
  <c r="AN62" i="4" a="1"/>
  <c r="AN62" i="4" s="1"/>
  <c r="AN73" i="8" s="1"/>
  <c r="AK105" i="9"/>
  <c r="AL144" i="6"/>
  <c r="AJ105" i="8"/>
  <c r="AK95" i="8"/>
  <c r="AK8" i="8" s="1"/>
  <c r="AM40" i="8"/>
  <c r="AM158" i="8"/>
  <c r="AM107" i="8" s="1"/>
  <c r="AM112" i="6" s="1"/>
  <c r="AM13" i="8"/>
  <c r="AM164" i="8"/>
  <c r="AM97" i="8"/>
  <c r="AM111" i="6" s="1"/>
  <c r="AM72" i="9"/>
  <c r="AM41" i="9"/>
  <c r="AM14" i="9"/>
  <c r="AM96" i="9"/>
  <c r="AM150" i="6" s="1"/>
  <c r="AM165" i="9"/>
  <c r="AM157" i="9"/>
  <c r="AM97" i="9"/>
  <c r="AM145" i="6" s="1"/>
  <c r="AM40" i="9"/>
  <c r="AM158" i="9"/>
  <c r="AM107" i="9" s="1"/>
  <c r="AM146" i="6" s="1"/>
  <c r="AM13" i="9"/>
  <c r="AM164" i="9"/>
  <c r="AK156" i="8"/>
  <c r="AK82" i="8" s="1"/>
  <c r="AK106" i="8"/>
  <c r="AM48" i="4"/>
  <c r="AL165" i="8"/>
  <c r="AL157" i="8"/>
  <c r="AL72" i="8"/>
  <c r="AL96" i="8"/>
  <c r="AL41" i="8"/>
  <c r="AL14" i="8"/>
  <c r="AL2" i="2"/>
  <c r="AO44" i="4"/>
  <c r="AO46" i="4" s="1" a="1"/>
  <c r="AO46" i="4" s="1"/>
  <c r="AO33" i="4"/>
  <c r="AO32" i="4"/>
  <c r="AO34" i="4" s="1" a="1"/>
  <c r="AO34" i="4" s="1"/>
  <c r="AO37" i="4"/>
  <c r="AO45" i="4"/>
  <c r="AO41" i="4"/>
  <c r="AO36" i="4"/>
  <c r="AO38" i="4" s="1" a="1"/>
  <c r="AO38" i="4" s="1"/>
  <c r="AO40" i="4"/>
  <c r="AO1" i="6"/>
  <c r="AI81" i="6"/>
  <c r="AJ105" i="2"/>
  <c r="AM97" i="2"/>
  <c r="AM77" i="6" s="1"/>
  <c r="AM164" i="2"/>
  <c r="AM158" i="2"/>
  <c r="AM107" i="2" s="1"/>
  <c r="AM78" i="6" s="1"/>
  <c r="AL96" i="2"/>
  <c r="AL82" i="6" s="1"/>
  <c r="AL165" i="2"/>
  <c r="AL157" i="2"/>
  <c r="AK95" i="2"/>
  <c r="AK8" i="2" s="1"/>
  <c r="AK106" i="2"/>
  <c r="AK83" i="6" s="1"/>
  <c r="AJ82" i="2"/>
  <c r="AL72" i="2"/>
  <c r="AK156" i="2"/>
  <c r="AN127" i="2"/>
  <c r="AM13" i="2"/>
  <c r="AM40" i="2"/>
  <c r="AM77" i="2"/>
  <c r="AM100" i="2" s="1"/>
  <c r="AM86" i="6" s="1"/>
  <c r="AL14" i="2"/>
  <c r="AL41" i="2"/>
  <c r="AN42" i="4" a="1"/>
  <c r="AN42" i="4" s="1"/>
  <c r="AN73" i="2" s="1"/>
  <c r="AP1" i="4"/>
  <c r="AP1" i="13" s="1"/>
  <c r="AO1" i="2"/>
  <c r="AJ177" i="13" l="1"/>
  <c r="AJ35" i="13"/>
  <c r="AJ33" i="13" s="1"/>
  <c r="AO126" i="6"/>
  <c r="AO125" i="6"/>
  <c r="AO159" i="6"/>
  <c r="AO160" i="6"/>
  <c r="AL251" i="13"/>
  <c r="AL151" i="6"/>
  <c r="AK215" i="13"/>
  <c r="AK213" i="13" s="1"/>
  <c r="AK117" i="6"/>
  <c r="AL214" i="13"/>
  <c r="AL116" i="6"/>
  <c r="AO163" i="6"/>
  <c r="AO129" i="6"/>
  <c r="AO128" i="6"/>
  <c r="AO162" i="6"/>
  <c r="AO95" i="6"/>
  <c r="AO94" i="6"/>
  <c r="AO91" i="6"/>
  <c r="AO92" i="6"/>
  <c r="AL110" i="6"/>
  <c r="AL76" i="6"/>
  <c r="AM210" i="13"/>
  <c r="AO228" i="13"/>
  <c r="AO229" i="13"/>
  <c r="AO192" i="13"/>
  <c r="AO46" i="13" s="1"/>
  <c r="AO193" i="13"/>
  <c r="AO47" i="13" s="1"/>
  <c r="AM218" i="13"/>
  <c r="AM250" i="13"/>
  <c r="AO226" i="13"/>
  <c r="AO225" i="13"/>
  <c r="AL208" i="13"/>
  <c r="AM182" i="13"/>
  <c r="AM38" i="13" s="1"/>
  <c r="AL244" i="13"/>
  <c r="AM173" i="13"/>
  <c r="AM29" i="13" s="1"/>
  <c r="AK179" i="13"/>
  <c r="AK35" i="13" s="1"/>
  <c r="AO264" i="13"/>
  <c r="AO265" i="13"/>
  <c r="AL250" i="13"/>
  <c r="AL172" i="13"/>
  <c r="AL28" i="13"/>
  <c r="AM174" i="13"/>
  <c r="AM30" i="13" s="1"/>
  <c r="AM245" i="13"/>
  <c r="AM246" i="13"/>
  <c r="AO261" i="13"/>
  <c r="AO262" i="13"/>
  <c r="AO189" i="13"/>
  <c r="AO43" i="13" s="1"/>
  <c r="AO190" i="13"/>
  <c r="AO44" i="13" s="1"/>
  <c r="AL178" i="13"/>
  <c r="AL34" i="13" s="1"/>
  <c r="AM209" i="13"/>
  <c r="AM254" i="13"/>
  <c r="AN77" i="9"/>
  <c r="AN100" i="9" s="1"/>
  <c r="AN154" i="6" s="1"/>
  <c r="AN88" i="4"/>
  <c r="AN2" i="9" s="1"/>
  <c r="AO74" i="2"/>
  <c r="AL156" i="9"/>
  <c r="AL82" i="9" s="1"/>
  <c r="AN68" i="4"/>
  <c r="AN2" i="8" s="1"/>
  <c r="AN77" i="8"/>
  <c r="AN100" i="8" s="1"/>
  <c r="AN120" i="6" s="1"/>
  <c r="AL95" i="9"/>
  <c r="AL8" i="9" s="1"/>
  <c r="AO127" i="8"/>
  <c r="AO62" i="4" a="1"/>
  <c r="AO62" i="4" s="1"/>
  <c r="AO73" i="8" s="1"/>
  <c r="AO74" i="9"/>
  <c r="AO74" i="8"/>
  <c r="AO127" i="9"/>
  <c r="AO82" i="4" a="1"/>
  <c r="AO82" i="4" s="1"/>
  <c r="AO73" i="9" s="1"/>
  <c r="AP1" i="9"/>
  <c r="AP84" i="4"/>
  <c r="AP86" i="4" s="1" a="1"/>
  <c r="AP86" i="4" s="1"/>
  <c r="AP77" i="4"/>
  <c r="AP65" i="4"/>
  <c r="AP61" i="4"/>
  <c r="AP52" i="4"/>
  <c r="AP54" i="4" s="1" a="1"/>
  <c r="AP54" i="4" s="1"/>
  <c r="AP57" i="4"/>
  <c r="AP85" i="4"/>
  <c r="AP81" i="4"/>
  <c r="AP73" i="4"/>
  <c r="AP64" i="4"/>
  <c r="AP66" i="4" s="1" a="1"/>
  <c r="AP66" i="4" s="1"/>
  <c r="AP53" i="4"/>
  <c r="AP1" i="8"/>
  <c r="AP72" i="4"/>
  <c r="AP74" i="4" s="1" a="1"/>
  <c r="AP74" i="4" s="1"/>
  <c r="AP60" i="4"/>
  <c r="AP56" i="4"/>
  <c r="AP58" i="4" s="1" a="1"/>
  <c r="AP58" i="4" s="1"/>
  <c r="AP80" i="4"/>
  <c r="AP76" i="4"/>
  <c r="AP78" i="4" s="1" a="1"/>
  <c r="AP78" i="4" s="1"/>
  <c r="AP10" i="4"/>
  <c r="AK149" i="6"/>
  <c r="AL105" i="9"/>
  <c r="AK105" i="8"/>
  <c r="AL95" i="8"/>
  <c r="AL8" i="8" s="1"/>
  <c r="AJ115" i="6"/>
  <c r="AN13" i="9"/>
  <c r="AN40" i="9"/>
  <c r="AN158" i="9"/>
  <c r="AN107" i="9" s="1"/>
  <c r="AN146" i="6" s="1"/>
  <c r="AN164" i="9"/>
  <c r="AN97" i="9"/>
  <c r="AN145" i="6" s="1"/>
  <c r="AN13" i="8"/>
  <c r="AN158" i="8"/>
  <c r="AN107" i="8" s="1"/>
  <c r="AN112" i="6" s="1"/>
  <c r="AN164" i="8"/>
  <c r="AN97" i="8"/>
  <c r="AN111" i="6" s="1"/>
  <c r="AN40" i="8"/>
  <c r="AN157" i="9"/>
  <c r="AN96" i="9"/>
  <c r="AN150" i="6" s="1"/>
  <c r="AN72" i="9"/>
  <c r="AN14" i="9"/>
  <c r="AN41" i="9"/>
  <c r="AN165" i="9"/>
  <c r="AM156" i="9"/>
  <c r="AM82" i="9" s="1"/>
  <c r="AM106" i="9"/>
  <c r="AM95" i="9"/>
  <c r="AM8" i="9" s="1"/>
  <c r="AL156" i="8"/>
  <c r="AL82" i="8" s="1"/>
  <c r="AL106" i="8"/>
  <c r="AM165" i="8"/>
  <c r="AM157" i="8"/>
  <c r="AM72" i="8"/>
  <c r="AM96" i="8"/>
  <c r="AM41" i="8"/>
  <c r="AM14" i="8"/>
  <c r="AN48" i="4"/>
  <c r="AM2" i="2"/>
  <c r="AP33" i="4"/>
  <c r="AP37" i="4"/>
  <c r="AP44" i="4"/>
  <c r="AP46" i="4" s="1" a="1"/>
  <c r="AP46" i="4" s="1"/>
  <c r="AP45" i="4"/>
  <c r="AP41" i="4"/>
  <c r="AP32" i="4"/>
  <c r="AP34" i="4" s="1" a="1"/>
  <c r="AP34" i="4" s="1"/>
  <c r="AP40" i="4"/>
  <c r="AP36" i="4"/>
  <c r="AP38" i="4" s="1" a="1"/>
  <c r="AP38" i="4" s="1"/>
  <c r="AP1" i="6"/>
  <c r="AJ81" i="6"/>
  <c r="AL95" i="2"/>
  <c r="AL8" i="2" s="1"/>
  <c r="AM96" i="2"/>
  <c r="AM82" i="6" s="1"/>
  <c r="AM165" i="2"/>
  <c r="AM157" i="2"/>
  <c r="AK105" i="2"/>
  <c r="AN97" i="2"/>
  <c r="AN77" i="6" s="1"/>
  <c r="AN164" i="2"/>
  <c r="AN158" i="2"/>
  <c r="AN107" i="2" s="1"/>
  <c r="AN78" i="6" s="1"/>
  <c r="AL106" i="2"/>
  <c r="AL83" i="6" s="1"/>
  <c r="AK82" i="2"/>
  <c r="AM72" i="2"/>
  <c r="AO127" i="2"/>
  <c r="AL156" i="2"/>
  <c r="AN13" i="2"/>
  <c r="AN40" i="2"/>
  <c r="AM14" i="2"/>
  <c r="AM41" i="2"/>
  <c r="AN77" i="2"/>
  <c r="AN100" i="2" s="1"/>
  <c r="AN86" i="6" s="1"/>
  <c r="AO42" i="4" a="1"/>
  <c r="AO42" i="4" s="1"/>
  <c r="AO73" i="2" s="1"/>
  <c r="AQ1" i="4"/>
  <c r="AQ1" i="13" s="1"/>
  <c r="AP1" i="2"/>
  <c r="AL249" i="13" l="1"/>
  <c r="AM208" i="13"/>
  <c r="AP126" i="6"/>
  <c r="AP125" i="6"/>
  <c r="AP159" i="6"/>
  <c r="AP160" i="6"/>
  <c r="AM251" i="13"/>
  <c r="AM249" i="13" s="1"/>
  <c r="AM151" i="6"/>
  <c r="AM214" i="13"/>
  <c r="AM116" i="6"/>
  <c r="AL215" i="13"/>
  <c r="AL213" i="13" s="1"/>
  <c r="AL117" i="6"/>
  <c r="AP163" i="6"/>
  <c r="AP129" i="6"/>
  <c r="AP162" i="6"/>
  <c r="AP128" i="6"/>
  <c r="AP94" i="6"/>
  <c r="AP95" i="6"/>
  <c r="AP92" i="6"/>
  <c r="AP91" i="6"/>
  <c r="AM110" i="6"/>
  <c r="AM76" i="6"/>
  <c r="AM144" i="6"/>
  <c r="AN254" i="13"/>
  <c r="AN182" i="13"/>
  <c r="AN38" i="13" s="1"/>
  <c r="AP226" i="13"/>
  <c r="AP225" i="13"/>
  <c r="AM172" i="13"/>
  <c r="AM28" i="13"/>
  <c r="AK33" i="13"/>
  <c r="AN245" i="13"/>
  <c r="AM244" i="13"/>
  <c r="AK177" i="13"/>
  <c r="AL179" i="13"/>
  <c r="AL35" i="13" s="1"/>
  <c r="AM178" i="13"/>
  <c r="AM34" i="13" s="1"/>
  <c r="AP189" i="13"/>
  <c r="AP43" i="13" s="1"/>
  <c r="AP190" i="13"/>
  <c r="AP44" i="13" s="1"/>
  <c r="AN250" i="13"/>
  <c r="AN218" i="13"/>
  <c r="AP193" i="13"/>
  <c r="AP47" i="13" s="1"/>
  <c r="AP192" i="13"/>
  <c r="AP46" i="13" s="1"/>
  <c r="AP261" i="13"/>
  <c r="AP262" i="13"/>
  <c r="AN246" i="13"/>
  <c r="AP228" i="13"/>
  <c r="AP229" i="13"/>
  <c r="AN210" i="13"/>
  <c r="AN174" i="13"/>
  <c r="AN30" i="13" s="1"/>
  <c r="AN173" i="13"/>
  <c r="AN29" i="13" s="1"/>
  <c r="AN209" i="13"/>
  <c r="AP265" i="13"/>
  <c r="AP264" i="13"/>
  <c r="AO68" i="4"/>
  <c r="AO2" i="8" s="1"/>
  <c r="AO77" i="8"/>
  <c r="AO100" i="8" s="1"/>
  <c r="AO120" i="6" s="1"/>
  <c r="AP74" i="2"/>
  <c r="AO77" i="9"/>
  <c r="AO100" i="9" s="1"/>
  <c r="AO154" i="6" s="1"/>
  <c r="AP74" i="8"/>
  <c r="AO88" i="4"/>
  <c r="AO2" i="9" s="1"/>
  <c r="AQ84" i="4"/>
  <c r="AQ86" i="4" s="1" a="1"/>
  <c r="AQ86" i="4" s="1"/>
  <c r="AQ77" i="4"/>
  <c r="AQ72" i="4"/>
  <c r="AQ74" i="4" s="1" a="1"/>
  <c r="AQ74" i="4" s="1"/>
  <c r="AQ65" i="4"/>
  <c r="AQ61" i="4"/>
  <c r="AQ52" i="4"/>
  <c r="AQ54" i="4" s="1" a="1"/>
  <c r="AQ54" i="4" s="1"/>
  <c r="AQ1" i="9"/>
  <c r="AQ85" i="4"/>
  <c r="AQ81" i="4"/>
  <c r="AQ73" i="4"/>
  <c r="AQ64" i="4"/>
  <c r="AQ66" i="4" s="1" a="1"/>
  <c r="AQ66" i="4" s="1"/>
  <c r="AQ57" i="4"/>
  <c r="AQ53" i="4"/>
  <c r="AQ1" i="8"/>
  <c r="AQ60" i="4"/>
  <c r="AQ56" i="4"/>
  <c r="AQ58" i="4" s="1" a="1"/>
  <c r="AQ58" i="4" s="1"/>
  <c r="AQ80" i="4"/>
  <c r="AQ76" i="4"/>
  <c r="AQ78" i="4" s="1" a="1"/>
  <c r="AQ78" i="4" s="1"/>
  <c r="AQ10" i="4"/>
  <c r="AP127" i="9"/>
  <c r="AP82" i="4" a="1"/>
  <c r="AP82" i="4" s="1"/>
  <c r="AP73" i="9" s="1"/>
  <c r="AP74" i="9"/>
  <c r="AP127" i="8"/>
  <c r="AP62" i="4" a="1"/>
  <c r="AP62" i="4" s="1"/>
  <c r="AP73" i="8" s="1"/>
  <c r="AL149" i="6"/>
  <c r="AM105" i="9"/>
  <c r="AL105" i="8"/>
  <c r="AM95" i="8"/>
  <c r="AM8" i="8" s="1"/>
  <c r="AK115" i="6"/>
  <c r="AN95" i="9"/>
  <c r="AN8" i="9" s="1"/>
  <c r="AO97" i="9"/>
  <c r="AO145" i="6" s="1"/>
  <c r="AO40" i="9"/>
  <c r="AO164" i="9"/>
  <c r="AO13" i="9"/>
  <c r="AO158" i="9"/>
  <c r="AO107" i="9" s="1"/>
  <c r="AO146" i="6" s="1"/>
  <c r="AO13" i="8"/>
  <c r="AO158" i="8"/>
  <c r="AO107" i="8" s="1"/>
  <c r="AO112" i="6" s="1"/>
  <c r="AO164" i="8"/>
  <c r="AO40" i="8"/>
  <c r="AO97" i="8"/>
  <c r="AO111" i="6" s="1"/>
  <c r="AO165" i="9"/>
  <c r="AO157" i="9"/>
  <c r="AO96" i="9"/>
  <c r="AO72" i="9"/>
  <c r="AO14" i="9"/>
  <c r="AO41" i="9"/>
  <c r="AN156" i="9"/>
  <c r="AN82" i="9" s="1"/>
  <c r="AN106" i="9"/>
  <c r="AM156" i="8"/>
  <c r="AM82" i="8" s="1"/>
  <c r="AM106" i="8"/>
  <c r="AN165" i="8"/>
  <c r="AN157" i="8"/>
  <c r="AN72" i="8"/>
  <c r="AN96" i="8"/>
  <c r="AN41" i="8"/>
  <c r="AN14" i="8"/>
  <c r="AN2" i="2"/>
  <c r="AO48" i="4"/>
  <c r="AQ37" i="4"/>
  <c r="AQ45" i="4"/>
  <c r="AQ32" i="4"/>
  <c r="AQ34" i="4" s="1" a="1"/>
  <c r="AQ34" i="4" s="1"/>
  <c r="AQ41" i="4"/>
  <c r="AQ44" i="4"/>
  <c r="AQ46" i="4" s="1" a="1"/>
  <c r="AQ46" i="4" s="1"/>
  <c r="AQ33" i="4"/>
  <c r="AQ40" i="4"/>
  <c r="AQ36" i="4"/>
  <c r="AQ38" i="4" s="1" a="1"/>
  <c r="AQ38" i="4" s="1"/>
  <c r="AQ1" i="6"/>
  <c r="AK81" i="6"/>
  <c r="AO97" i="2"/>
  <c r="AO77" i="6" s="1"/>
  <c r="AO158" i="2"/>
  <c r="AO107" i="2" s="1"/>
  <c r="AO78" i="6" s="1"/>
  <c r="AO164" i="2"/>
  <c r="AL105" i="2"/>
  <c r="AM95" i="2"/>
  <c r="AM8" i="2" s="1"/>
  <c r="AN96" i="2"/>
  <c r="AN82" i="6" s="1"/>
  <c r="AN157" i="2"/>
  <c r="AN165" i="2"/>
  <c r="AM156" i="2"/>
  <c r="AM82" i="2" s="1"/>
  <c r="AM106" i="2"/>
  <c r="AM83" i="6" s="1"/>
  <c r="AL82" i="2"/>
  <c r="AN72" i="2"/>
  <c r="AP127" i="2"/>
  <c r="AO13" i="2"/>
  <c r="AO40" i="2"/>
  <c r="AO77" i="2"/>
  <c r="AO100" i="2" s="1"/>
  <c r="AO86" i="6" s="1"/>
  <c r="AN14" i="2"/>
  <c r="AN41" i="2"/>
  <c r="AP42" i="4" a="1"/>
  <c r="AP42" i="4" s="1"/>
  <c r="AP73" i="2" s="1"/>
  <c r="AR1" i="4"/>
  <c r="AR1" i="13" s="1"/>
  <c r="AQ1" i="2"/>
  <c r="AQ159" i="6" l="1"/>
  <c r="AQ160" i="6"/>
  <c r="AQ125" i="6"/>
  <c r="AQ126" i="6"/>
  <c r="AN251" i="13"/>
  <c r="AN249" i="13" s="1"/>
  <c r="AN151" i="6"/>
  <c r="AO250" i="13"/>
  <c r="AO150" i="6"/>
  <c r="AM215" i="13"/>
  <c r="AM213" i="13" s="1"/>
  <c r="AM117" i="6"/>
  <c r="AM115" i="6" s="1"/>
  <c r="AN214" i="13"/>
  <c r="AN116" i="6"/>
  <c r="AQ163" i="6"/>
  <c r="AQ129" i="6"/>
  <c r="AQ162" i="6"/>
  <c r="AQ128" i="6"/>
  <c r="AQ94" i="6"/>
  <c r="AQ95" i="6"/>
  <c r="AQ92" i="6"/>
  <c r="AQ91" i="6"/>
  <c r="AN144" i="6"/>
  <c r="AN110" i="6"/>
  <c r="AO173" i="13"/>
  <c r="AO29" i="13" s="1"/>
  <c r="AL33" i="13"/>
  <c r="AO182" i="13"/>
  <c r="AO38" i="13" s="1"/>
  <c r="AN76" i="6"/>
  <c r="AQ228" i="13"/>
  <c r="AQ229" i="13"/>
  <c r="AO209" i="13"/>
  <c r="AO210" i="13"/>
  <c r="AQ193" i="13"/>
  <c r="AQ47" i="13" s="1"/>
  <c r="AQ192" i="13"/>
  <c r="AQ46" i="13" s="1"/>
  <c r="AO245" i="13"/>
  <c r="AN178" i="13"/>
  <c r="AN34" i="13" s="1"/>
  <c r="AQ261" i="13"/>
  <c r="AQ262" i="13"/>
  <c r="AQ264" i="13"/>
  <c r="AQ265" i="13"/>
  <c r="AN208" i="13"/>
  <c r="AN244" i="13"/>
  <c r="AO218" i="13"/>
  <c r="AO246" i="13"/>
  <c r="AQ225" i="13"/>
  <c r="AQ226" i="13"/>
  <c r="AL177" i="13"/>
  <c r="AM179" i="13"/>
  <c r="AM35" i="13" s="1"/>
  <c r="AO174" i="13"/>
  <c r="AO30" i="13" s="1"/>
  <c r="AQ189" i="13"/>
  <c r="AQ43" i="13" s="1"/>
  <c r="AQ190" i="13"/>
  <c r="AQ44" i="13" s="1"/>
  <c r="AO254" i="13"/>
  <c r="AN172" i="13"/>
  <c r="AN28" i="13"/>
  <c r="AP77" i="9"/>
  <c r="AP100" i="9" s="1"/>
  <c r="AP154" i="6" s="1"/>
  <c r="AP68" i="4"/>
  <c r="AP2" i="8" s="1"/>
  <c r="AP88" i="4"/>
  <c r="AP2" i="9" s="1"/>
  <c r="AQ74" i="2"/>
  <c r="AP77" i="8"/>
  <c r="AP100" i="8" s="1"/>
  <c r="AP120" i="6" s="1"/>
  <c r="AQ74" i="8"/>
  <c r="AR84" i="4"/>
  <c r="AR86" i="4" s="1" a="1"/>
  <c r="AR86" i="4" s="1"/>
  <c r="AR85" i="4"/>
  <c r="AR81" i="4"/>
  <c r="AR73" i="4"/>
  <c r="AR72" i="4"/>
  <c r="AR74" i="4" s="1" a="1"/>
  <c r="AR74" i="4" s="1"/>
  <c r="AR64" i="4"/>
  <c r="AR66" i="4" s="1" a="1"/>
  <c r="AR66" i="4" s="1"/>
  <c r="AR57" i="4"/>
  <c r="AR53" i="4"/>
  <c r="AR1" i="8"/>
  <c r="AR77" i="4"/>
  <c r="AR1" i="9"/>
  <c r="AR65" i="4"/>
  <c r="AR61" i="4"/>
  <c r="AR52" i="4"/>
  <c r="AR54" i="4" s="1" a="1"/>
  <c r="AR54" i="4" s="1"/>
  <c r="AR56" i="4"/>
  <c r="AR58" i="4" s="1" a="1"/>
  <c r="AR58" i="4" s="1"/>
  <c r="AR60" i="4"/>
  <c r="AR76" i="4"/>
  <c r="AR78" i="4" s="1" a="1"/>
  <c r="AR78" i="4" s="1"/>
  <c r="AR80" i="4"/>
  <c r="AR10" i="4"/>
  <c r="AQ127" i="9"/>
  <c r="AQ82" i="4" a="1"/>
  <c r="AQ82" i="4" s="1"/>
  <c r="AQ77" i="9" s="1"/>
  <c r="AQ100" i="9" s="1"/>
  <c r="AQ154" i="6" s="1"/>
  <c r="AQ127" i="8"/>
  <c r="AQ62" i="4" a="1"/>
  <c r="AQ62" i="4" s="1"/>
  <c r="AQ68" i="4" s="1"/>
  <c r="AQ74" i="9"/>
  <c r="AM149" i="6"/>
  <c r="AO95" i="9"/>
  <c r="AO8" i="9" s="1"/>
  <c r="AN105" i="9"/>
  <c r="AN95" i="8"/>
  <c r="AN8" i="8" s="1"/>
  <c r="AL115" i="6"/>
  <c r="AM105" i="8"/>
  <c r="AP158" i="8"/>
  <c r="AP107" i="8" s="1"/>
  <c r="AP112" i="6" s="1"/>
  <c r="AP97" i="8"/>
  <c r="AP111" i="6" s="1"/>
  <c r="AP164" i="8"/>
  <c r="AP40" i="8"/>
  <c r="AP13" i="8"/>
  <c r="AP72" i="9"/>
  <c r="AP14" i="9"/>
  <c r="AP41" i="9"/>
  <c r="AP96" i="9"/>
  <c r="AP150" i="6" s="1"/>
  <c r="AP157" i="9"/>
  <c r="AP165" i="9"/>
  <c r="AO156" i="9"/>
  <c r="AO82" i="9" s="1"/>
  <c r="AO106" i="9"/>
  <c r="AP97" i="9"/>
  <c r="AP145" i="6" s="1"/>
  <c r="AP40" i="9"/>
  <c r="AP164" i="9"/>
  <c r="AP13" i="9"/>
  <c r="AP158" i="9"/>
  <c r="AP107" i="9" s="1"/>
  <c r="AP146" i="6" s="1"/>
  <c r="AO165" i="8"/>
  <c r="AO157" i="8"/>
  <c r="AO72" i="8"/>
  <c r="AO96" i="8"/>
  <c r="AO41" i="8"/>
  <c r="AO14" i="8"/>
  <c r="AN156" i="8"/>
  <c r="AN82" i="8" s="1"/>
  <c r="AN106" i="8"/>
  <c r="AP48" i="4"/>
  <c r="AO2" i="2"/>
  <c r="AR37" i="4"/>
  <c r="AR45" i="4"/>
  <c r="AR32" i="4"/>
  <c r="AR34" i="4" s="1" a="1"/>
  <c r="AR34" i="4" s="1"/>
  <c r="AR41" i="4"/>
  <c r="AR44" i="4"/>
  <c r="AR46" i="4" s="1" a="1"/>
  <c r="AR46" i="4" s="1"/>
  <c r="AR33" i="4"/>
  <c r="AR40" i="4"/>
  <c r="AR36" i="4"/>
  <c r="AR38" i="4" s="1" a="1"/>
  <c r="AR38" i="4" s="1"/>
  <c r="AR1" i="6"/>
  <c r="AL81" i="6"/>
  <c r="AM105" i="2"/>
  <c r="AO96" i="2"/>
  <c r="AO82" i="6" s="1"/>
  <c r="AO165" i="2"/>
  <c r="AO157" i="2"/>
  <c r="AP97" i="2"/>
  <c r="AP77" i="6" s="1"/>
  <c r="AP158" i="2"/>
  <c r="AP107" i="2" s="1"/>
  <c r="AP78" i="6" s="1"/>
  <c r="AP164" i="2"/>
  <c r="AN95" i="2"/>
  <c r="AN8" i="2" s="1"/>
  <c r="AN106" i="2"/>
  <c r="AN83" i="6" s="1"/>
  <c r="AO72" i="2"/>
  <c r="AN156" i="2"/>
  <c r="AQ127" i="2"/>
  <c r="AP13" i="2"/>
  <c r="AP40" i="2"/>
  <c r="AP77" i="2"/>
  <c r="AP100" i="2" s="1"/>
  <c r="AP86" i="6" s="1"/>
  <c r="AO14" i="2"/>
  <c r="AO41" i="2"/>
  <c r="AQ42" i="4" a="1"/>
  <c r="AQ42" i="4" s="1"/>
  <c r="AQ73" i="2" s="1"/>
  <c r="AS1" i="4"/>
  <c r="AS1" i="13" s="1"/>
  <c r="AR1" i="2"/>
  <c r="AR160" i="6" l="1"/>
  <c r="AR159" i="6"/>
  <c r="AR125" i="6"/>
  <c r="AR126" i="6"/>
  <c r="AO251" i="13"/>
  <c r="AO249" i="13" s="1"/>
  <c r="AO151" i="6"/>
  <c r="AN215" i="13"/>
  <c r="AN213" i="13" s="1"/>
  <c r="AN117" i="6"/>
  <c r="AN115" i="6" s="1"/>
  <c r="AO214" i="13"/>
  <c r="AO116" i="6"/>
  <c r="AR129" i="6"/>
  <c r="AR128" i="6"/>
  <c r="AR162" i="6"/>
  <c r="AR163" i="6"/>
  <c r="AR94" i="6"/>
  <c r="AR95" i="6"/>
  <c r="AR91" i="6"/>
  <c r="AR92" i="6"/>
  <c r="AO110" i="6"/>
  <c r="AO76" i="6"/>
  <c r="AO144" i="6"/>
  <c r="AO208" i="13"/>
  <c r="AO244" i="13"/>
  <c r="AR192" i="13"/>
  <c r="AR46" i="13" s="1"/>
  <c r="AR193" i="13"/>
  <c r="AR47" i="13" s="1"/>
  <c r="AP250" i="13"/>
  <c r="AP174" i="13"/>
  <c r="AP30" i="13" s="1"/>
  <c r="AP245" i="13"/>
  <c r="AR262" i="13"/>
  <c r="AR261" i="13"/>
  <c r="AP173" i="13"/>
  <c r="AP29" i="13" s="1"/>
  <c r="AR264" i="13"/>
  <c r="AR265" i="13"/>
  <c r="AR225" i="13"/>
  <c r="AR226" i="13"/>
  <c r="AO172" i="13"/>
  <c r="AO28" i="13"/>
  <c r="AP254" i="13"/>
  <c r="AM33" i="13"/>
  <c r="AR189" i="13"/>
  <c r="AR43" i="13" s="1"/>
  <c r="AR190" i="13"/>
  <c r="AR44" i="13" s="1"/>
  <c r="AQ254" i="13"/>
  <c r="AP218" i="13"/>
  <c r="AM177" i="13"/>
  <c r="AP182" i="13"/>
  <c r="AP38" i="13" s="1"/>
  <c r="AP210" i="13"/>
  <c r="AN179" i="13"/>
  <c r="AO178" i="13"/>
  <c r="AO34" i="13" s="1"/>
  <c r="AP144" i="6"/>
  <c r="AP246" i="13"/>
  <c r="AP110" i="6"/>
  <c r="AP209" i="13"/>
  <c r="AR229" i="13"/>
  <c r="AR228" i="13"/>
  <c r="AR74" i="2"/>
  <c r="AQ88" i="4"/>
  <c r="AQ2" i="9" s="1"/>
  <c r="AQ73" i="9"/>
  <c r="AQ72" i="9" s="1"/>
  <c r="AR74" i="8"/>
  <c r="AQ77" i="8"/>
  <c r="AQ100" i="8" s="1"/>
  <c r="AQ120" i="6" s="1"/>
  <c r="AQ73" i="8"/>
  <c r="AS65" i="4"/>
  <c r="AS61" i="4"/>
  <c r="AS52" i="4"/>
  <c r="AS54" i="4" s="1" a="1"/>
  <c r="AS54" i="4" s="1"/>
  <c r="AS85" i="4"/>
  <c r="AS81" i="4"/>
  <c r="AS73" i="4"/>
  <c r="AS64" i="4"/>
  <c r="AS66" i="4" s="1" a="1"/>
  <c r="AS66" i="4" s="1"/>
  <c r="AS57" i="4"/>
  <c r="AS53" i="4"/>
  <c r="AS1" i="8"/>
  <c r="AS1" i="9"/>
  <c r="AS84" i="4"/>
  <c r="AS86" i="4" s="1" a="1"/>
  <c r="AS86" i="4" s="1"/>
  <c r="AS77" i="4"/>
  <c r="AS72" i="4"/>
  <c r="AS74" i="4" s="1" a="1"/>
  <c r="AS74" i="4" s="1"/>
  <c r="AS56" i="4"/>
  <c r="AS58" i="4" s="1" a="1"/>
  <c r="AS58" i="4" s="1"/>
  <c r="AS60" i="4"/>
  <c r="AS76" i="4"/>
  <c r="AS78" i="4" s="1" a="1"/>
  <c r="AS78" i="4" s="1"/>
  <c r="AS80" i="4"/>
  <c r="AS10" i="4"/>
  <c r="AR74" i="9"/>
  <c r="AR127" i="9"/>
  <c r="AR82" i="4" a="1"/>
  <c r="AR82" i="4" s="1"/>
  <c r="AR77" i="9" s="1"/>
  <c r="AR100" i="9" s="1"/>
  <c r="AR154" i="6" s="1"/>
  <c r="AR127" i="8"/>
  <c r="AR62" i="4" a="1"/>
  <c r="AR62" i="4" s="1"/>
  <c r="AR77" i="8" s="1"/>
  <c r="AN149" i="6"/>
  <c r="AO105" i="9"/>
  <c r="AO95" i="8"/>
  <c r="AO8" i="8" s="1"/>
  <c r="AN105" i="8"/>
  <c r="AQ164" i="9"/>
  <c r="AQ97" i="9"/>
  <c r="AQ145" i="6" s="1"/>
  <c r="AQ13" i="9"/>
  <c r="AQ40" i="9"/>
  <c r="AQ158" i="9"/>
  <c r="AQ107" i="9" s="1"/>
  <c r="AQ146" i="6" s="1"/>
  <c r="AQ40" i="8"/>
  <c r="AQ158" i="8"/>
  <c r="AQ107" i="8" s="1"/>
  <c r="AQ112" i="6" s="1"/>
  <c r="AQ164" i="8"/>
  <c r="AQ13" i="8"/>
  <c r="AQ97" i="8"/>
  <c r="AQ111" i="6" s="1"/>
  <c r="AP106" i="9"/>
  <c r="AP156" i="9"/>
  <c r="AP82" i="9" s="1"/>
  <c r="AP95" i="9"/>
  <c r="AP8" i="9" s="1"/>
  <c r="AQ2" i="8"/>
  <c r="AQ48" i="4"/>
  <c r="AP165" i="8"/>
  <c r="AP157" i="8"/>
  <c r="AP96" i="8"/>
  <c r="AP72" i="8"/>
  <c r="AP41" i="8"/>
  <c r="AP14" i="8"/>
  <c r="AO156" i="8"/>
  <c r="AO82" i="8" s="1"/>
  <c r="AO106" i="8"/>
  <c r="AP2" i="2"/>
  <c r="AS45" i="4"/>
  <c r="AS32" i="4"/>
  <c r="AS34" i="4" s="1" a="1"/>
  <c r="AS34" i="4" s="1"/>
  <c r="AS41" i="4"/>
  <c r="AS37" i="4"/>
  <c r="AS44" i="4"/>
  <c r="AS46" i="4" s="1" a="1"/>
  <c r="AS46" i="4" s="1"/>
  <c r="AS33" i="4"/>
  <c r="AS40" i="4"/>
  <c r="AS36" i="4"/>
  <c r="AS38" i="4" s="1" a="1"/>
  <c r="AS38" i="4" s="1"/>
  <c r="AS1" i="6"/>
  <c r="AM81" i="6"/>
  <c r="AP96" i="2"/>
  <c r="AP82" i="6" s="1"/>
  <c r="AP157" i="2"/>
  <c r="AP165" i="2"/>
  <c r="AN105" i="2"/>
  <c r="AO95" i="2"/>
  <c r="AO8" i="2" s="1"/>
  <c r="AQ97" i="2"/>
  <c r="AQ77" i="6" s="1"/>
  <c r="AQ158" i="2"/>
  <c r="AQ107" i="2" s="1"/>
  <c r="AQ78" i="6" s="1"/>
  <c r="AQ164" i="2"/>
  <c r="AO106" i="2"/>
  <c r="AO83" i="6" s="1"/>
  <c r="AN82" i="2"/>
  <c r="AP72" i="2"/>
  <c r="AR127" i="2"/>
  <c r="AO156" i="2"/>
  <c r="AP14" i="2"/>
  <c r="AP41" i="2"/>
  <c r="AQ77" i="2"/>
  <c r="AQ100" i="2" s="1"/>
  <c r="AQ86" i="6" s="1"/>
  <c r="AQ40" i="2"/>
  <c r="AQ13" i="2"/>
  <c r="AR42" i="4" a="1"/>
  <c r="AR42" i="4" s="1"/>
  <c r="AR73" i="2" s="1"/>
  <c r="AT1" i="4"/>
  <c r="AT1" i="13" s="1"/>
  <c r="AS1" i="2"/>
  <c r="AN177" i="13" l="1"/>
  <c r="AN35" i="13"/>
  <c r="AN33" i="13" s="1"/>
  <c r="AP208" i="13"/>
  <c r="AS160" i="6"/>
  <c r="AS159" i="6"/>
  <c r="AS125" i="6"/>
  <c r="AS126" i="6"/>
  <c r="AP251" i="13"/>
  <c r="AP249" i="13" s="1"/>
  <c r="AP151" i="6"/>
  <c r="AO215" i="13"/>
  <c r="AO213" i="13" s="1"/>
  <c r="AO117" i="6"/>
  <c r="AO115" i="6" s="1"/>
  <c r="AP214" i="13"/>
  <c r="AP116" i="6"/>
  <c r="AS162" i="6"/>
  <c r="AS128" i="6"/>
  <c r="AS163" i="6"/>
  <c r="AS129" i="6"/>
  <c r="AS95" i="6"/>
  <c r="AS94" i="6"/>
  <c r="AS91" i="6"/>
  <c r="AS92" i="6"/>
  <c r="AP76" i="6"/>
  <c r="AR254" i="13"/>
  <c r="AS225" i="13"/>
  <c r="AS226" i="13"/>
  <c r="AP178" i="13"/>
  <c r="AP34" i="13" s="1"/>
  <c r="AS229" i="13"/>
  <c r="AS228" i="13"/>
  <c r="AQ218" i="13"/>
  <c r="AS189" i="13"/>
  <c r="AS43" i="13" s="1"/>
  <c r="AS190" i="13"/>
  <c r="AS44" i="13" s="1"/>
  <c r="AQ182" i="13"/>
  <c r="AQ38" i="13" s="1"/>
  <c r="AS193" i="13"/>
  <c r="AS47" i="13" s="1"/>
  <c r="AS192" i="13"/>
  <c r="AS46" i="13" s="1"/>
  <c r="AQ246" i="13"/>
  <c r="AO179" i="13"/>
  <c r="AO35" i="13" s="1"/>
  <c r="AQ174" i="13"/>
  <c r="AQ30" i="13" s="1"/>
  <c r="AQ173" i="13"/>
  <c r="AQ29" i="13" s="1"/>
  <c r="AP244" i="13"/>
  <c r="AQ210" i="13"/>
  <c r="AS264" i="13"/>
  <c r="AS265" i="13"/>
  <c r="AS261" i="13"/>
  <c r="AS262" i="13"/>
  <c r="AP172" i="13"/>
  <c r="AP28" i="13"/>
  <c r="AQ209" i="13"/>
  <c r="AQ245" i="13"/>
  <c r="AQ96" i="9"/>
  <c r="AQ150" i="6" s="1"/>
  <c r="AR88" i="4"/>
  <c r="AR2" i="9" s="1"/>
  <c r="AS74" i="2"/>
  <c r="AR73" i="9"/>
  <c r="AR157" i="9" s="1"/>
  <c r="AR68" i="4"/>
  <c r="AR2" i="8" s="1"/>
  <c r="AQ14" i="9"/>
  <c r="AQ157" i="9"/>
  <c r="AQ106" i="9" s="1"/>
  <c r="AQ165" i="9"/>
  <c r="AQ41" i="9"/>
  <c r="AR73" i="8"/>
  <c r="AS74" i="9"/>
  <c r="AT85" i="4"/>
  <c r="AT81" i="4"/>
  <c r="AT64" i="4"/>
  <c r="AT66" i="4" s="1" a="1"/>
  <c r="AT66" i="4" s="1"/>
  <c r="AT57" i="4"/>
  <c r="AT53" i="4"/>
  <c r="AT1" i="8"/>
  <c r="AT65" i="4"/>
  <c r="AT52" i="4"/>
  <c r="AT54" i="4" s="1" a="1"/>
  <c r="AT54" i="4" s="1"/>
  <c r="AT1" i="9"/>
  <c r="AT61" i="4"/>
  <c r="AT84" i="4"/>
  <c r="AT86" i="4" s="1" a="1"/>
  <c r="AT86" i="4" s="1"/>
  <c r="AT77" i="4"/>
  <c r="AT72" i="4"/>
  <c r="AT74" i="4" s="1" a="1"/>
  <c r="AT74" i="4" s="1"/>
  <c r="AT73" i="4"/>
  <c r="AT56" i="4"/>
  <c r="AT58" i="4" s="1" a="1"/>
  <c r="AT58" i="4" s="1"/>
  <c r="AT60" i="4"/>
  <c r="AT76" i="4"/>
  <c r="AT78" i="4" s="1" a="1"/>
  <c r="AT78" i="4" s="1"/>
  <c r="AT80" i="4"/>
  <c r="AT10" i="4"/>
  <c r="AS127" i="9"/>
  <c r="AS82" i="4" a="1"/>
  <c r="AS82" i="4" s="1"/>
  <c r="AS73" i="9" s="1"/>
  <c r="AS74" i="8"/>
  <c r="AS127" i="8"/>
  <c r="AS62" i="4" a="1"/>
  <c r="AS62" i="4" s="1"/>
  <c r="AS77" i="8" s="1"/>
  <c r="AP105" i="9"/>
  <c r="AO149" i="6"/>
  <c r="AP95" i="8"/>
  <c r="AP8" i="8" s="1"/>
  <c r="AO105" i="8"/>
  <c r="AR13" i="9"/>
  <c r="AR158" i="9"/>
  <c r="AR107" i="9" s="1"/>
  <c r="AR146" i="6" s="1"/>
  <c r="AR164" i="9"/>
  <c r="AR97" i="9"/>
  <c r="AR145" i="6" s="1"/>
  <c r="AR40" i="9"/>
  <c r="AR164" i="8"/>
  <c r="AR97" i="8"/>
  <c r="AR111" i="6" s="1"/>
  <c r="AR13" i="8"/>
  <c r="AR158" i="8"/>
  <c r="AR107" i="8" s="1"/>
  <c r="AR112" i="6" s="1"/>
  <c r="AR40" i="8"/>
  <c r="AR48" i="4"/>
  <c r="AR100" i="8"/>
  <c r="AR120" i="6" s="1"/>
  <c r="AP156" i="8"/>
  <c r="AP82" i="8" s="1"/>
  <c r="AP106" i="8"/>
  <c r="AQ165" i="8"/>
  <c r="AQ157" i="8"/>
  <c r="AQ96" i="8"/>
  <c r="AQ72" i="8"/>
  <c r="AQ41" i="8"/>
  <c r="AQ14" i="8"/>
  <c r="AQ2" i="2"/>
  <c r="AT32" i="4"/>
  <c r="AT34" i="4" s="1" a="1"/>
  <c r="AT34" i="4" s="1"/>
  <c r="AT41" i="4"/>
  <c r="AT33" i="4"/>
  <c r="AT45" i="4"/>
  <c r="AT44" i="4"/>
  <c r="AT46" i="4" s="1" a="1"/>
  <c r="AT46" i="4" s="1"/>
  <c r="AT37" i="4"/>
  <c r="AT36" i="4"/>
  <c r="AT38" i="4" s="1" a="1"/>
  <c r="AT38" i="4" s="1"/>
  <c r="AT40" i="4"/>
  <c r="AT1" i="6"/>
  <c r="AN81" i="6"/>
  <c r="AR97" i="2"/>
  <c r="AR77" i="6" s="1"/>
  <c r="AR158" i="2"/>
  <c r="AR107" i="2" s="1"/>
  <c r="AR78" i="6" s="1"/>
  <c r="AR164" i="2"/>
  <c r="AQ96" i="2"/>
  <c r="AQ82" i="6" s="1"/>
  <c r="AQ157" i="2"/>
  <c r="AQ165" i="2"/>
  <c r="AO105" i="2"/>
  <c r="AP95" i="2"/>
  <c r="AP8" i="2" s="1"/>
  <c r="AP106" i="2"/>
  <c r="AP83" i="6" s="1"/>
  <c r="AO82" i="2"/>
  <c r="AQ72" i="2"/>
  <c r="AS127" i="2"/>
  <c r="AP156" i="2"/>
  <c r="AQ14" i="2"/>
  <c r="AQ41" i="2"/>
  <c r="AR13" i="2"/>
  <c r="AR40" i="2"/>
  <c r="AR77" i="2"/>
  <c r="AR100" i="2" s="1"/>
  <c r="AR86" i="6" s="1"/>
  <c r="AS42" i="4" a="1"/>
  <c r="AS42" i="4" s="1"/>
  <c r="AS73" i="2" s="1"/>
  <c r="AU1" i="4"/>
  <c r="AU1" i="13" s="1"/>
  <c r="AT1" i="2"/>
  <c r="AT160" i="6" l="1"/>
  <c r="AT159" i="6"/>
  <c r="AT125" i="6"/>
  <c r="AT126" i="6"/>
  <c r="AQ251" i="13"/>
  <c r="AQ151" i="6"/>
  <c r="AQ214" i="13"/>
  <c r="AQ116" i="6"/>
  <c r="AP215" i="13"/>
  <c r="AP213" i="13" s="1"/>
  <c r="AP117" i="6"/>
  <c r="AP115" i="6" s="1"/>
  <c r="AT162" i="6"/>
  <c r="AT128" i="6"/>
  <c r="AT163" i="6"/>
  <c r="AT129" i="6"/>
  <c r="AT94" i="6"/>
  <c r="AT95" i="6"/>
  <c r="AT91" i="6"/>
  <c r="AT92" i="6"/>
  <c r="AQ110" i="6"/>
  <c r="AQ144" i="6"/>
  <c r="AQ76" i="6"/>
  <c r="AQ244" i="13"/>
  <c r="AQ178" i="13"/>
  <c r="AQ34" i="13" s="1"/>
  <c r="AO33" i="13"/>
  <c r="AR182" i="13"/>
  <c r="AR38" i="13" s="1"/>
  <c r="AR174" i="13"/>
  <c r="AR30" i="13" s="1"/>
  <c r="AQ95" i="9"/>
  <c r="AQ8" i="9" s="1"/>
  <c r="AQ250" i="13"/>
  <c r="AT226" i="13"/>
  <c r="AT225" i="13"/>
  <c r="AT189" i="13"/>
  <c r="AT43" i="13" s="1"/>
  <c r="AT190" i="13"/>
  <c r="AT44" i="13" s="1"/>
  <c r="AP179" i="13"/>
  <c r="AR173" i="13"/>
  <c r="AR29" i="13" s="1"/>
  <c r="AR218" i="13"/>
  <c r="AR245" i="13"/>
  <c r="AQ172" i="13"/>
  <c r="AQ28" i="13"/>
  <c r="AR209" i="13"/>
  <c r="AT193" i="13"/>
  <c r="AT47" i="13" s="1"/>
  <c r="AT192" i="13"/>
  <c r="AT46" i="13" s="1"/>
  <c r="AR246" i="13"/>
  <c r="AT264" i="13"/>
  <c r="AT265" i="13"/>
  <c r="AT228" i="13"/>
  <c r="AT229" i="13"/>
  <c r="AO177" i="13"/>
  <c r="AR210" i="13"/>
  <c r="AT261" i="13"/>
  <c r="AT262" i="13"/>
  <c r="AQ208" i="13"/>
  <c r="AR72" i="9"/>
  <c r="AR14" i="9"/>
  <c r="AR165" i="9"/>
  <c r="AR41" i="9"/>
  <c r="AR96" i="9"/>
  <c r="AR150" i="6" s="1"/>
  <c r="AS88" i="4"/>
  <c r="AS2" i="9" s="1"/>
  <c r="AS77" i="9"/>
  <c r="AS100" i="9" s="1"/>
  <c r="AS154" i="6" s="1"/>
  <c r="AT74" i="2"/>
  <c r="AQ156" i="9"/>
  <c r="AQ82" i="9" s="1"/>
  <c r="AS68" i="4"/>
  <c r="AS2" i="8" s="1"/>
  <c r="AT127" i="9"/>
  <c r="AT82" i="4" a="1"/>
  <c r="AT82" i="4" s="1"/>
  <c r="AT73" i="9" s="1"/>
  <c r="AT74" i="9"/>
  <c r="AT127" i="8"/>
  <c r="AT62" i="4" a="1"/>
  <c r="AT62" i="4" s="1"/>
  <c r="AT73" i="8" s="1"/>
  <c r="AT74" i="8"/>
  <c r="AS73" i="8"/>
  <c r="AU85" i="4"/>
  <c r="AU81" i="4"/>
  <c r="AU73" i="4"/>
  <c r="AU60" i="4"/>
  <c r="AU64" i="4"/>
  <c r="AU66" i="4" s="1" a="1"/>
  <c r="AU66" i="4" s="1"/>
  <c r="AU57" i="4"/>
  <c r="AU53" i="4"/>
  <c r="AU1" i="8"/>
  <c r="AU1" i="9"/>
  <c r="AU84" i="4"/>
  <c r="AU86" i="4" s="1" a="1"/>
  <c r="AU86" i="4" s="1"/>
  <c r="AU77" i="4"/>
  <c r="AU72" i="4"/>
  <c r="AU74" i="4" s="1" a="1"/>
  <c r="AU74" i="4" s="1"/>
  <c r="AU65" i="4"/>
  <c r="AU61" i="4"/>
  <c r="AU52" i="4"/>
  <c r="AU54" i="4" s="1" a="1"/>
  <c r="AU54" i="4" s="1"/>
  <c r="AU56" i="4"/>
  <c r="AU58" i="4" s="1" a="1"/>
  <c r="AU58" i="4" s="1"/>
  <c r="AU80" i="4"/>
  <c r="AU76" i="4"/>
  <c r="AU78" i="4" s="1" a="1"/>
  <c r="AU78" i="4" s="1"/>
  <c r="AU10" i="4"/>
  <c r="AQ105" i="9"/>
  <c r="AP149" i="6"/>
  <c r="AP105" i="8"/>
  <c r="AQ95" i="8"/>
  <c r="AQ8" i="8" s="1"/>
  <c r="AS13" i="9"/>
  <c r="AS164" i="9"/>
  <c r="AS158" i="9"/>
  <c r="AS107" i="9" s="1"/>
  <c r="AS146" i="6" s="1"/>
  <c r="AS97" i="9"/>
  <c r="AS145" i="6" s="1"/>
  <c r="AS40" i="9"/>
  <c r="AR156" i="9"/>
  <c r="AR82" i="9" s="1"/>
  <c r="AR106" i="9"/>
  <c r="AS13" i="8"/>
  <c r="AS164" i="8"/>
  <c r="AS158" i="8"/>
  <c r="AS107" i="8" s="1"/>
  <c r="AS112" i="6" s="1"/>
  <c r="AS97" i="8"/>
  <c r="AS111" i="6" s="1"/>
  <c r="AS40" i="8"/>
  <c r="AS14" i="9"/>
  <c r="AS165" i="9"/>
  <c r="AS157" i="9"/>
  <c r="AS96" i="9"/>
  <c r="AS72" i="9"/>
  <c r="AS41" i="9"/>
  <c r="AQ156" i="8"/>
  <c r="AQ82" i="8" s="1"/>
  <c r="AQ106" i="8"/>
  <c r="AS48" i="4"/>
  <c r="AS100" i="8"/>
  <c r="AS120" i="6" s="1"/>
  <c r="AR165" i="8"/>
  <c r="AR157" i="8"/>
  <c r="AR72" i="8"/>
  <c r="AR96" i="8"/>
  <c r="AR41" i="8"/>
  <c r="AR14" i="8"/>
  <c r="AR2" i="2"/>
  <c r="AU41" i="4"/>
  <c r="AU44" i="4"/>
  <c r="AU46" i="4" s="1" a="1"/>
  <c r="AU46" i="4" s="1"/>
  <c r="AU33" i="4"/>
  <c r="AU37" i="4"/>
  <c r="AU32" i="4"/>
  <c r="AU34" i="4" s="1" a="1"/>
  <c r="AU34" i="4" s="1"/>
  <c r="AU45" i="4"/>
  <c r="AU36" i="4"/>
  <c r="AU38" i="4" s="1" a="1"/>
  <c r="AU38" i="4" s="1"/>
  <c r="AU40" i="4"/>
  <c r="AU1" i="6"/>
  <c r="AO81" i="6"/>
  <c r="AS97" i="2"/>
  <c r="AS77" i="6" s="1"/>
  <c r="AS158" i="2"/>
  <c r="AS107" i="2" s="1"/>
  <c r="AS78" i="6" s="1"/>
  <c r="AS164" i="2"/>
  <c r="AR96" i="2"/>
  <c r="AR82" i="6" s="1"/>
  <c r="AR165" i="2"/>
  <c r="AR157" i="2"/>
  <c r="AQ95" i="2"/>
  <c r="AQ8" i="2" s="1"/>
  <c r="AP105" i="2"/>
  <c r="AR76" i="6"/>
  <c r="AQ106" i="2"/>
  <c r="AQ83" i="6" s="1"/>
  <c r="AP82" i="2"/>
  <c r="AR72" i="2"/>
  <c r="AQ156" i="2"/>
  <c r="AT127" i="2"/>
  <c r="AS77" i="2"/>
  <c r="AS100" i="2" s="1"/>
  <c r="AS86" i="6" s="1"/>
  <c r="AR14" i="2"/>
  <c r="AR41" i="2"/>
  <c r="AS13" i="2"/>
  <c r="AS40" i="2"/>
  <c r="AT42" i="4" a="1"/>
  <c r="AT42" i="4" s="1"/>
  <c r="AT73" i="2" s="1"/>
  <c r="AV1" i="4"/>
  <c r="AV1" i="13" s="1"/>
  <c r="AU1" i="2"/>
  <c r="AP177" i="13" l="1"/>
  <c r="AP35" i="13"/>
  <c r="AP33" i="13" s="1"/>
  <c r="AQ249" i="13"/>
  <c r="AU160" i="6"/>
  <c r="AU159" i="6"/>
  <c r="AU126" i="6"/>
  <c r="AU125" i="6"/>
  <c r="AS250" i="13"/>
  <c r="AS150" i="6"/>
  <c r="AR251" i="13"/>
  <c r="AR151" i="6"/>
  <c r="AQ215" i="13"/>
  <c r="AQ213" i="13" s="1"/>
  <c r="AQ117" i="6"/>
  <c r="AQ115" i="6" s="1"/>
  <c r="AR214" i="13"/>
  <c r="AR116" i="6"/>
  <c r="AU162" i="6"/>
  <c r="AU128" i="6"/>
  <c r="AU163" i="6"/>
  <c r="AU129" i="6"/>
  <c r="AU95" i="6"/>
  <c r="AU94" i="6"/>
  <c r="AU91" i="6"/>
  <c r="AU92" i="6"/>
  <c r="AR144" i="6"/>
  <c r="AR110" i="6"/>
  <c r="AR178" i="13"/>
  <c r="AR34" i="13" s="1"/>
  <c r="AR172" i="13"/>
  <c r="AR28" i="13"/>
  <c r="AU190" i="13"/>
  <c r="AU44" i="13" s="1"/>
  <c r="AU189" i="13"/>
  <c r="AU43" i="13" s="1"/>
  <c r="AS245" i="13"/>
  <c r="AU226" i="13"/>
  <c r="AU225" i="13"/>
  <c r="AQ179" i="13"/>
  <c r="AS173" i="13"/>
  <c r="AS29" i="13" s="1"/>
  <c r="AS209" i="13"/>
  <c r="AS246" i="13"/>
  <c r="AS174" i="13"/>
  <c r="AS30" i="13" s="1"/>
  <c r="AS182" i="13"/>
  <c r="AS38" i="13" s="1"/>
  <c r="AS210" i="13"/>
  <c r="AU264" i="13"/>
  <c r="AU265" i="13"/>
  <c r="AS254" i="13"/>
  <c r="AR208" i="13"/>
  <c r="AU229" i="13"/>
  <c r="AU228" i="13"/>
  <c r="AU262" i="13"/>
  <c r="AU261" i="13"/>
  <c r="AR244" i="13"/>
  <c r="AU193" i="13"/>
  <c r="AU47" i="13" s="1"/>
  <c r="AU192" i="13"/>
  <c r="AU46" i="13" s="1"/>
  <c r="AS218" i="13"/>
  <c r="AR250" i="13"/>
  <c r="AQ149" i="6"/>
  <c r="AR95" i="9"/>
  <c r="AR8" i="9" s="1"/>
  <c r="AT68" i="4"/>
  <c r="AT2" i="8" s="1"/>
  <c r="AT77" i="9"/>
  <c r="AT100" i="9" s="1"/>
  <c r="AT154" i="6" s="1"/>
  <c r="AT88" i="4"/>
  <c r="AT2" i="9" s="1"/>
  <c r="AT77" i="8"/>
  <c r="AT100" i="8" s="1"/>
  <c r="AT120" i="6" s="1"/>
  <c r="AU74" i="2"/>
  <c r="AU74" i="9"/>
  <c r="AU127" i="9"/>
  <c r="AU82" i="4" a="1"/>
  <c r="AU82" i="4" s="1"/>
  <c r="AU73" i="9" s="1"/>
  <c r="AU74" i="8"/>
  <c r="AV1" i="9"/>
  <c r="AV73" i="4"/>
  <c r="AV84" i="4"/>
  <c r="AV86" i="4" s="1" a="1"/>
  <c r="AV86" i="4" s="1"/>
  <c r="AV77" i="4"/>
  <c r="AV72" i="4"/>
  <c r="AV74" i="4" s="1" a="1"/>
  <c r="AV74" i="4" s="1"/>
  <c r="AV85" i="4"/>
  <c r="AV81" i="4"/>
  <c r="AV65" i="4"/>
  <c r="AV61" i="4"/>
  <c r="AV52" i="4"/>
  <c r="AV54" i="4" s="1" a="1"/>
  <c r="AV54" i="4" s="1"/>
  <c r="AV1" i="8"/>
  <c r="AV64" i="4"/>
  <c r="AV66" i="4" s="1" a="1"/>
  <c r="AV66" i="4" s="1"/>
  <c r="AV57" i="4"/>
  <c r="AV53" i="4"/>
  <c r="AV60" i="4"/>
  <c r="AV56" i="4"/>
  <c r="AV58" i="4" s="1" a="1"/>
  <c r="AV58" i="4" s="1"/>
  <c r="AV80" i="4"/>
  <c r="AV76" i="4"/>
  <c r="AV78" i="4" s="1" a="1"/>
  <c r="AV78" i="4" s="1"/>
  <c r="AV10" i="4"/>
  <c r="AU127" i="8"/>
  <c r="AU62" i="4" a="1"/>
  <c r="AU62" i="4" s="1"/>
  <c r="AU73" i="8" s="1"/>
  <c r="AR105" i="9"/>
  <c r="AS95" i="9"/>
  <c r="AS8" i="9" s="1"/>
  <c r="AR95" i="8"/>
  <c r="AR8" i="8" s="1"/>
  <c r="AQ105" i="8"/>
  <c r="AT164" i="9"/>
  <c r="AT158" i="9"/>
  <c r="AT107" i="9" s="1"/>
  <c r="AT146" i="6" s="1"/>
  <c r="AT97" i="9"/>
  <c r="AT145" i="6" s="1"/>
  <c r="AT40" i="9"/>
  <c r="AT13" i="9"/>
  <c r="AS156" i="9"/>
  <c r="AS82" i="9" s="1"/>
  <c r="AS106" i="9"/>
  <c r="AT157" i="9"/>
  <c r="AT96" i="9"/>
  <c r="AT41" i="9"/>
  <c r="AT165" i="9"/>
  <c r="AT72" i="9"/>
  <c r="AT14" i="9"/>
  <c r="AT40" i="8"/>
  <c r="AT97" i="8"/>
  <c r="AT111" i="6" s="1"/>
  <c r="AT158" i="8"/>
  <c r="AT107" i="8" s="1"/>
  <c r="AT112" i="6" s="1"/>
  <c r="AT13" i="8"/>
  <c r="AT164" i="8"/>
  <c r="AR156" i="8"/>
  <c r="AR82" i="8" s="1"/>
  <c r="AR106" i="8"/>
  <c r="AT48" i="4"/>
  <c r="AS165" i="8"/>
  <c r="AS157" i="8"/>
  <c r="AS72" i="8"/>
  <c r="AS96" i="8"/>
  <c r="AS41" i="8"/>
  <c r="AS14" i="8"/>
  <c r="AS2" i="2"/>
  <c r="AV44" i="4"/>
  <c r="AV46" i="4" s="1" a="1"/>
  <c r="AV46" i="4" s="1"/>
  <c r="AV33" i="4"/>
  <c r="AV37" i="4"/>
  <c r="AV45" i="4"/>
  <c r="AV41" i="4"/>
  <c r="AV32" i="4"/>
  <c r="AV34" i="4" s="1" a="1"/>
  <c r="AV34" i="4" s="1"/>
  <c r="AV40" i="4"/>
  <c r="AV36" i="4"/>
  <c r="AV38" i="4" s="1" a="1"/>
  <c r="AV38" i="4" s="1"/>
  <c r="AV1" i="6"/>
  <c r="AP81" i="6"/>
  <c r="AR95" i="2"/>
  <c r="AR8" i="2" s="1"/>
  <c r="AQ105" i="2"/>
  <c r="AS96" i="2"/>
  <c r="AS82" i="6" s="1"/>
  <c r="AS165" i="2"/>
  <c r="AS157" i="2"/>
  <c r="AT97" i="2"/>
  <c r="AT77" i="6" s="1"/>
  <c r="AT164" i="2"/>
  <c r="AT158" i="2"/>
  <c r="AT107" i="2" s="1"/>
  <c r="AT78" i="6" s="1"/>
  <c r="AR106" i="2"/>
  <c r="AR83" i="6" s="1"/>
  <c r="AQ82" i="2"/>
  <c r="AS72" i="2"/>
  <c r="AU127" i="2"/>
  <c r="AR156" i="2"/>
  <c r="AT77" i="2"/>
  <c r="AT100" i="2" s="1"/>
  <c r="AT86" i="6" s="1"/>
  <c r="AT13" i="2"/>
  <c r="AT40" i="2"/>
  <c r="AS41" i="2"/>
  <c r="AS14" i="2"/>
  <c r="AU42" i="4" a="1"/>
  <c r="AU42" i="4" s="1"/>
  <c r="AU73" i="2" s="1"/>
  <c r="AW1" i="4"/>
  <c r="AW1" i="13" s="1"/>
  <c r="AV1" i="2"/>
  <c r="AQ177" i="13" l="1"/>
  <c r="AQ35" i="13"/>
  <c r="AQ33" i="13" s="1"/>
  <c r="AR249" i="13"/>
  <c r="AV126" i="6"/>
  <c r="AV125" i="6"/>
  <c r="AV159" i="6"/>
  <c r="AV160" i="6"/>
  <c r="AS251" i="13"/>
  <c r="AS249" i="13" s="1"/>
  <c r="AS151" i="6"/>
  <c r="AS149" i="6" s="1"/>
  <c r="AT250" i="13"/>
  <c r="AT150" i="6"/>
  <c r="AR215" i="13"/>
  <c r="AR213" i="13" s="1"/>
  <c r="AR117" i="6"/>
  <c r="AR115" i="6" s="1"/>
  <c r="AS214" i="13"/>
  <c r="AS116" i="6"/>
  <c r="AV162" i="6"/>
  <c r="AV128" i="6"/>
  <c r="AV163" i="6"/>
  <c r="AV129" i="6"/>
  <c r="AV94" i="6"/>
  <c r="AV95" i="6"/>
  <c r="AV92" i="6"/>
  <c r="AV91" i="6"/>
  <c r="AS144" i="6"/>
  <c r="AR149" i="6"/>
  <c r="AS110" i="6"/>
  <c r="AS76" i="6"/>
  <c r="AS208" i="13"/>
  <c r="AT173" i="13"/>
  <c r="AT29" i="13" s="1"/>
  <c r="AV193" i="13"/>
  <c r="AV47" i="13" s="1"/>
  <c r="AV192" i="13"/>
  <c r="AV46" i="13" s="1"/>
  <c r="AV229" i="13"/>
  <c r="AV228" i="13"/>
  <c r="AV262" i="13"/>
  <c r="AV261" i="13"/>
  <c r="AT218" i="13"/>
  <c r="AS178" i="13"/>
  <c r="AS34" i="13" s="1"/>
  <c r="AV190" i="13"/>
  <c r="AV44" i="13" s="1"/>
  <c r="AV189" i="13"/>
  <c r="AV43" i="13" s="1"/>
  <c r="AT245" i="13"/>
  <c r="AS28" i="13"/>
  <c r="AS172" i="13"/>
  <c r="AS244" i="13"/>
  <c r="AT246" i="13"/>
  <c r="AV225" i="13"/>
  <c r="AV226" i="13"/>
  <c r="AT254" i="13"/>
  <c r="AT182" i="13"/>
  <c r="AT38" i="13" s="1"/>
  <c r="AT209" i="13"/>
  <c r="AV264" i="13"/>
  <c r="AV265" i="13"/>
  <c r="AR179" i="13"/>
  <c r="AR35" i="13" s="1"/>
  <c r="AT174" i="13"/>
  <c r="AT30" i="13" s="1"/>
  <c r="AT210" i="13"/>
  <c r="AU77" i="9"/>
  <c r="AU100" i="9" s="1"/>
  <c r="AU154" i="6" s="1"/>
  <c r="AU68" i="4"/>
  <c r="AU2" i="8" s="1"/>
  <c r="AU88" i="4"/>
  <c r="AU2" i="9" s="1"/>
  <c r="AU77" i="8"/>
  <c r="AU100" i="8" s="1"/>
  <c r="AU120" i="6" s="1"/>
  <c r="AV74" i="2"/>
  <c r="AV127" i="9"/>
  <c r="AV82" i="4" a="1"/>
  <c r="AV82" i="4" s="1"/>
  <c r="AV77" i="9" s="1"/>
  <c r="AV100" i="9" s="1"/>
  <c r="AV154" i="6" s="1"/>
  <c r="AV74" i="9"/>
  <c r="AV127" i="8"/>
  <c r="AV62" i="4" a="1"/>
  <c r="AV62" i="4" s="1"/>
  <c r="AV73" i="8" s="1"/>
  <c r="AW64" i="4"/>
  <c r="AW66" i="4" s="1" a="1"/>
  <c r="AW66" i="4" s="1"/>
  <c r="AW57" i="4"/>
  <c r="AW53" i="4"/>
  <c r="AW1" i="8"/>
  <c r="AW1" i="9"/>
  <c r="AW84" i="4"/>
  <c r="AW86" i="4" s="1" a="1"/>
  <c r="AW86" i="4" s="1"/>
  <c r="AW77" i="4"/>
  <c r="AW72" i="4"/>
  <c r="AW74" i="4" s="1" a="1"/>
  <c r="AW74" i="4" s="1"/>
  <c r="AW65" i="4"/>
  <c r="AW61" i="4"/>
  <c r="AW52" i="4"/>
  <c r="AW54" i="4" s="1" a="1"/>
  <c r="AW54" i="4" s="1"/>
  <c r="AW56" i="4"/>
  <c r="AW58" i="4" s="1" a="1"/>
  <c r="AW58" i="4" s="1"/>
  <c r="AW85" i="4"/>
  <c r="AW81" i="4"/>
  <c r="AW73" i="4"/>
  <c r="AW60" i="4"/>
  <c r="AW76" i="4"/>
  <c r="AW78" i="4" s="1" a="1"/>
  <c r="AW78" i="4" s="1"/>
  <c r="AW80" i="4"/>
  <c r="AW10" i="4"/>
  <c r="AV74" i="8"/>
  <c r="AS105" i="9"/>
  <c r="AT95" i="9"/>
  <c r="AT8" i="9" s="1"/>
  <c r="AR105" i="8"/>
  <c r="AS95" i="8"/>
  <c r="AS8" i="8" s="1"/>
  <c r="AU13" i="9"/>
  <c r="AU158" i="9"/>
  <c r="AU107" i="9" s="1"/>
  <c r="AU146" i="6" s="1"/>
  <c r="AU164" i="9"/>
  <c r="AU97" i="9"/>
  <c r="AU145" i="6" s="1"/>
  <c r="AU40" i="9"/>
  <c r="AT156" i="9"/>
  <c r="AT82" i="9" s="1"/>
  <c r="AT106" i="9"/>
  <c r="AU40" i="8"/>
  <c r="AU13" i="8"/>
  <c r="AU158" i="8"/>
  <c r="AU107" i="8" s="1"/>
  <c r="AU112" i="6" s="1"/>
  <c r="AU164" i="8"/>
  <c r="AU97" i="8"/>
  <c r="AU111" i="6" s="1"/>
  <c r="AU96" i="9"/>
  <c r="AU41" i="9"/>
  <c r="AU72" i="9"/>
  <c r="AU14" i="9"/>
  <c r="AU165" i="9"/>
  <c r="AU157" i="9"/>
  <c r="AS156" i="8"/>
  <c r="AS82" i="8" s="1"/>
  <c r="AS106" i="8"/>
  <c r="AT165" i="8"/>
  <c r="AT157" i="8"/>
  <c r="AT72" i="8"/>
  <c r="AT96" i="8"/>
  <c r="AT41" i="8"/>
  <c r="AT14" i="8"/>
  <c r="AU48" i="4"/>
  <c r="AT2" i="2"/>
  <c r="AW44" i="4"/>
  <c r="AW46" i="4" s="1" a="1"/>
  <c r="AW46" i="4" s="1"/>
  <c r="AW33" i="4"/>
  <c r="AW37" i="4"/>
  <c r="AW32" i="4"/>
  <c r="AW34" i="4" s="1" a="1"/>
  <c r="AW34" i="4" s="1"/>
  <c r="AW45" i="4"/>
  <c r="AW41" i="4"/>
  <c r="AW36" i="4"/>
  <c r="AW38" i="4" s="1" a="1"/>
  <c r="AW38" i="4" s="1"/>
  <c r="AW40" i="4"/>
  <c r="AW1" i="6"/>
  <c r="AQ81" i="6"/>
  <c r="AS95" i="2"/>
  <c r="AS8" i="2" s="1"/>
  <c r="AR105" i="2"/>
  <c r="AT96" i="2"/>
  <c r="AT82" i="6" s="1"/>
  <c r="AT165" i="2"/>
  <c r="AT157" i="2"/>
  <c r="AU97" i="2"/>
  <c r="AU77" i="6" s="1"/>
  <c r="AU164" i="2"/>
  <c r="AU158" i="2"/>
  <c r="AU107" i="2" s="1"/>
  <c r="AU78" i="6" s="1"/>
  <c r="AS106" i="2"/>
  <c r="AS83" i="6" s="1"/>
  <c r="AR82" i="2"/>
  <c r="AT72" i="2"/>
  <c r="AV127" i="2"/>
  <c r="AS156" i="2"/>
  <c r="AU77" i="2"/>
  <c r="AU100" i="2" s="1"/>
  <c r="AU86" i="6" s="1"/>
  <c r="AU13" i="2"/>
  <c r="AU40" i="2"/>
  <c r="AT41" i="2"/>
  <c r="AT14" i="2"/>
  <c r="AV42" i="4" a="1"/>
  <c r="AV42" i="4" s="1"/>
  <c r="AV73" i="2" s="1"/>
  <c r="AX1" i="4"/>
  <c r="AX1" i="13" s="1"/>
  <c r="AW1" i="2"/>
  <c r="AT208" i="13" l="1"/>
  <c r="AW159" i="6"/>
  <c r="AW160" i="6"/>
  <c r="AW126" i="6"/>
  <c r="AW125" i="6"/>
  <c r="AT251" i="13"/>
  <c r="AT249" i="13" s="1"/>
  <c r="AT151" i="6"/>
  <c r="AU250" i="13"/>
  <c r="AU150" i="6"/>
  <c r="AT214" i="13"/>
  <c r="AT116" i="6"/>
  <c r="AS215" i="13"/>
  <c r="AS213" i="13" s="1"/>
  <c r="AS117" i="6"/>
  <c r="AW163" i="6"/>
  <c r="AW129" i="6"/>
  <c r="AW162" i="6"/>
  <c r="AW128" i="6"/>
  <c r="AW94" i="6"/>
  <c r="AW95" i="6"/>
  <c r="AW92" i="6"/>
  <c r="AW91" i="6"/>
  <c r="AT76" i="6"/>
  <c r="AT144" i="6"/>
  <c r="AT110" i="6"/>
  <c r="AT178" i="13"/>
  <c r="AT34" i="13" s="1"/>
  <c r="AU209" i="13"/>
  <c r="AU245" i="13"/>
  <c r="AT244" i="13"/>
  <c r="AS179" i="13"/>
  <c r="AW193" i="13"/>
  <c r="AW47" i="13" s="1"/>
  <c r="AW192" i="13"/>
  <c r="AW46" i="13" s="1"/>
  <c r="AW189" i="13"/>
  <c r="AW43" i="13" s="1"/>
  <c r="AW190" i="13"/>
  <c r="AW44" i="13" s="1"/>
  <c r="AW264" i="13"/>
  <c r="AW265" i="13"/>
  <c r="AU210" i="13"/>
  <c r="AU246" i="13"/>
  <c r="AU174" i="13"/>
  <c r="AU30" i="13" s="1"/>
  <c r="AV254" i="13"/>
  <c r="AU254" i="13"/>
  <c r="AR33" i="13"/>
  <c r="AR177" i="13"/>
  <c r="AU182" i="13"/>
  <c r="AU38" i="13" s="1"/>
  <c r="AW261" i="13"/>
  <c r="AW262" i="13"/>
  <c r="AT172" i="13"/>
  <c r="AT28" i="13"/>
  <c r="AU218" i="13"/>
  <c r="AU173" i="13"/>
  <c r="AU29" i="13" s="1"/>
  <c r="AW228" i="13"/>
  <c r="AW229" i="13"/>
  <c r="AW225" i="13"/>
  <c r="AW226" i="13"/>
  <c r="AW74" i="2"/>
  <c r="AV88" i="4"/>
  <c r="AV2" i="9" s="1"/>
  <c r="AV73" i="9"/>
  <c r="AV96" i="9" s="1"/>
  <c r="AV150" i="6" s="1"/>
  <c r="AV77" i="8"/>
  <c r="AV100" i="8" s="1"/>
  <c r="AV120" i="6" s="1"/>
  <c r="AV68" i="4"/>
  <c r="AV2" i="8" s="1"/>
  <c r="AW74" i="9"/>
  <c r="AW74" i="8"/>
  <c r="AX1" i="9"/>
  <c r="AX84" i="4"/>
  <c r="AX86" i="4" s="1" a="1"/>
  <c r="AX86" i="4" s="1"/>
  <c r="AX77" i="4"/>
  <c r="AX65" i="4"/>
  <c r="AX61" i="4"/>
  <c r="AX52" i="4"/>
  <c r="AX54" i="4" s="1" a="1"/>
  <c r="AX54" i="4" s="1"/>
  <c r="AX64" i="4"/>
  <c r="AX66" i="4" s="1" a="1"/>
  <c r="AX66" i="4" s="1"/>
  <c r="AX53" i="4"/>
  <c r="AX57" i="4"/>
  <c r="AX85" i="4"/>
  <c r="AX81" i="4"/>
  <c r="AX73" i="4"/>
  <c r="AX1" i="8"/>
  <c r="AX72" i="4"/>
  <c r="AX74" i="4" s="1" a="1"/>
  <c r="AX74" i="4" s="1"/>
  <c r="AX56" i="4"/>
  <c r="AX58" i="4" s="1" a="1"/>
  <c r="AX58" i="4" s="1"/>
  <c r="AX60" i="4"/>
  <c r="AX80" i="4"/>
  <c r="AX76" i="4"/>
  <c r="AX78" i="4" s="1" a="1"/>
  <c r="AX78" i="4" s="1"/>
  <c r="AX10" i="4"/>
  <c r="AW127" i="9"/>
  <c r="AW82" i="4" a="1"/>
  <c r="AW82" i="4" s="1"/>
  <c r="AW77" i="9" s="1"/>
  <c r="AW100" i="9" s="1"/>
  <c r="AW154" i="6" s="1"/>
  <c r="AW127" i="8"/>
  <c r="AW62" i="4" a="1"/>
  <c r="AW62" i="4" s="1"/>
  <c r="AW77" i="8" s="1"/>
  <c r="AU95" i="9"/>
  <c r="AU8" i="9" s="1"/>
  <c r="AT105" i="9"/>
  <c r="AT95" i="8"/>
  <c r="AT8" i="8" s="1"/>
  <c r="AS105" i="8"/>
  <c r="AV164" i="8"/>
  <c r="AV97" i="8"/>
  <c r="AV111" i="6" s="1"/>
  <c r="AV40" i="8"/>
  <c r="AV158" i="8"/>
  <c r="AV107" i="8" s="1"/>
  <c r="AV112" i="6" s="1"/>
  <c r="AV13" i="8"/>
  <c r="AU106" i="9"/>
  <c r="AU156" i="9"/>
  <c r="AU82" i="9" s="1"/>
  <c r="AV164" i="9"/>
  <c r="AV97" i="9"/>
  <c r="AV145" i="6" s="1"/>
  <c r="AV40" i="9"/>
  <c r="AV158" i="9"/>
  <c r="AV107" i="9" s="1"/>
  <c r="AV146" i="6" s="1"/>
  <c r="AV13" i="9"/>
  <c r="AU165" i="8"/>
  <c r="AU157" i="8"/>
  <c r="AU72" i="8"/>
  <c r="AU96" i="8"/>
  <c r="AU41" i="8"/>
  <c r="AU14" i="8"/>
  <c r="AT156" i="8"/>
  <c r="AT82" i="8" s="1"/>
  <c r="AT106" i="8"/>
  <c r="AV48" i="4"/>
  <c r="AU2" i="2"/>
  <c r="AX37" i="4"/>
  <c r="AX33" i="4"/>
  <c r="AX45" i="4"/>
  <c r="AX32" i="4"/>
  <c r="AX34" i="4" s="1" a="1"/>
  <c r="AX34" i="4" s="1"/>
  <c r="AX41" i="4"/>
  <c r="AX44" i="4"/>
  <c r="AX46" i="4" s="1" a="1"/>
  <c r="AX46" i="4" s="1"/>
  <c r="AX36" i="4"/>
  <c r="AX38" i="4" s="1" a="1"/>
  <c r="AX38" i="4" s="1"/>
  <c r="AX40" i="4"/>
  <c r="AX1" i="6"/>
  <c r="AR81" i="6"/>
  <c r="AT95" i="2"/>
  <c r="AT8" i="2" s="1"/>
  <c r="AS105" i="2"/>
  <c r="AV97" i="2"/>
  <c r="AV77" i="6" s="1"/>
  <c r="AV164" i="2"/>
  <c r="AV158" i="2"/>
  <c r="AV107" i="2" s="1"/>
  <c r="AV78" i="6" s="1"/>
  <c r="AU96" i="2"/>
  <c r="AU82" i="6" s="1"/>
  <c r="AU165" i="2"/>
  <c r="AU157" i="2"/>
  <c r="AT106" i="2"/>
  <c r="AT83" i="6" s="1"/>
  <c r="AS82" i="2"/>
  <c r="AU72" i="2"/>
  <c r="AW127" i="2"/>
  <c r="AT156" i="2"/>
  <c r="AU41" i="2"/>
  <c r="AU14" i="2"/>
  <c r="AV77" i="2"/>
  <c r="AV100" i="2" s="1"/>
  <c r="AV86" i="6" s="1"/>
  <c r="AV13" i="2"/>
  <c r="AV40" i="2"/>
  <c r="AW42" i="4" a="1"/>
  <c r="AW42" i="4" s="1"/>
  <c r="AW73" i="2" s="1"/>
  <c r="AY1" i="4"/>
  <c r="AY1" i="13" s="1"/>
  <c r="AX1" i="2"/>
  <c r="AS177" i="13" l="1"/>
  <c r="AS35" i="13"/>
  <c r="AS33" i="13" s="1"/>
  <c r="AX159" i="6"/>
  <c r="AX160" i="6"/>
  <c r="AX126" i="6"/>
  <c r="AX125" i="6"/>
  <c r="AU251" i="13"/>
  <c r="AU249" i="13" s="1"/>
  <c r="AU151" i="6"/>
  <c r="AT215" i="13"/>
  <c r="AT213" i="13" s="1"/>
  <c r="AT117" i="6"/>
  <c r="AT115" i="6" s="1"/>
  <c r="AU214" i="13"/>
  <c r="AU116" i="6"/>
  <c r="AX163" i="6"/>
  <c r="AX129" i="6"/>
  <c r="AX162" i="6"/>
  <c r="AX128" i="6"/>
  <c r="AX94" i="6"/>
  <c r="AX95" i="6"/>
  <c r="AX92" i="6"/>
  <c r="AX91" i="6"/>
  <c r="AU208" i="13"/>
  <c r="AU110" i="6"/>
  <c r="AU144" i="6"/>
  <c r="AU76" i="6"/>
  <c r="AV218" i="13"/>
  <c r="AV209" i="13"/>
  <c r="AV246" i="13"/>
  <c r="AV245" i="13"/>
  <c r="AX265" i="13"/>
  <c r="AX264" i="13"/>
  <c r="AU178" i="13"/>
  <c r="AU34" i="13" s="1"/>
  <c r="AV174" i="13"/>
  <c r="AV30" i="13" s="1"/>
  <c r="AX261" i="13"/>
  <c r="AX262" i="13"/>
  <c r="AV250" i="13"/>
  <c r="AX226" i="13"/>
  <c r="AX225" i="13"/>
  <c r="AX193" i="13"/>
  <c r="AX47" i="13" s="1"/>
  <c r="AX192" i="13"/>
  <c r="AX46" i="13" s="1"/>
  <c r="AV210" i="13"/>
  <c r="AV173" i="13"/>
  <c r="AV29" i="13" s="1"/>
  <c r="AW254" i="13"/>
  <c r="AX228" i="13"/>
  <c r="AX229" i="13"/>
  <c r="AV182" i="13"/>
  <c r="AV38" i="13" s="1"/>
  <c r="AU172" i="13"/>
  <c r="AU28" i="13"/>
  <c r="AX189" i="13"/>
  <c r="AX43" i="13" s="1"/>
  <c r="AX190" i="13"/>
  <c r="AX44" i="13" s="1"/>
  <c r="AT179" i="13"/>
  <c r="AU244" i="13"/>
  <c r="AV14" i="9"/>
  <c r="AV41" i="9"/>
  <c r="AV72" i="9"/>
  <c r="AV157" i="9"/>
  <c r="AV156" i="9" s="1"/>
  <c r="AV82" i="9" s="1"/>
  <c r="AV165" i="9"/>
  <c r="AX74" i="8"/>
  <c r="AX74" i="2"/>
  <c r="AW68" i="4"/>
  <c r="AW2" i="8" s="1"/>
  <c r="AW73" i="9"/>
  <c r="AW14" i="9" s="1"/>
  <c r="AW88" i="4"/>
  <c r="AW2" i="9" s="1"/>
  <c r="AW73" i="8"/>
  <c r="AX127" i="9"/>
  <c r="AX82" i="4" a="1"/>
  <c r="AX82" i="4" s="1"/>
  <c r="AX73" i="9" s="1"/>
  <c r="AX74" i="9"/>
  <c r="AX127" i="8"/>
  <c r="AX62" i="4" a="1"/>
  <c r="AX62" i="4" s="1"/>
  <c r="AX73" i="8" s="1"/>
  <c r="AY84" i="4"/>
  <c r="AY86" i="4" s="1" a="1"/>
  <c r="AY86" i="4" s="1"/>
  <c r="AY77" i="4"/>
  <c r="AY72" i="4"/>
  <c r="AY74" i="4" s="1" a="1"/>
  <c r="AY74" i="4" s="1"/>
  <c r="AY65" i="4"/>
  <c r="AY61" i="4"/>
  <c r="AY52" i="4"/>
  <c r="AY54" i="4" s="1" a="1"/>
  <c r="AY54" i="4" s="1"/>
  <c r="AY85" i="4"/>
  <c r="AY81" i="4"/>
  <c r="AY73" i="4"/>
  <c r="AY64" i="4"/>
  <c r="AY66" i="4" s="1" a="1"/>
  <c r="AY66" i="4" s="1"/>
  <c r="AY57" i="4"/>
  <c r="AY53" i="4"/>
  <c r="AY1" i="8"/>
  <c r="AY1" i="9"/>
  <c r="AY56" i="4"/>
  <c r="AY58" i="4" s="1" a="1"/>
  <c r="AY58" i="4" s="1"/>
  <c r="AY60" i="4"/>
  <c r="AY80" i="4"/>
  <c r="AY76" i="4"/>
  <c r="AY78" i="4" s="1" a="1"/>
  <c r="AY78" i="4" s="1"/>
  <c r="AY10" i="4"/>
  <c r="AU105" i="9"/>
  <c r="AT149" i="6"/>
  <c r="AV110" i="6"/>
  <c r="AT105" i="8"/>
  <c r="AU95" i="8"/>
  <c r="AU8" i="8" s="1"/>
  <c r="AS115" i="6"/>
  <c r="AV95" i="9"/>
  <c r="AV8" i="9" s="1"/>
  <c r="AW158" i="9"/>
  <c r="AW107" i="9" s="1"/>
  <c r="AW146" i="6" s="1"/>
  <c r="AW164" i="9"/>
  <c r="AW97" i="9"/>
  <c r="AW145" i="6" s="1"/>
  <c r="AW13" i="9"/>
  <c r="AW40" i="9"/>
  <c r="AW158" i="8"/>
  <c r="AW107" i="8" s="1"/>
  <c r="AW112" i="6" s="1"/>
  <c r="AW164" i="8"/>
  <c r="AW97" i="8"/>
  <c r="AW111" i="6" s="1"/>
  <c r="AW13" i="8"/>
  <c r="AW40" i="8"/>
  <c r="AV165" i="8"/>
  <c r="AV157" i="8"/>
  <c r="AV72" i="8"/>
  <c r="AV96" i="8"/>
  <c r="AV41" i="8"/>
  <c r="AV14" i="8"/>
  <c r="AW48" i="4"/>
  <c r="AW100" i="8"/>
  <c r="AW120" i="6" s="1"/>
  <c r="AU156" i="8"/>
  <c r="AU82" i="8" s="1"/>
  <c r="AU106" i="8"/>
  <c r="AV2" i="2"/>
  <c r="AY37" i="4"/>
  <c r="AY45" i="4"/>
  <c r="AY32" i="4"/>
  <c r="AY34" i="4" s="1" a="1"/>
  <c r="AY34" i="4" s="1"/>
  <c r="AY41" i="4"/>
  <c r="AY44" i="4"/>
  <c r="AY46" i="4" s="1" a="1"/>
  <c r="AY46" i="4" s="1"/>
  <c r="AY33" i="4"/>
  <c r="AY40" i="4"/>
  <c r="AY36" i="4"/>
  <c r="AY38" i="4" s="1" a="1"/>
  <c r="AY38" i="4" s="1"/>
  <c r="AY1" i="6"/>
  <c r="AS81" i="6"/>
  <c r="AT105" i="2"/>
  <c r="AV96" i="2"/>
  <c r="AV82" i="6" s="1"/>
  <c r="AV157" i="2"/>
  <c r="AV165" i="2"/>
  <c r="AU95" i="2"/>
  <c r="AU8" i="2" s="1"/>
  <c r="AW97" i="2"/>
  <c r="AW77" i="6" s="1"/>
  <c r="AW164" i="2"/>
  <c r="AW158" i="2"/>
  <c r="AW107" i="2" s="1"/>
  <c r="AW78" i="6" s="1"/>
  <c r="AU106" i="2"/>
  <c r="AU83" i="6" s="1"/>
  <c r="AT82" i="2"/>
  <c r="AV72" i="2"/>
  <c r="AX127" i="2"/>
  <c r="AU156" i="2"/>
  <c r="AV14" i="2"/>
  <c r="AV41" i="2"/>
  <c r="AW77" i="2"/>
  <c r="AW100" i="2" s="1"/>
  <c r="AW86" i="6" s="1"/>
  <c r="AW13" i="2"/>
  <c r="AW40" i="2"/>
  <c r="AX42" i="4" a="1"/>
  <c r="AX42" i="4" s="1"/>
  <c r="AX73" i="2" s="1"/>
  <c r="AZ1" i="4"/>
  <c r="AZ1" i="13" s="1"/>
  <c r="AY1" i="2"/>
  <c r="AT177" i="13" l="1"/>
  <c r="AT35" i="13"/>
  <c r="AT33" i="13" s="1"/>
  <c r="AY160" i="6"/>
  <c r="AY159" i="6"/>
  <c r="AY125" i="6"/>
  <c r="AY126" i="6"/>
  <c r="AU215" i="13"/>
  <c r="AU213" i="13" s="1"/>
  <c r="AU117" i="6"/>
  <c r="AV214" i="13"/>
  <c r="AV116" i="6"/>
  <c r="AY163" i="6"/>
  <c r="AY129" i="6"/>
  <c r="AY162" i="6"/>
  <c r="AY128" i="6"/>
  <c r="AY95" i="6"/>
  <c r="AY94" i="6"/>
  <c r="AY92" i="6"/>
  <c r="AY91" i="6"/>
  <c r="AV244" i="13"/>
  <c r="AV144" i="6"/>
  <c r="AV76" i="6"/>
  <c r="AV208" i="13"/>
  <c r="AW210" i="13"/>
  <c r="AY225" i="13"/>
  <c r="AY226" i="13"/>
  <c r="AY264" i="13"/>
  <c r="AY265" i="13"/>
  <c r="AV172" i="13"/>
  <c r="AV28" i="13"/>
  <c r="AY229" i="13"/>
  <c r="AY228" i="13"/>
  <c r="AV178" i="13"/>
  <c r="AV34" i="13" s="1"/>
  <c r="AY189" i="13"/>
  <c r="AY43" i="13" s="1"/>
  <c r="AY190" i="13"/>
  <c r="AY44" i="13" s="1"/>
  <c r="AU179" i="13"/>
  <c r="AW182" i="13"/>
  <c r="AW38" i="13" s="1"/>
  <c r="AW76" i="6"/>
  <c r="AW174" i="13"/>
  <c r="AW30" i="13" s="1"/>
  <c r="AW245" i="13"/>
  <c r="AW110" i="6"/>
  <c r="AW209" i="13"/>
  <c r="AY261" i="13"/>
  <c r="AY262" i="13"/>
  <c r="AY193" i="13"/>
  <c r="AY47" i="13" s="1"/>
  <c r="AY192" i="13"/>
  <c r="AY46" i="13" s="1"/>
  <c r="AW218" i="13"/>
  <c r="AW173" i="13"/>
  <c r="AW29" i="13" s="1"/>
  <c r="AW246" i="13"/>
  <c r="AX68" i="4"/>
  <c r="AX2" i="8" s="1"/>
  <c r="AV106" i="9"/>
  <c r="AV151" i="6" s="1"/>
  <c r="AW41" i="9"/>
  <c r="AX88" i="4"/>
  <c r="AX2" i="9" s="1"/>
  <c r="AX77" i="9"/>
  <c r="AX100" i="9" s="1"/>
  <c r="AX154" i="6" s="1"/>
  <c r="AX77" i="8"/>
  <c r="AX100" i="8" s="1"/>
  <c r="AX120" i="6" s="1"/>
  <c r="AY74" i="2"/>
  <c r="AW72" i="9"/>
  <c r="AW96" i="9"/>
  <c r="AW150" i="6" s="1"/>
  <c r="AW157" i="9"/>
  <c r="AW106" i="9" s="1"/>
  <c r="AW165" i="9"/>
  <c r="AZ85" i="4"/>
  <c r="AZ81" i="4"/>
  <c r="AZ73" i="4"/>
  <c r="AZ1" i="8"/>
  <c r="AZ84" i="4"/>
  <c r="AZ86" i="4" s="1" a="1"/>
  <c r="AZ86" i="4" s="1"/>
  <c r="AZ77" i="4"/>
  <c r="AZ64" i="4"/>
  <c r="AZ66" i="4" s="1" a="1"/>
  <c r="AZ66" i="4" s="1"/>
  <c r="AZ57" i="4"/>
  <c r="AZ53" i="4"/>
  <c r="AZ72" i="4"/>
  <c r="AZ74" i="4" s="1" a="1"/>
  <c r="AZ74" i="4" s="1"/>
  <c r="AZ1" i="9"/>
  <c r="AZ65" i="4"/>
  <c r="AZ61" i="4"/>
  <c r="AZ52" i="4"/>
  <c r="AZ54" i="4" s="1" a="1"/>
  <c r="AZ54" i="4" s="1"/>
  <c r="AZ56" i="4"/>
  <c r="AZ58" i="4" s="1" a="1"/>
  <c r="AZ58" i="4" s="1"/>
  <c r="AZ60" i="4"/>
  <c r="AZ80" i="4"/>
  <c r="AZ76" i="4"/>
  <c r="AZ78" i="4" s="1" a="1"/>
  <c r="AZ78" i="4" s="1"/>
  <c r="AZ10" i="4"/>
  <c r="AY127" i="9"/>
  <c r="AY82" i="4" a="1"/>
  <c r="AY82" i="4" s="1"/>
  <c r="AY73" i="9" s="1"/>
  <c r="AY127" i="8"/>
  <c r="AY62" i="4" a="1"/>
  <c r="AY62" i="4" s="1"/>
  <c r="AY73" i="8" s="1"/>
  <c r="AY74" i="9"/>
  <c r="AY74" i="8"/>
  <c r="AU149" i="6"/>
  <c r="AV95" i="8"/>
  <c r="AV8" i="8" s="1"/>
  <c r="AU105" i="8"/>
  <c r="AX165" i="9"/>
  <c r="AX157" i="9"/>
  <c r="AX96" i="9"/>
  <c r="AX150" i="6" s="1"/>
  <c r="AX14" i="9"/>
  <c r="AX72" i="9"/>
  <c r="AX41" i="9"/>
  <c r="AX164" i="8"/>
  <c r="AX13" i="8"/>
  <c r="AX97" i="8"/>
  <c r="AX111" i="6" s="1"/>
  <c r="AX158" i="8"/>
  <c r="AX107" i="8" s="1"/>
  <c r="AX112" i="6" s="1"/>
  <c r="AX40" i="8"/>
  <c r="AX158" i="9"/>
  <c r="AX107" i="9" s="1"/>
  <c r="AX146" i="6" s="1"/>
  <c r="AX164" i="9"/>
  <c r="AX97" i="9"/>
  <c r="AX145" i="6" s="1"/>
  <c r="AX40" i="9"/>
  <c r="AX13" i="9"/>
  <c r="AX48" i="4"/>
  <c r="AW2" i="2"/>
  <c r="AV156" i="8"/>
  <c r="AV82" i="8" s="1"/>
  <c r="AV106" i="8"/>
  <c r="AW165" i="8"/>
  <c r="AW157" i="8"/>
  <c r="AW72" i="8"/>
  <c r="AW96" i="8"/>
  <c r="AW14" i="8"/>
  <c r="AW41" i="8"/>
  <c r="AZ37" i="4"/>
  <c r="AZ45" i="4"/>
  <c r="AZ32" i="4"/>
  <c r="AZ34" i="4" s="1" a="1"/>
  <c r="AZ34" i="4" s="1"/>
  <c r="AZ33" i="4"/>
  <c r="AZ41" i="4"/>
  <c r="AZ44" i="4"/>
  <c r="AZ46" i="4" s="1" a="1"/>
  <c r="AZ46" i="4" s="1"/>
  <c r="AZ36" i="4"/>
  <c r="AZ38" i="4" s="1" a="1"/>
  <c r="AZ38" i="4" s="1"/>
  <c r="AZ40" i="4"/>
  <c r="AZ1" i="6"/>
  <c r="AT81" i="6"/>
  <c r="AX97" i="2"/>
  <c r="AX77" i="6" s="1"/>
  <c r="AX164" i="2"/>
  <c r="AX158" i="2"/>
  <c r="AX107" i="2" s="1"/>
  <c r="AX78" i="6" s="1"/>
  <c r="AU105" i="2"/>
  <c r="AW96" i="2"/>
  <c r="AW82" i="6" s="1"/>
  <c r="AW165" i="2"/>
  <c r="AW157" i="2"/>
  <c r="AV95" i="2"/>
  <c r="AV8" i="2" s="1"/>
  <c r="AV106" i="2"/>
  <c r="AV83" i="6" s="1"/>
  <c r="AU82" i="2"/>
  <c r="AW72" i="2"/>
  <c r="AY127" i="2"/>
  <c r="AV156" i="2"/>
  <c r="AX13" i="2"/>
  <c r="AX40" i="2"/>
  <c r="AX77" i="2"/>
  <c r="AX100" i="2" s="1"/>
  <c r="AX86" i="6" s="1"/>
  <c r="AW14" i="2"/>
  <c r="AW41" i="2"/>
  <c r="AY42" i="4" a="1"/>
  <c r="AY42" i="4" s="1"/>
  <c r="AY73" i="2" s="1"/>
  <c r="BA1" i="4"/>
  <c r="BA1" i="13" s="1"/>
  <c r="AZ1" i="2"/>
  <c r="AU177" i="13" l="1"/>
  <c r="AU35" i="13"/>
  <c r="AU33" i="13" s="1"/>
  <c r="AZ160" i="6"/>
  <c r="AZ159" i="6"/>
  <c r="AZ125" i="6"/>
  <c r="AZ126" i="6"/>
  <c r="AW208" i="13"/>
  <c r="AW251" i="13"/>
  <c r="AW151" i="6"/>
  <c r="AW214" i="13"/>
  <c r="AW116" i="6"/>
  <c r="AV215" i="13"/>
  <c r="AV213" i="13" s="1"/>
  <c r="AV117" i="6"/>
  <c r="AV115" i="6" s="1"/>
  <c r="AZ129" i="6"/>
  <c r="AZ162" i="6"/>
  <c r="AZ128" i="6"/>
  <c r="AZ163" i="6"/>
  <c r="AZ95" i="6"/>
  <c r="AZ94" i="6"/>
  <c r="AZ92" i="6"/>
  <c r="AZ91" i="6"/>
  <c r="AW144" i="6"/>
  <c r="AX173" i="13"/>
  <c r="AX29" i="13" s="1"/>
  <c r="AX245" i="13"/>
  <c r="AW250" i="13"/>
  <c r="AV179" i="13"/>
  <c r="AX182" i="13"/>
  <c r="AX38" i="13" s="1"/>
  <c r="AZ192" i="13"/>
  <c r="AZ46" i="13" s="1"/>
  <c r="AZ193" i="13"/>
  <c r="AZ47" i="13" s="1"/>
  <c r="AZ225" i="13"/>
  <c r="AZ226" i="13"/>
  <c r="AV251" i="13"/>
  <c r="AZ264" i="13"/>
  <c r="AZ265" i="13"/>
  <c r="AW178" i="13"/>
  <c r="AW34" i="13" s="1"/>
  <c r="AX246" i="13"/>
  <c r="AW244" i="13"/>
  <c r="AZ228" i="13"/>
  <c r="AZ229" i="13"/>
  <c r="AX250" i="13"/>
  <c r="AX218" i="13"/>
  <c r="AW172" i="13"/>
  <c r="AW28" i="13"/>
  <c r="AX76" i="6"/>
  <c r="AX174" i="13"/>
  <c r="AX30" i="13" s="1"/>
  <c r="AZ189" i="13"/>
  <c r="AZ43" i="13" s="1"/>
  <c r="AZ190" i="13"/>
  <c r="AZ44" i="13" s="1"/>
  <c r="AX210" i="13"/>
  <c r="AX254" i="13"/>
  <c r="AX209" i="13"/>
  <c r="AZ262" i="13"/>
  <c r="AZ261" i="13"/>
  <c r="AV105" i="9"/>
  <c r="AW95" i="9"/>
  <c r="AW8" i="9" s="1"/>
  <c r="AY68" i="4"/>
  <c r="AY2" i="8" s="1"/>
  <c r="AW156" i="9"/>
  <c r="AW82" i="9" s="1"/>
  <c r="AY88" i="4"/>
  <c r="AY2" i="9" s="1"/>
  <c r="AY77" i="9"/>
  <c r="AY100" i="9" s="1"/>
  <c r="AY154" i="6" s="1"/>
  <c r="AZ74" i="8"/>
  <c r="AZ74" i="2"/>
  <c r="AZ74" i="9"/>
  <c r="AY77" i="8"/>
  <c r="AY100" i="8" s="1"/>
  <c r="AY120" i="6" s="1"/>
  <c r="AZ127" i="9"/>
  <c r="AZ82" i="4" a="1"/>
  <c r="AZ82" i="4" s="1"/>
  <c r="AZ73" i="9" s="1"/>
  <c r="AZ127" i="8"/>
  <c r="AZ62" i="4" a="1"/>
  <c r="AZ62" i="4" s="1"/>
  <c r="AZ73" i="8" s="1"/>
  <c r="BA65" i="4"/>
  <c r="BA61" i="4"/>
  <c r="BA52" i="4"/>
  <c r="BA54" i="4" s="1" a="1"/>
  <c r="BA54" i="4" s="1"/>
  <c r="BA85" i="4"/>
  <c r="BA81" i="4"/>
  <c r="BA73" i="4"/>
  <c r="BA64" i="4"/>
  <c r="BA66" i="4" s="1" a="1"/>
  <c r="BA66" i="4" s="1"/>
  <c r="BA57" i="4"/>
  <c r="BA53" i="4"/>
  <c r="BA1" i="8"/>
  <c r="BA1" i="9"/>
  <c r="BA84" i="4"/>
  <c r="BA86" i="4" s="1" a="1"/>
  <c r="BA86" i="4" s="1"/>
  <c r="BA77" i="4"/>
  <c r="BA72" i="4"/>
  <c r="BA74" i="4" s="1" a="1"/>
  <c r="BA74" i="4" s="1"/>
  <c r="BA56" i="4"/>
  <c r="BA58" i="4" s="1" a="1"/>
  <c r="BA58" i="4" s="1"/>
  <c r="BA60" i="4"/>
  <c r="BA80" i="4"/>
  <c r="BA76" i="4"/>
  <c r="BA78" i="4" s="1" a="1"/>
  <c r="BA78" i="4" s="1"/>
  <c r="BA10" i="4"/>
  <c r="AW105" i="9"/>
  <c r="AV149" i="6"/>
  <c r="AW95" i="8"/>
  <c r="AW8" i="8" s="1"/>
  <c r="AU115" i="6"/>
  <c r="AV105" i="8"/>
  <c r="AX95" i="9"/>
  <c r="AX8" i="9" s="1"/>
  <c r="AX156" i="9"/>
  <c r="AX82" i="9" s="1"/>
  <c r="AX106" i="9"/>
  <c r="AY158" i="9"/>
  <c r="AY107" i="9" s="1"/>
  <c r="AY146" i="6" s="1"/>
  <c r="AY164" i="9"/>
  <c r="AY97" i="9"/>
  <c r="AY145" i="6" s="1"/>
  <c r="AY40" i="9"/>
  <c r="AY13" i="9"/>
  <c r="AY158" i="8"/>
  <c r="AY107" i="8" s="1"/>
  <c r="AY112" i="6" s="1"/>
  <c r="AY164" i="8"/>
  <c r="AY97" i="8"/>
  <c r="AY111" i="6" s="1"/>
  <c r="AY40" i="8"/>
  <c r="AY13" i="8"/>
  <c r="AY72" i="9"/>
  <c r="AY41" i="9"/>
  <c r="AY14" i="9"/>
  <c r="AY165" i="9"/>
  <c r="AY157" i="9"/>
  <c r="AY96" i="9"/>
  <c r="AY150" i="6" s="1"/>
  <c r="AY48" i="4"/>
  <c r="AX165" i="8"/>
  <c r="AX157" i="8"/>
  <c r="AX96" i="8"/>
  <c r="AX72" i="8"/>
  <c r="AX41" i="8"/>
  <c r="AX14" i="8"/>
  <c r="AW156" i="8"/>
  <c r="AW82" i="8" s="1"/>
  <c r="AW106" i="8"/>
  <c r="AX2" i="2"/>
  <c r="BA45" i="4"/>
  <c r="BA32" i="4"/>
  <c r="BA34" i="4" s="1" a="1"/>
  <c r="BA34" i="4" s="1"/>
  <c r="BA41" i="4"/>
  <c r="BA44" i="4"/>
  <c r="BA46" i="4" s="1" a="1"/>
  <c r="BA46" i="4" s="1"/>
  <c r="BA33" i="4"/>
  <c r="BA37" i="4"/>
  <c r="BA36" i="4"/>
  <c r="BA38" i="4" s="1" a="1"/>
  <c r="BA38" i="4" s="1"/>
  <c r="BA40" i="4"/>
  <c r="BA1" i="6"/>
  <c r="AU81" i="6"/>
  <c r="AW95" i="2"/>
  <c r="AW8" i="2" s="1"/>
  <c r="AX96" i="2"/>
  <c r="AX82" i="6" s="1"/>
  <c r="AX157" i="2"/>
  <c r="AX165" i="2"/>
  <c r="AV105" i="2"/>
  <c r="AY97" i="2"/>
  <c r="AY77" i="6" s="1"/>
  <c r="AY158" i="2"/>
  <c r="AY107" i="2" s="1"/>
  <c r="AY78" i="6" s="1"/>
  <c r="AY164" i="2"/>
  <c r="AW106" i="2"/>
  <c r="AW83" i="6" s="1"/>
  <c r="AV82" i="2"/>
  <c r="AX72" i="2"/>
  <c r="AZ127" i="2"/>
  <c r="AW156" i="2"/>
  <c r="AX14" i="2"/>
  <c r="AX41" i="2"/>
  <c r="AY77" i="2"/>
  <c r="AY100" i="2" s="1"/>
  <c r="AY86" i="6" s="1"/>
  <c r="AY40" i="2"/>
  <c r="AY13" i="2"/>
  <c r="AZ42" i="4" a="1"/>
  <c r="AZ42" i="4" s="1"/>
  <c r="AZ73" i="2" s="1"/>
  <c r="BA1" i="2"/>
  <c r="AV177" i="13" l="1"/>
  <c r="AV35" i="13"/>
  <c r="AV33" i="13" s="1"/>
  <c r="AW249" i="13"/>
  <c r="BA160" i="6"/>
  <c r="N160" i="6" s="1"/>
  <c r="BA159" i="6"/>
  <c r="N159" i="6" s="1"/>
  <c r="BA125" i="6"/>
  <c r="N125" i="6" s="1"/>
  <c r="BA126" i="6"/>
  <c r="N126" i="6" s="1"/>
  <c r="AX208" i="13"/>
  <c r="AX251" i="13"/>
  <c r="AX249" i="13" s="1"/>
  <c r="AX151" i="6"/>
  <c r="AX214" i="13"/>
  <c r="AX116" i="6"/>
  <c r="AW215" i="13"/>
  <c r="AW213" i="13" s="1"/>
  <c r="AW117" i="6"/>
  <c r="BA162" i="6"/>
  <c r="N162" i="6" s="1"/>
  <c r="BA128" i="6"/>
  <c r="BA163" i="6"/>
  <c r="N163" i="6" s="1"/>
  <c r="BA129" i="6"/>
  <c r="N129" i="6" s="1"/>
  <c r="BA95" i="6"/>
  <c r="BA94" i="6"/>
  <c r="BA92" i="6"/>
  <c r="BA91" i="6"/>
  <c r="AX144" i="6"/>
  <c r="AX110" i="6"/>
  <c r="AX244" i="13"/>
  <c r="AV249" i="13"/>
  <c r="BA189" i="13"/>
  <c r="BA43" i="13" s="1"/>
  <c r="BA190" i="13"/>
  <c r="BA44" i="13" s="1"/>
  <c r="AW179" i="13"/>
  <c r="AY218" i="13"/>
  <c r="AY246" i="13"/>
  <c r="AY182" i="13"/>
  <c r="AY38" i="13" s="1"/>
  <c r="AY250" i="13"/>
  <c r="AY209" i="13"/>
  <c r="BA265" i="13"/>
  <c r="N265" i="13" s="1"/>
  <c r="BA264" i="13"/>
  <c r="N264" i="13" s="1"/>
  <c r="AY254" i="13"/>
  <c r="BA225" i="13"/>
  <c r="N225" i="13" s="1"/>
  <c r="BA226" i="13"/>
  <c r="N226" i="13" s="1"/>
  <c r="BA228" i="13"/>
  <c r="N228" i="13" s="1"/>
  <c r="BA229" i="13"/>
  <c r="N229" i="13" s="1"/>
  <c r="AY174" i="13"/>
  <c r="AY30" i="13" s="1"/>
  <c r="AY210" i="13"/>
  <c r="AX172" i="13"/>
  <c r="AX28" i="13"/>
  <c r="AY245" i="13"/>
  <c r="AX178" i="13"/>
  <c r="AX34" i="13" s="1"/>
  <c r="BA193" i="13"/>
  <c r="BA47" i="13" s="1"/>
  <c r="BA192" i="13"/>
  <c r="BA46" i="13" s="1"/>
  <c r="AY173" i="13"/>
  <c r="AY29" i="13" s="1"/>
  <c r="BA261" i="13"/>
  <c r="N261" i="13" s="1"/>
  <c r="BA262" i="13"/>
  <c r="N262" i="13" s="1"/>
  <c r="AZ88" i="4"/>
  <c r="AZ2" i="9" s="1"/>
  <c r="AZ77" i="9"/>
  <c r="AZ100" i="9" s="1"/>
  <c r="AZ154" i="6" s="1"/>
  <c r="AZ77" i="8"/>
  <c r="AZ100" i="8" s="1"/>
  <c r="AZ120" i="6" s="1"/>
  <c r="AZ68" i="4"/>
  <c r="AZ2" i="8" s="1"/>
  <c r="BA74" i="8"/>
  <c r="BA74" i="2"/>
  <c r="BA74" i="9"/>
  <c r="AZ177" i="9"/>
  <c r="AZ162" i="9" s="1"/>
  <c r="U177" i="9"/>
  <c r="U162" i="9" s="1"/>
  <c r="AV177" i="9"/>
  <c r="AV162" i="9" s="1"/>
  <c r="AJ177" i="9"/>
  <c r="AJ162" i="9" s="1"/>
  <c r="AF177" i="9"/>
  <c r="AF162" i="9" s="1"/>
  <c r="AG177" i="9"/>
  <c r="AG162" i="9" s="1"/>
  <c r="W177" i="9"/>
  <c r="W162" i="9" s="1"/>
  <c r="X177" i="9"/>
  <c r="X162" i="9" s="1"/>
  <c r="AI177" i="9"/>
  <c r="AI162" i="9" s="1"/>
  <c r="AY177" i="9"/>
  <c r="AY162" i="9" s="1"/>
  <c r="AP177" i="9"/>
  <c r="AP162" i="9" s="1"/>
  <c r="AB177" i="9"/>
  <c r="AB162" i="9" s="1"/>
  <c r="S177" i="9"/>
  <c r="S162" i="9" s="1"/>
  <c r="Q177" i="9"/>
  <c r="Q162" i="9" s="1"/>
  <c r="T177" i="9"/>
  <c r="T162" i="9" s="1"/>
  <c r="BA177" i="9"/>
  <c r="BA162" i="9" s="1"/>
  <c r="AX177" i="9"/>
  <c r="AX162" i="9" s="1"/>
  <c r="AO177" i="9"/>
  <c r="AO162" i="9" s="1"/>
  <c r="AQ177" i="9"/>
  <c r="AQ162" i="9" s="1"/>
  <c r="AK177" i="9"/>
  <c r="AK162" i="9" s="1"/>
  <c r="AL177" i="9"/>
  <c r="AL162" i="9" s="1"/>
  <c r="AS177" i="9"/>
  <c r="AS162" i="9" s="1"/>
  <c r="AC177" i="9"/>
  <c r="AC162" i="9" s="1"/>
  <c r="AA177" i="9"/>
  <c r="AA162" i="9" s="1"/>
  <c r="AU177" i="9"/>
  <c r="AU162" i="9" s="1"/>
  <c r="AW177" i="9"/>
  <c r="AW162" i="9" s="1"/>
  <c r="AD177" i="9"/>
  <c r="AD162" i="9" s="1"/>
  <c r="V177" i="9"/>
  <c r="V162" i="9" s="1"/>
  <c r="AH177" i="9"/>
  <c r="AH162" i="9" s="1"/>
  <c r="AR177" i="9"/>
  <c r="AR162" i="9" s="1"/>
  <c r="R177" i="9"/>
  <c r="R162" i="9" s="1"/>
  <c r="AT177" i="9"/>
  <c r="AT162" i="9" s="1"/>
  <c r="Z177" i="9"/>
  <c r="Z162" i="9" s="1"/>
  <c r="AE177" i="9"/>
  <c r="AE162" i="9" s="1"/>
  <c r="AN177" i="9"/>
  <c r="AN162" i="9" s="1"/>
  <c r="AM177" i="9"/>
  <c r="AM162" i="9" s="1"/>
  <c r="Y177" i="9"/>
  <c r="Y162" i="9" s="1"/>
  <c r="BA127" i="9"/>
  <c r="N127" i="9" s="1"/>
  <c r="BA82" i="4" a="1"/>
  <c r="BA82" i="4" s="1"/>
  <c r="Q103" i="9" s="1"/>
  <c r="Q102" i="9" s="1"/>
  <c r="BA127" i="8"/>
  <c r="N127" i="8" s="1"/>
  <c r="BA62" i="4" a="1"/>
  <c r="BA62" i="4" s="1"/>
  <c r="BA73" i="8" s="1"/>
  <c r="AL178" i="9"/>
  <c r="AL163" i="9" s="1"/>
  <c r="AL176" i="9"/>
  <c r="AL161" i="9" s="1"/>
  <c r="AG176" i="9"/>
  <c r="AG161" i="9" s="1"/>
  <c r="AY176" i="9"/>
  <c r="AY161" i="9" s="1"/>
  <c r="R178" i="9"/>
  <c r="R163" i="9" s="1"/>
  <c r="W178" i="9"/>
  <c r="W163" i="9" s="1"/>
  <c r="AU178" i="9"/>
  <c r="AU163" i="9" s="1"/>
  <c r="AD178" i="9"/>
  <c r="AD163" i="9" s="1"/>
  <c r="Q176" i="9"/>
  <c r="Q161" i="9" s="1"/>
  <c r="AV176" i="9"/>
  <c r="AV161" i="9" s="1"/>
  <c r="T176" i="9"/>
  <c r="T161" i="9" s="1"/>
  <c r="R176" i="9"/>
  <c r="R161" i="9" s="1"/>
  <c r="AF178" i="9"/>
  <c r="AF163" i="9" s="1"/>
  <c r="V176" i="9"/>
  <c r="V161" i="9" s="1"/>
  <c r="AA178" i="9"/>
  <c r="AA163" i="9" s="1"/>
  <c r="AS178" i="9"/>
  <c r="AS163" i="9" s="1"/>
  <c r="AO176" i="9"/>
  <c r="AO161" i="9" s="1"/>
  <c r="BA178" i="9"/>
  <c r="BA163" i="9" s="1"/>
  <c r="AX176" i="9"/>
  <c r="AX161" i="9" s="1"/>
  <c r="AM178" i="9"/>
  <c r="AM163" i="9" s="1"/>
  <c r="AF176" i="9"/>
  <c r="AF161" i="9" s="1"/>
  <c r="U178" i="9"/>
  <c r="U163" i="9" s="1"/>
  <c r="AD176" i="9"/>
  <c r="AD161" i="9" s="1"/>
  <c r="AG178" i="9"/>
  <c r="AG163" i="9" s="1"/>
  <c r="AN178" i="9"/>
  <c r="AN163" i="9" s="1"/>
  <c r="AN176" i="9"/>
  <c r="AN161" i="9" s="1"/>
  <c r="AH176" i="9"/>
  <c r="AH161" i="9" s="1"/>
  <c r="AS176" i="9"/>
  <c r="AS161" i="9" s="1"/>
  <c r="AI176" i="9"/>
  <c r="AI161" i="9" s="1"/>
  <c r="AJ176" i="9"/>
  <c r="AJ161" i="9" s="1"/>
  <c r="X176" i="9"/>
  <c r="X161" i="9" s="1"/>
  <c r="AO178" i="9"/>
  <c r="AO163" i="9" s="1"/>
  <c r="Z176" i="9"/>
  <c r="Z161" i="9" s="1"/>
  <c r="V178" i="9"/>
  <c r="V163" i="9" s="1"/>
  <c r="AB176" i="9"/>
  <c r="AB161" i="9" s="1"/>
  <c r="AR178" i="9"/>
  <c r="AR163" i="9" s="1"/>
  <c r="S178" i="9"/>
  <c r="S163" i="9" s="1"/>
  <c r="AM176" i="9"/>
  <c r="AM161" i="9" s="1"/>
  <c r="AI178" i="9"/>
  <c r="AI163" i="9" s="1"/>
  <c r="X178" i="9"/>
  <c r="X163" i="9" s="1"/>
  <c r="AB178" i="9"/>
  <c r="AB163" i="9" s="1"/>
  <c r="AW176" i="9"/>
  <c r="AW161" i="9" s="1"/>
  <c r="AK178" i="9"/>
  <c r="AK163" i="9" s="1"/>
  <c r="AT178" i="9"/>
  <c r="AT163" i="9" s="1"/>
  <c r="AY178" i="9"/>
  <c r="AY163" i="9" s="1"/>
  <c r="AV178" i="9"/>
  <c r="AV163" i="9" s="1"/>
  <c r="Q178" i="9"/>
  <c r="Q163" i="9" s="1"/>
  <c r="AW178" i="9"/>
  <c r="AW163" i="9" s="1"/>
  <c r="AX178" i="9"/>
  <c r="AX163" i="9" s="1"/>
  <c r="AE176" i="9"/>
  <c r="AE161" i="9" s="1"/>
  <c r="T178" i="9"/>
  <c r="T163" i="9" s="1"/>
  <c r="AC178" i="9"/>
  <c r="AC163" i="9" s="1"/>
  <c r="AH178" i="9"/>
  <c r="AH163" i="9" s="1"/>
  <c r="AZ176" i="9"/>
  <c r="AZ161" i="9" s="1"/>
  <c r="BA176" i="9"/>
  <c r="BA161" i="9" s="1"/>
  <c r="AA176" i="9"/>
  <c r="AA161" i="9" s="1"/>
  <c r="AJ178" i="9"/>
  <c r="AJ163" i="9" s="1"/>
  <c r="AC176" i="9"/>
  <c r="AC161" i="9" s="1"/>
  <c r="AU176" i="9"/>
  <c r="AU161" i="9" s="1"/>
  <c r="S176" i="9"/>
  <c r="S161" i="9" s="1"/>
  <c r="AP176" i="9"/>
  <c r="AP161" i="9" s="1"/>
  <c r="W176" i="9"/>
  <c r="W161" i="9" s="1"/>
  <c r="AZ178" i="9"/>
  <c r="AZ163" i="9" s="1"/>
  <c r="AK176" i="9"/>
  <c r="AK161" i="9" s="1"/>
  <c r="AT176" i="9"/>
  <c r="AT161" i="9" s="1"/>
  <c r="Y178" i="9"/>
  <c r="Y163" i="9" s="1"/>
  <c r="U176" i="9"/>
  <c r="U161" i="9" s="1"/>
  <c r="AP178" i="9"/>
  <c r="AP163" i="9" s="1"/>
  <c r="AQ176" i="9"/>
  <c r="AQ161" i="9" s="1"/>
  <c r="AQ178" i="9"/>
  <c r="AQ163" i="9" s="1"/>
  <c r="Y176" i="9"/>
  <c r="Y161" i="9" s="1"/>
  <c r="AR176" i="9"/>
  <c r="AR161" i="9" s="1"/>
  <c r="AE178" i="9"/>
  <c r="AE163" i="9" s="1"/>
  <c r="Z178" i="9"/>
  <c r="Z163" i="9" s="1"/>
  <c r="AW149" i="6"/>
  <c r="AX105" i="9"/>
  <c r="AX95" i="8"/>
  <c r="AX8" i="8" s="1"/>
  <c r="AW105" i="8"/>
  <c r="AY95" i="9"/>
  <c r="AY8" i="9" s="1"/>
  <c r="AY106" i="9"/>
  <c r="AY156" i="9"/>
  <c r="AY82" i="9" s="1"/>
  <c r="AZ13" i="9"/>
  <c r="AZ97" i="9"/>
  <c r="AZ145" i="6" s="1"/>
  <c r="AZ40" i="9"/>
  <c r="AZ164" i="9"/>
  <c r="AZ158" i="9"/>
  <c r="AZ107" i="9" s="1"/>
  <c r="AZ146" i="6" s="1"/>
  <c r="AZ164" i="8"/>
  <c r="AZ97" i="8"/>
  <c r="AZ111" i="6" s="1"/>
  <c r="AZ158" i="8"/>
  <c r="AZ107" i="8" s="1"/>
  <c r="AZ112" i="6" s="1"/>
  <c r="AZ13" i="8"/>
  <c r="AZ40" i="8"/>
  <c r="AZ96" i="9"/>
  <c r="AZ150" i="6" s="1"/>
  <c r="AZ72" i="9"/>
  <c r="AZ41" i="9"/>
  <c r="AZ14" i="9"/>
  <c r="AZ165" i="9"/>
  <c r="AZ157" i="9"/>
  <c r="AP177" i="8"/>
  <c r="AR177" i="8"/>
  <c r="AX177" i="8"/>
  <c r="AJ177" i="8"/>
  <c r="AF177" i="8"/>
  <c r="AV177" i="8"/>
  <c r="AB177" i="8"/>
  <c r="AG177" i="8"/>
  <c r="S177" i="8"/>
  <c r="AI177" i="8"/>
  <c r="Z177" i="8"/>
  <c r="AH177" i="8"/>
  <c r="AO177" i="8"/>
  <c r="AE177" i="8"/>
  <c r="W177" i="8"/>
  <c r="AA177" i="8"/>
  <c r="AU177" i="8"/>
  <c r="AM177" i="8"/>
  <c r="AY177" i="8"/>
  <c r="X177" i="8"/>
  <c r="AK177" i="8"/>
  <c r="T177" i="8"/>
  <c r="AC177" i="8"/>
  <c r="Y177" i="8"/>
  <c r="AD177" i="8"/>
  <c r="AS177" i="8"/>
  <c r="U177" i="8"/>
  <c r="AQ177" i="8"/>
  <c r="V177" i="8"/>
  <c r="AT177" i="8"/>
  <c r="R177" i="8"/>
  <c r="AZ177" i="8"/>
  <c r="AN177" i="8"/>
  <c r="AL177" i="8"/>
  <c r="AW177" i="8"/>
  <c r="Q177" i="8"/>
  <c r="BA177" i="8"/>
  <c r="AZ176" i="8"/>
  <c r="AA176" i="8"/>
  <c r="AJ178" i="8"/>
  <c r="AJ176" i="8"/>
  <c r="V176" i="8"/>
  <c r="T176" i="8"/>
  <c r="AU176" i="8"/>
  <c r="AP176" i="8"/>
  <c r="AT178" i="8"/>
  <c r="AK178" i="8"/>
  <c r="AL178" i="8"/>
  <c r="AV178" i="8"/>
  <c r="AL176" i="8"/>
  <c r="T178" i="8"/>
  <c r="AI176" i="8"/>
  <c r="W176" i="8"/>
  <c r="AQ178" i="8"/>
  <c r="AR178" i="8"/>
  <c r="AZ178" i="8"/>
  <c r="AD178" i="8"/>
  <c r="Y176" i="8"/>
  <c r="R176" i="8"/>
  <c r="AB178" i="8"/>
  <c r="Q176" i="8"/>
  <c r="AR176" i="8"/>
  <c r="U178" i="8"/>
  <c r="V178" i="8"/>
  <c r="S178" i="8"/>
  <c r="BA176" i="8"/>
  <c r="AO178" i="8"/>
  <c r="AF176" i="8"/>
  <c r="AM178" i="8"/>
  <c r="W178" i="8"/>
  <c r="AQ176" i="8"/>
  <c r="AO176" i="8"/>
  <c r="AA178" i="8"/>
  <c r="AT176" i="8"/>
  <c r="Q178" i="8"/>
  <c r="AW178" i="8"/>
  <c r="AS176" i="8"/>
  <c r="AI178" i="8"/>
  <c r="AY176" i="8"/>
  <c r="AU178" i="8"/>
  <c r="AS178" i="8"/>
  <c r="R178" i="8"/>
  <c r="AC176" i="8"/>
  <c r="AN178" i="8"/>
  <c r="AV176" i="8"/>
  <c r="AD176" i="8"/>
  <c r="AG176" i="8"/>
  <c r="AF178" i="8"/>
  <c r="AG178" i="8"/>
  <c r="X178" i="8"/>
  <c r="AN176" i="8"/>
  <c r="S176" i="8"/>
  <c r="U176" i="8"/>
  <c r="AH178" i="8"/>
  <c r="AX176" i="8"/>
  <c r="AY178" i="8"/>
  <c r="BA178" i="8"/>
  <c r="X176" i="8"/>
  <c r="Z176" i="8"/>
  <c r="AP178" i="8"/>
  <c r="AW176" i="8"/>
  <c r="Z178" i="8"/>
  <c r="AK176" i="8"/>
  <c r="AH176" i="8"/>
  <c r="AE178" i="8"/>
  <c r="Y178" i="8"/>
  <c r="AX178" i="8"/>
  <c r="AE176" i="8"/>
  <c r="AC178" i="8"/>
  <c r="AB176" i="8"/>
  <c r="AM176" i="8"/>
  <c r="AX156" i="8"/>
  <c r="AX82" i="8" s="1"/>
  <c r="AX106" i="8"/>
  <c r="AZ48" i="4"/>
  <c r="AY165" i="8"/>
  <c r="AY157" i="8"/>
  <c r="AY96" i="8"/>
  <c r="AY72" i="8"/>
  <c r="AY41" i="8"/>
  <c r="AY14" i="8"/>
  <c r="AY2" i="2"/>
  <c r="AZ177" i="2"/>
  <c r="S177" i="2"/>
  <c r="S162" i="2" s="1"/>
  <c r="Z177" i="2"/>
  <c r="Z162" i="2" s="1"/>
  <c r="W177" i="2"/>
  <c r="W162" i="2" s="1"/>
  <c r="AM177" i="2"/>
  <c r="AM162" i="2" s="1"/>
  <c r="AI177" i="2"/>
  <c r="AI162" i="2" s="1"/>
  <c r="AD177" i="2"/>
  <c r="AD162" i="2" s="1"/>
  <c r="R177" i="2"/>
  <c r="R162" i="2" s="1"/>
  <c r="AN177" i="2"/>
  <c r="AN162" i="2" s="1"/>
  <c r="U177" i="2"/>
  <c r="U162" i="2" s="1"/>
  <c r="AC177" i="2"/>
  <c r="AC162" i="2" s="1"/>
  <c r="AH177" i="2"/>
  <c r="AH162" i="2" s="1"/>
  <c r="X177" i="2"/>
  <c r="X162" i="2" s="1"/>
  <c r="AP177" i="2"/>
  <c r="AP162" i="2" s="1"/>
  <c r="AX177" i="2"/>
  <c r="AX162" i="2" s="1"/>
  <c r="AR177" i="2"/>
  <c r="AR162" i="2" s="1"/>
  <c r="AK177" i="2"/>
  <c r="AK162" i="2" s="1"/>
  <c r="Q177" i="2"/>
  <c r="Q162" i="2" s="1"/>
  <c r="AQ177" i="2"/>
  <c r="AQ162" i="2" s="1"/>
  <c r="AL177" i="2"/>
  <c r="AL162" i="2" s="1"/>
  <c r="AY177" i="2"/>
  <c r="AY162" i="2" s="1"/>
  <c r="AB177" i="2"/>
  <c r="AB162" i="2" s="1"/>
  <c r="T177" i="2"/>
  <c r="T162" i="2" s="1"/>
  <c r="AV177" i="2"/>
  <c r="AV162" i="2" s="1"/>
  <c r="AS177" i="2"/>
  <c r="AS162" i="2" s="1"/>
  <c r="AE177" i="2"/>
  <c r="AE162" i="2" s="1"/>
  <c r="AF177" i="2"/>
  <c r="AF162" i="2" s="1"/>
  <c r="AT177" i="2"/>
  <c r="AT162" i="2" s="1"/>
  <c r="AA177" i="2"/>
  <c r="AA162" i="2" s="1"/>
  <c r="AU177" i="2"/>
  <c r="AU162" i="2" s="1"/>
  <c r="AW177" i="2"/>
  <c r="AW162" i="2" s="1"/>
  <c r="BA177" i="2"/>
  <c r="BA162" i="2" s="1"/>
  <c r="AG177" i="2"/>
  <c r="AG162" i="2" s="1"/>
  <c r="Y177" i="2"/>
  <c r="Y162" i="2" s="1"/>
  <c r="AO177" i="2"/>
  <c r="AO162" i="2" s="1"/>
  <c r="V177" i="2"/>
  <c r="V162" i="2" s="1"/>
  <c r="AJ177" i="2"/>
  <c r="AJ162" i="2" s="1"/>
  <c r="AA176" i="2"/>
  <c r="AA161" i="2" s="1"/>
  <c r="W178" i="2"/>
  <c r="W163" i="2" s="1"/>
  <c r="AB178" i="2"/>
  <c r="AB163" i="2" s="1"/>
  <c r="Z176" i="2"/>
  <c r="Z161" i="2" s="1"/>
  <c r="AV176" i="2"/>
  <c r="AV161" i="2" s="1"/>
  <c r="X176" i="2"/>
  <c r="X161" i="2" s="1"/>
  <c r="AY176" i="2"/>
  <c r="AY161" i="2" s="1"/>
  <c r="AE176" i="2"/>
  <c r="AE161" i="2" s="1"/>
  <c r="AN176" i="2"/>
  <c r="AN161" i="2" s="1"/>
  <c r="AZ176" i="2"/>
  <c r="AJ178" i="2"/>
  <c r="AJ163" i="2" s="1"/>
  <c r="AP178" i="2"/>
  <c r="AP163" i="2" s="1"/>
  <c r="U176" i="2"/>
  <c r="U161" i="2" s="1"/>
  <c r="S176" i="2"/>
  <c r="S161" i="2" s="1"/>
  <c r="BA178" i="2"/>
  <c r="BA163" i="2" s="1"/>
  <c r="AH176" i="2"/>
  <c r="AH161" i="2" s="1"/>
  <c r="AY178" i="2"/>
  <c r="AY163" i="2" s="1"/>
  <c r="AF178" i="2"/>
  <c r="AF163" i="2" s="1"/>
  <c r="AC176" i="2"/>
  <c r="AC161" i="2" s="1"/>
  <c r="V176" i="2"/>
  <c r="V161" i="2" s="1"/>
  <c r="Z178" i="2"/>
  <c r="Z163" i="2" s="1"/>
  <c r="R178" i="2"/>
  <c r="R163" i="2" s="1"/>
  <c r="BA176" i="2"/>
  <c r="BA161" i="2" s="1"/>
  <c r="AA178" i="2"/>
  <c r="AA163" i="2" s="1"/>
  <c r="T178" i="2"/>
  <c r="T163" i="2" s="1"/>
  <c r="AX178" i="2"/>
  <c r="AX163" i="2" s="1"/>
  <c r="AK178" i="2"/>
  <c r="AK163" i="2" s="1"/>
  <c r="AN178" i="2"/>
  <c r="AN163" i="2" s="1"/>
  <c r="AR178" i="2"/>
  <c r="AR163" i="2" s="1"/>
  <c r="AQ176" i="2"/>
  <c r="AQ161" i="2" s="1"/>
  <c r="Y176" i="2"/>
  <c r="Y161" i="2" s="1"/>
  <c r="AJ176" i="2"/>
  <c r="AJ161" i="2" s="1"/>
  <c r="AO176" i="2"/>
  <c r="AO161" i="2" s="1"/>
  <c r="AP176" i="2"/>
  <c r="AP161" i="2" s="1"/>
  <c r="AL176" i="2"/>
  <c r="AL161" i="2" s="1"/>
  <c r="AR176" i="2"/>
  <c r="AR161" i="2" s="1"/>
  <c r="AH178" i="2"/>
  <c r="AH163" i="2" s="1"/>
  <c r="AD178" i="2"/>
  <c r="AD163" i="2" s="1"/>
  <c r="R176" i="2"/>
  <c r="R161" i="2" s="1"/>
  <c r="W176" i="2"/>
  <c r="W161" i="2" s="1"/>
  <c r="AS178" i="2"/>
  <c r="AS163" i="2" s="1"/>
  <c r="V178" i="2"/>
  <c r="V163" i="2" s="1"/>
  <c r="AI178" i="2"/>
  <c r="AI163" i="2" s="1"/>
  <c r="AG176" i="2"/>
  <c r="AG161" i="2" s="1"/>
  <c r="AX176" i="2"/>
  <c r="AX161" i="2" s="1"/>
  <c r="AM176" i="2"/>
  <c r="AM161" i="2" s="1"/>
  <c r="AZ178" i="2"/>
  <c r="AZ163" i="2" s="1"/>
  <c r="Q176" i="2"/>
  <c r="Q161" i="2" s="1"/>
  <c r="T176" i="2"/>
  <c r="T161" i="2" s="1"/>
  <c r="AU178" i="2"/>
  <c r="AU163" i="2" s="1"/>
  <c r="AT178" i="2"/>
  <c r="AT163" i="2" s="1"/>
  <c r="AK176" i="2"/>
  <c r="AK161" i="2" s="1"/>
  <c r="AF176" i="2"/>
  <c r="AF161" i="2" s="1"/>
  <c r="AC178" i="2"/>
  <c r="AC163" i="2" s="1"/>
  <c r="AD176" i="2"/>
  <c r="AD161" i="2" s="1"/>
  <c r="AT176" i="2"/>
  <c r="AT161" i="2" s="1"/>
  <c r="AW178" i="2"/>
  <c r="AW163" i="2" s="1"/>
  <c r="AL178" i="2"/>
  <c r="AL163" i="2" s="1"/>
  <c r="AG178" i="2"/>
  <c r="AG163" i="2" s="1"/>
  <c r="Y178" i="2"/>
  <c r="Y163" i="2" s="1"/>
  <c r="AU176" i="2"/>
  <c r="AU161" i="2" s="1"/>
  <c r="AE178" i="2"/>
  <c r="AE163" i="2" s="1"/>
  <c r="AM178" i="2"/>
  <c r="AM163" i="2" s="1"/>
  <c r="Q178" i="2"/>
  <c r="Q163" i="2" s="1"/>
  <c r="AB176" i="2"/>
  <c r="AB161" i="2" s="1"/>
  <c r="AS176" i="2"/>
  <c r="AS161" i="2" s="1"/>
  <c r="AQ178" i="2"/>
  <c r="AQ163" i="2" s="1"/>
  <c r="AW176" i="2"/>
  <c r="AW161" i="2" s="1"/>
  <c r="AO178" i="2"/>
  <c r="AO163" i="2" s="1"/>
  <c r="S178" i="2"/>
  <c r="S163" i="2" s="1"/>
  <c r="U178" i="2"/>
  <c r="U163" i="2" s="1"/>
  <c r="AV178" i="2"/>
  <c r="AV163" i="2" s="1"/>
  <c r="AI176" i="2"/>
  <c r="AI161" i="2" s="1"/>
  <c r="X178" i="2"/>
  <c r="X163" i="2" s="1"/>
  <c r="AV81" i="6"/>
  <c r="AY96" i="2"/>
  <c r="AY82" i="6" s="1"/>
  <c r="AY157" i="2"/>
  <c r="AY165" i="2"/>
  <c r="AW105" i="2"/>
  <c r="AX95" i="2"/>
  <c r="AX8" i="2" s="1"/>
  <c r="AZ97" i="2"/>
  <c r="AZ77" i="6" s="1"/>
  <c r="AZ164" i="2"/>
  <c r="AZ158" i="2"/>
  <c r="AZ107" i="2" s="1"/>
  <c r="AZ78" i="6" s="1"/>
  <c r="AX106" i="2"/>
  <c r="AX83" i="6" s="1"/>
  <c r="AW82" i="2"/>
  <c r="AY72" i="2"/>
  <c r="BA127" i="2"/>
  <c r="N127" i="2" s="1"/>
  <c r="AX156" i="2"/>
  <c r="AY14" i="2"/>
  <c r="AY41" i="2"/>
  <c r="AZ40" i="2"/>
  <c r="AZ13" i="2"/>
  <c r="AZ77" i="2"/>
  <c r="AZ100" i="2" s="1"/>
  <c r="AZ86" i="6" s="1"/>
  <c r="BA42" i="4" a="1"/>
  <c r="BA42" i="4" s="1"/>
  <c r="BA73" i="2" s="1"/>
  <c r="AW177" i="13" l="1"/>
  <c r="AW35" i="13"/>
  <c r="AW33" i="13" s="1"/>
  <c r="K29" i="6"/>
  <c r="K46" i="6"/>
  <c r="K44" i="6"/>
  <c r="AY251" i="13"/>
  <c r="AY249" i="13" s="1"/>
  <c r="AY151" i="6"/>
  <c r="Q243" i="13"/>
  <c r="Q143" i="6"/>
  <c r="AY214" i="13"/>
  <c r="AY116" i="6"/>
  <c r="AX215" i="13"/>
  <c r="AX213" i="13" s="1"/>
  <c r="AX117" i="6"/>
  <c r="AX115" i="6" s="1"/>
  <c r="AY144" i="6"/>
  <c r="AY76" i="6"/>
  <c r="AY110" i="6"/>
  <c r="AY208" i="13"/>
  <c r="AZ173" i="13"/>
  <c r="AZ29" i="13" s="1"/>
  <c r="AZ245" i="13"/>
  <c r="AY244" i="13"/>
  <c r="N43" i="13"/>
  <c r="N189" i="13"/>
  <c r="AZ182" i="13"/>
  <c r="AZ38" i="13" s="1"/>
  <c r="AZ174" i="13"/>
  <c r="AZ30" i="13" s="1"/>
  <c r="AZ254" i="13"/>
  <c r="AZ250" i="13"/>
  <c r="AZ210" i="13"/>
  <c r="AY172" i="13"/>
  <c r="AY28" i="13"/>
  <c r="N44" i="13"/>
  <c r="N190" i="13"/>
  <c r="AZ209" i="13"/>
  <c r="N46" i="13"/>
  <c r="N192" i="13"/>
  <c r="AX179" i="13"/>
  <c r="AY178" i="13"/>
  <c r="AY34" i="13" s="1"/>
  <c r="AZ246" i="13"/>
  <c r="AZ218" i="13"/>
  <c r="N47" i="13"/>
  <c r="N193" i="13"/>
  <c r="X69" i="8"/>
  <c r="X39" i="8" s="1"/>
  <c r="X163" i="8"/>
  <c r="Y67" i="8"/>
  <c r="Y161" i="8"/>
  <c r="AS68" i="8"/>
  <c r="AS162" i="8"/>
  <c r="AI68" i="8"/>
  <c r="AI162" i="8"/>
  <c r="AE69" i="8"/>
  <c r="AE39" i="8" s="1"/>
  <c r="AE163" i="8"/>
  <c r="BA69" i="8"/>
  <c r="BA39" i="8" s="1"/>
  <c r="BA163" i="8"/>
  <c r="AG69" i="8"/>
  <c r="AG39" i="8" s="1"/>
  <c r="AG163" i="8"/>
  <c r="AS69" i="8"/>
  <c r="AS39" i="8" s="1"/>
  <c r="AS163" i="8"/>
  <c r="AA69" i="8"/>
  <c r="AA39" i="8" s="1"/>
  <c r="AA163" i="8"/>
  <c r="S69" i="8"/>
  <c r="S39" i="8" s="1"/>
  <c r="S163" i="8"/>
  <c r="AD69" i="8"/>
  <c r="AD39" i="8" s="1"/>
  <c r="AD163" i="8"/>
  <c r="AV69" i="8"/>
  <c r="AV39" i="8" s="1"/>
  <c r="AV163" i="8"/>
  <c r="AJ67" i="8"/>
  <c r="AJ161" i="8"/>
  <c r="AN68" i="8"/>
  <c r="AN162" i="8"/>
  <c r="AD68" i="8"/>
  <c r="AD162" i="8"/>
  <c r="AU68" i="8"/>
  <c r="AU162" i="8"/>
  <c r="S68" i="8"/>
  <c r="S162" i="8"/>
  <c r="AP68" i="8"/>
  <c r="AP162" i="8"/>
  <c r="Y69" i="8"/>
  <c r="Y39" i="8" s="1"/>
  <c r="Y163" i="8"/>
  <c r="AT67" i="8"/>
  <c r="AT161" i="8"/>
  <c r="V67" i="8"/>
  <c r="V161" i="8"/>
  <c r="AM68" i="8"/>
  <c r="AM162" i="8"/>
  <c r="AH67" i="8"/>
  <c r="AH161" i="8"/>
  <c r="AY69" i="8"/>
  <c r="AY39" i="8" s="1"/>
  <c r="AY163" i="8"/>
  <c r="AF69" i="8"/>
  <c r="AF39" i="8" s="1"/>
  <c r="AF163" i="8"/>
  <c r="AU69" i="8"/>
  <c r="AU39" i="8" s="1"/>
  <c r="AU163" i="8"/>
  <c r="AO67" i="8"/>
  <c r="AO161" i="8"/>
  <c r="V69" i="8"/>
  <c r="V39" i="8" s="1"/>
  <c r="V163" i="8"/>
  <c r="AZ69" i="8"/>
  <c r="AZ39" i="8" s="1"/>
  <c r="AZ163" i="8"/>
  <c r="AL69" i="8"/>
  <c r="AL39" i="8" s="1"/>
  <c r="AL163" i="8"/>
  <c r="AJ69" i="8"/>
  <c r="AJ39" i="8" s="1"/>
  <c r="AJ163" i="8"/>
  <c r="AZ68" i="8"/>
  <c r="AZ162" i="8"/>
  <c r="Y68" i="8"/>
  <c r="Y162" i="8"/>
  <c r="AA68" i="8"/>
  <c r="AA162" i="8"/>
  <c r="AG68" i="8"/>
  <c r="AG162" i="8"/>
  <c r="X67" i="8"/>
  <c r="X161" i="8"/>
  <c r="AL67" i="8"/>
  <c r="AL161" i="8"/>
  <c r="AM67" i="8"/>
  <c r="AM161" i="8"/>
  <c r="AK67" i="8"/>
  <c r="AK161" i="8"/>
  <c r="AX67" i="8"/>
  <c r="AX161" i="8"/>
  <c r="AG67" i="8"/>
  <c r="AG161" i="8"/>
  <c r="AY67" i="8"/>
  <c r="AY161" i="8"/>
  <c r="AQ67" i="8"/>
  <c r="AQ161" i="8"/>
  <c r="U69" i="8"/>
  <c r="U39" i="8" s="1"/>
  <c r="U163" i="8"/>
  <c r="AR69" i="8"/>
  <c r="AR39" i="8" s="1"/>
  <c r="AR163" i="8"/>
  <c r="AK69" i="8"/>
  <c r="AK39" i="8" s="1"/>
  <c r="AK163" i="8"/>
  <c r="AA67" i="8"/>
  <c r="AA161" i="8"/>
  <c r="R68" i="8"/>
  <c r="R162" i="8"/>
  <c r="AC68" i="8"/>
  <c r="AC162" i="8"/>
  <c r="W68" i="8"/>
  <c r="W162" i="8"/>
  <c r="AB68" i="8"/>
  <c r="AB162" i="8"/>
  <c r="R69" i="8"/>
  <c r="R39" i="8" s="1"/>
  <c r="R163" i="8"/>
  <c r="BA67" i="8"/>
  <c r="BA161" i="8"/>
  <c r="AL68" i="8"/>
  <c r="AL162" i="8"/>
  <c r="AR68" i="8"/>
  <c r="AR162" i="8"/>
  <c r="AB67" i="8"/>
  <c r="AB161" i="8"/>
  <c r="Z69" i="8"/>
  <c r="Z39" i="8" s="1"/>
  <c r="Z163" i="8"/>
  <c r="AH69" i="8"/>
  <c r="AH39" i="8" s="1"/>
  <c r="AH163" i="8"/>
  <c r="AD67" i="8"/>
  <c r="AD161" i="8"/>
  <c r="AI69" i="8"/>
  <c r="AI39" i="8" s="1"/>
  <c r="AI163" i="8"/>
  <c r="W69" i="8"/>
  <c r="W39" i="8" s="1"/>
  <c r="W163" i="8"/>
  <c r="AR67" i="8"/>
  <c r="AR161" i="8"/>
  <c r="AQ69" i="8"/>
  <c r="AQ39" i="8" s="1"/>
  <c r="AQ163" i="8"/>
  <c r="AT69" i="8"/>
  <c r="AT39" i="8" s="1"/>
  <c r="AT163" i="8"/>
  <c r="AZ67" i="8"/>
  <c r="AZ161" i="8"/>
  <c r="AT68" i="8"/>
  <c r="AT162" i="8"/>
  <c r="T68" i="8"/>
  <c r="T162" i="8"/>
  <c r="AE68" i="8"/>
  <c r="AE162" i="8"/>
  <c r="AV68" i="8"/>
  <c r="AV162" i="8"/>
  <c r="AW67" i="8"/>
  <c r="AW161" i="8"/>
  <c r="U67" i="8"/>
  <c r="U161" i="8"/>
  <c r="AS67" i="8"/>
  <c r="AS161" i="8"/>
  <c r="AM69" i="8"/>
  <c r="AM39" i="8" s="1"/>
  <c r="AM163" i="8"/>
  <c r="Q67" i="8"/>
  <c r="Q161" i="8"/>
  <c r="W67" i="8"/>
  <c r="W161" i="8"/>
  <c r="AP67" i="8"/>
  <c r="AP161" i="8"/>
  <c r="BA68" i="8"/>
  <c r="BA162" i="8"/>
  <c r="V68" i="8"/>
  <c r="V162" i="8"/>
  <c r="AK68" i="8"/>
  <c r="AK162" i="8"/>
  <c r="AO68" i="8"/>
  <c r="AO162" i="8"/>
  <c r="AF68" i="8"/>
  <c r="AF162" i="8"/>
  <c r="AC69" i="8"/>
  <c r="AC39" i="8" s="1"/>
  <c r="AC163" i="8"/>
  <c r="AV67" i="8"/>
  <c r="AV161" i="8"/>
  <c r="AE67" i="8"/>
  <c r="AE161" i="8"/>
  <c r="AP69" i="8"/>
  <c r="AP39" i="8" s="1"/>
  <c r="AP163" i="8"/>
  <c r="S67" i="8"/>
  <c r="S161" i="8"/>
  <c r="AN69" i="8"/>
  <c r="AN39" i="8" s="1"/>
  <c r="AN163" i="8"/>
  <c r="AW69" i="8"/>
  <c r="AW39" i="8" s="1"/>
  <c r="AW163" i="8"/>
  <c r="AF67" i="8"/>
  <c r="AF161" i="8"/>
  <c r="AB69" i="8"/>
  <c r="AB39" i="8" s="1"/>
  <c r="AB163" i="8"/>
  <c r="AI67" i="8"/>
  <c r="AI161" i="8"/>
  <c r="AU67" i="8"/>
  <c r="AU161" i="8"/>
  <c r="Q68" i="8"/>
  <c r="Q162" i="8"/>
  <c r="AQ68" i="8"/>
  <c r="AQ162" i="8"/>
  <c r="X68" i="8"/>
  <c r="X162" i="8"/>
  <c r="AH68" i="8"/>
  <c r="AH162" i="8"/>
  <c r="AJ68" i="8"/>
  <c r="AJ162" i="8"/>
  <c r="AX69" i="8"/>
  <c r="AX39" i="8" s="1"/>
  <c r="AX163" i="8"/>
  <c r="Z67" i="8"/>
  <c r="Z161" i="8"/>
  <c r="AN67" i="8"/>
  <c r="AN161" i="8"/>
  <c r="AC67" i="8"/>
  <c r="AC161" i="8"/>
  <c r="Q69" i="8"/>
  <c r="Q163" i="8"/>
  <c r="AO69" i="8"/>
  <c r="AO39" i="8" s="1"/>
  <c r="AO163" i="8"/>
  <c r="R67" i="8"/>
  <c r="R161" i="8"/>
  <c r="T69" i="8"/>
  <c r="T39" i="8" s="1"/>
  <c r="T163" i="8"/>
  <c r="T67" i="8"/>
  <c r="T161" i="8"/>
  <c r="AW68" i="8"/>
  <c r="AW162" i="8"/>
  <c r="U68" i="8"/>
  <c r="U162" i="8"/>
  <c r="AY68" i="8"/>
  <c r="AY162" i="8"/>
  <c r="Z68" i="8"/>
  <c r="Z162" i="8"/>
  <c r="AX68" i="8"/>
  <c r="AX162" i="8"/>
  <c r="AZ68" i="2"/>
  <c r="AZ162" i="2"/>
  <c r="AZ67" i="2"/>
  <c r="AZ161" i="2"/>
  <c r="BA68" i="4"/>
  <c r="BA2" i="8" s="1"/>
  <c r="BA77" i="9"/>
  <c r="BA100" i="9" s="1"/>
  <c r="BA88" i="4"/>
  <c r="BA2" i="9" s="1"/>
  <c r="Q103" i="8"/>
  <c r="AR67" i="9"/>
  <c r="AR37" i="9"/>
  <c r="AR175" i="9"/>
  <c r="AK67" i="9"/>
  <c r="AK37" i="9"/>
  <c r="AK175" i="9"/>
  <c r="AA67" i="9"/>
  <c r="AA37" i="9"/>
  <c r="AA175" i="9"/>
  <c r="AW69" i="9"/>
  <c r="AW39" i="9" s="1"/>
  <c r="X69" i="9"/>
  <c r="X39" i="9" s="1"/>
  <c r="AO69" i="9"/>
  <c r="AO39" i="9" s="1"/>
  <c r="AG69" i="9"/>
  <c r="AG39" i="9" s="1"/>
  <c r="AS69" i="9"/>
  <c r="AS39" i="9" s="1"/>
  <c r="AD69" i="9"/>
  <c r="AD39" i="9" s="1"/>
  <c r="Y68" i="9"/>
  <c r="Y38" i="9"/>
  <c r="AH68" i="9"/>
  <c r="AH38" i="9"/>
  <c r="AL68" i="9"/>
  <c r="AL38" i="9"/>
  <c r="S68" i="9"/>
  <c r="S38" i="9"/>
  <c r="AF68" i="9"/>
  <c r="AF38" i="9"/>
  <c r="BA67" i="9"/>
  <c r="BA37" i="9"/>
  <c r="BA175" i="9"/>
  <c r="AA69" i="9"/>
  <c r="AA39" i="9" s="1"/>
  <c r="AK68" i="9"/>
  <c r="AK38" i="9"/>
  <c r="AQ69" i="9"/>
  <c r="AQ39" i="9" s="1"/>
  <c r="W67" i="9"/>
  <c r="W37" i="9"/>
  <c r="W175" i="9"/>
  <c r="AZ67" i="9"/>
  <c r="AZ37" i="9"/>
  <c r="AZ175" i="9"/>
  <c r="AV69" i="9"/>
  <c r="AV39" i="9" s="1"/>
  <c r="AM67" i="9"/>
  <c r="AM37" i="9"/>
  <c r="AM175" i="9"/>
  <c r="AJ67" i="9"/>
  <c r="AJ37" i="9"/>
  <c r="AJ175" i="9"/>
  <c r="U69" i="9"/>
  <c r="U39" i="9" s="1"/>
  <c r="V67" i="9"/>
  <c r="V37" i="9"/>
  <c r="V175" i="9"/>
  <c r="W69" i="9"/>
  <c r="W39" i="9" s="1"/>
  <c r="AN68" i="9"/>
  <c r="AN38" i="9"/>
  <c r="AD68" i="9"/>
  <c r="AD38" i="9"/>
  <c r="AQ68" i="9"/>
  <c r="AQ38" i="9"/>
  <c r="AP68" i="9"/>
  <c r="AP38" i="9"/>
  <c r="AV68" i="9"/>
  <c r="AV38" i="9"/>
  <c r="Y67" i="9"/>
  <c r="Y37" i="9"/>
  <c r="Y175" i="9"/>
  <c r="AI69" i="9"/>
  <c r="AI39" i="9" s="1"/>
  <c r="AU69" i="9"/>
  <c r="AU39" i="9" s="1"/>
  <c r="AM68" i="9"/>
  <c r="AM38" i="9"/>
  <c r="AB68" i="9"/>
  <c r="AB38" i="9"/>
  <c r="AQ67" i="9"/>
  <c r="AQ37" i="9"/>
  <c r="AQ175" i="9"/>
  <c r="AP67" i="9"/>
  <c r="AP37" i="9"/>
  <c r="AP175" i="9"/>
  <c r="AH69" i="9"/>
  <c r="AH39" i="9" s="1"/>
  <c r="AY69" i="9"/>
  <c r="AY39" i="9" s="1"/>
  <c r="S69" i="9"/>
  <c r="S39" i="9" s="1"/>
  <c r="AI67" i="9"/>
  <c r="AI37" i="9"/>
  <c r="AI175" i="9"/>
  <c r="AF67" i="9"/>
  <c r="AF37" i="9"/>
  <c r="AF175" i="9"/>
  <c r="AF69" i="9"/>
  <c r="AF39" i="9" s="1"/>
  <c r="R69" i="9"/>
  <c r="R39" i="9" s="1"/>
  <c r="AE68" i="9"/>
  <c r="AE38" i="9"/>
  <c r="AW68" i="9"/>
  <c r="AW38" i="9"/>
  <c r="AO68" i="9"/>
  <c r="AO38" i="9"/>
  <c r="AY68" i="9"/>
  <c r="AY38" i="9"/>
  <c r="U68" i="9"/>
  <c r="U38" i="9"/>
  <c r="AZ69" i="9"/>
  <c r="AZ39" i="9" s="1"/>
  <c r="X67" i="9"/>
  <c r="X37" i="9"/>
  <c r="X175" i="9"/>
  <c r="AJ68" i="9"/>
  <c r="AJ38" i="9"/>
  <c r="AP69" i="9"/>
  <c r="AP39" i="9" s="1"/>
  <c r="S67" i="9"/>
  <c r="S37" i="9"/>
  <c r="S175" i="9"/>
  <c r="AC69" i="9"/>
  <c r="AC39" i="9" s="1"/>
  <c r="AT69" i="9"/>
  <c r="AT39" i="9" s="1"/>
  <c r="AR69" i="9"/>
  <c r="AR39" i="9" s="1"/>
  <c r="AS67" i="9"/>
  <c r="AS37" i="9"/>
  <c r="AS175" i="9"/>
  <c r="AM69" i="9"/>
  <c r="AM39" i="9" s="1"/>
  <c r="R67" i="9"/>
  <c r="R37" i="9"/>
  <c r="R175" i="9"/>
  <c r="AY67" i="9"/>
  <c r="AY37" i="9"/>
  <c r="AY175" i="9"/>
  <c r="Q101" i="9"/>
  <c r="Z68" i="9"/>
  <c r="Z38" i="9"/>
  <c r="AU68" i="9"/>
  <c r="AU38" i="9"/>
  <c r="AX68" i="9"/>
  <c r="AX38" i="9"/>
  <c r="AI68" i="9"/>
  <c r="AI38" i="9"/>
  <c r="AZ68" i="9"/>
  <c r="AZ38" i="9"/>
  <c r="Q69" i="9"/>
  <c r="N178" i="9"/>
  <c r="AD67" i="9"/>
  <c r="AD37" i="9"/>
  <c r="AD175" i="9"/>
  <c r="V68" i="9"/>
  <c r="V38" i="9"/>
  <c r="U67" i="9"/>
  <c r="U37" i="9"/>
  <c r="U175" i="9"/>
  <c r="AU67" i="9"/>
  <c r="AU37" i="9"/>
  <c r="AU175" i="9"/>
  <c r="T69" i="9"/>
  <c r="T39" i="9" s="1"/>
  <c r="AK69" i="9"/>
  <c r="AK39" i="9" s="1"/>
  <c r="AB67" i="9"/>
  <c r="AB37" i="9"/>
  <c r="AB175" i="9"/>
  <c r="AH67" i="9"/>
  <c r="AH37" i="9"/>
  <c r="AH175" i="9"/>
  <c r="AX67" i="9"/>
  <c r="AX37" i="9"/>
  <c r="AX175" i="9"/>
  <c r="T67" i="9"/>
  <c r="T37" i="9"/>
  <c r="T175" i="9"/>
  <c r="AG67" i="9"/>
  <c r="AG37" i="9"/>
  <c r="AG175" i="9"/>
  <c r="AT68" i="9"/>
  <c r="AT38" i="9"/>
  <c r="AA68" i="9"/>
  <c r="AA38" i="9"/>
  <c r="BA68" i="9"/>
  <c r="BA38" i="9"/>
  <c r="X68" i="9"/>
  <c r="X38" i="9"/>
  <c r="Z69" i="9"/>
  <c r="Z39" i="9" s="1"/>
  <c r="Y69" i="9"/>
  <c r="Y39" i="9" s="1"/>
  <c r="AC67" i="9"/>
  <c r="AC37" i="9"/>
  <c r="AC175" i="9"/>
  <c r="AE67" i="9"/>
  <c r="AE37" i="9"/>
  <c r="AE175" i="9"/>
  <c r="AW67" i="9"/>
  <c r="AW37" i="9"/>
  <c r="AW175" i="9"/>
  <c r="V69" i="9"/>
  <c r="V39" i="9" s="1"/>
  <c r="AN67" i="9"/>
  <c r="AN37" i="9"/>
  <c r="AN175" i="9"/>
  <c r="BA69" i="9"/>
  <c r="BA39" i="9" s="1"/>
  <c r="AV67" i="9"/>
  <c r="AV37" i="9"/>
  <c r="AV175" i="9"/>
  <c r="AL67" i="9"/>
  <c r="AL37" i="9"/>
  <c r="AL175" i="9"/>
  <c r="R68" i="9"/>
  <c r="R38" i="9"/>
  <c r="AC68" i="9"/>
  <c r="AC38" i="9"/>
  <c r="T68" i="9"/>
  <c r="T38" i="9"/>
  <c r="W68" i="9"/>
  <c r="W38" i="9"/>
  <c r="BA73" i="9"/>
  <c r="N73" i="9" s="1"/>
  <c r="BA77" i="8"/>
  <c r="AE69" i="9"/>
  <c r="AE39" i="9" s="1"/>
  <c r="AT67" i="9"/>
  <c r="AT37" i="9"/>
  <c r="AT175" i="9"/>
  <c r="AJ69" i="9"/>
  <c r="AJ39" i="9" s="1"/>
  <c r="AX69" i="9"/>
  <c r="AX39" i="9" s="1"/>
  <c r="AB69" i="9"/>
  <c r="AB39" i="9" s="1"/>
  <c r="Z67" i="9"/>
  <c r="Z37" i="9"/>
  <c r="Z175" i="9"/>
  <c r="AN69" i="9"/>
  <c r="AN39" i="9" s="1"/>
  <c r="AO67" i="9"/>
  <c r="AO37" i="9"/>
  <c r="AO175" i="9"/>
  <c r="Q67" i="9"/>
  <c r="Q37" i="9"/>
  <c r="N176" i="9"/>
  <c r="Q175" i="9"/>
  <c r="AL69" i="9"/>
  <c r="AL39" i="9" s="1"/>
  <c r="AR68" i="9"/>
  <c r="AR38" i="9"/>
  <c r="AS68" i="9"/>
  <c r="AS38" i="9"/>
  <c r="Q68" i="9"/>
  <c r="N177" i="9"/>
  <c r="Q38" i="9"/>
  <c r="AG68" i="9"/>
  <c r="AG38" i="9"/>
  <c r="AQ69" i="2"/>
  <c r="AQ39" i="2" s="1"/>
  <c r="AG69" i="2"/>
  <c r="AG39" i="2" s="1"/>
  <c r="AT69" i="2"/>
  <c r="AT39" i="2" s="1"/>
  <c r="AI69" i="2"/>
  <c r="AI39" i="2" s="1"/>
  <c r="AL67" i="2"/>
  <c r="AK69" i="2"/>
  <c r="AK39" i="2" s="1"/>
  <c r="AC67" i="2"/>
  <c r="AJ69" i="2"/>
  <c r="AJ39" i="2" s="1"/>
  <c r="AB69" i="2"/>
  <c r="AB39" i="2" s="1"/>
  <c r="Y68" i="2"/>
  <c r="AE68" i="2"/>
  <c r="Q68" i="2"/>
  <c r="U68" i="2"/>
  <c r="S68" i="2"/>
  <c r="AL69" i="2"/>
  <c r="AL39" i="2" s="1"/>
  <c r="AU69" i="2"/>
  <c r="AU39" i="2" s="1"/>
  <c r="V69" i="2"/>
  <c r="V39" i="2" s="1"/>
  <c r="AP67" i="2"/>
  <c r="AX69" i="2"/>
  <c r="AX39" i="2" s="1"/>
  <c r="AF69" i="2"/>
  <c r="AF39" i="2" s="1"/>
  <c r="W69" i="2"/>
  <c r="W39" i="2" s="1"/>
  <c r="AG68" i="2"/>
  <c r="AS68" i="2"/>
  <c r="AK68" i="2"/>
  <c r="AN68" i="2"/>
  <c r="AS67" i="2"/>
  <c r="AI67" i="2"/>
  <c r="AB67" i="2"/>
  <c r="AW69" i="2"/>
  <c r="AW39" i="2" s="1"/>
  <c r="T67" i="2"/>
  <c r="AS69" i="2"/>
  <c r="AS39" i="2" s="1"/>
  <c r="AO67" i="2"/>
  <c r="T69" i="2"/>
  <c r="T39" i="2" s="1"/>
  <c r="AY69" i="2"/>
  <c r="AY39" i="2" s="1"/>
  <c r="AN67" i="2"/>
  <c r="AA67" i="2"/>
  <c r="BA68" i="2"/>
  <c r="AV38" i="2"/>
  <c r="AV68" i="2"/>
  <c r="AR68" i="2"/>
  <c r="R68" i="2"/>
  <c r="X69" i="2"/>
  <c r="X39" i="2" s="1"/>
  <c r="AT67" i="2"/>
  <c r="Q67" i="2"/>
  <c r="W67" i="2"/>
  <c r="AJ67" i="2"/>
  <c r="AA69" i="2"/>
  <c r="AA39" i="2" s="1"/>
  <c r="AH67" i="2"/>
  <c r="AE67" i="2"/>
  <c r="AW68" i="2"/>
  <c r="T68" i="2"/>
  <c r="AX68" i="2"/>
  <c r="AD68" i="2"/>
  <c r="U69" i="2"/>
  <c r="U39" i="2" s="1"/>
  <c r="AM69" i="2"/>
  <c r="AM39" i="2" s="1"/>
  <c r="AD67" i="2"/>
  <c r="AZ69" i="2"/>
  <c r="AZ39" i="2" s="1"/>
  <c r="R67" i="2"/>
  <c r="Y67" i="2"/>
  <c r="BA67" i="2"/>
  <c r="BA69" i="2"/>
  <c r="BA39" i="2" s="1"/>
  <c r="AY67" i="2"/>
  <c r="AU68" i="2"/>
  <c r="AB68" i="2"/>
  <c r="AP68" i="2"/>
  <c r="AI68" i="2"/>
  <c r="AV69" i="2"/>
  <c r="AV39" i="2" s="1"/>
  <c r="S69" i="2"/>
  <c r="S39" i="2" s="1"/>
  <c r="AC69" i="2"/>
  <c r="AC39" i="2" s="1"/>
  <c r="AM67" i="2"/>
  <c r="AQ67" i="2"/>
  <c r="R69" i="2"/>
  <c r="R39" i="2" s="1"/>
  <c r="S67" i="2"/>
  <c r="X67" i="2"/>
  <c r="AJ68" i="2"/>
  <c r="AA68" i="2"/>
  <c r="AY68" i="2"/>
  <c r="X68" i="2"/>
  <c r="AM68" i="2"/>
  <c r="Q69" i="2"/>
  <c r="AE69" i="2"/>
  <c r="AE39" i="2" s="1"/>
  <c r="AD69" i="2"/>
  <c r="AD39" i="2" s="1"/>
  <c r="AO69" i="2"/>
  <c r="AO39" i="2" s="1"/>
  <c r="AU67" i="2"/>
  <c r="AF67" i="2"/>
  <c r="AX67" i="2"/>
  <c r="AH69" i="2"/>
  <c r="AH39" i="2" s="1"/>
  <c r="AR69" i="2"/>
  <c r="AR39" i="2" s="1"/>
  <c r="Z69" i="2"/>
  <c r="Z39" i="2" s="1"/>
  <c r="U67" i="2"/>
  <c r="AV67" i="2"/>
  <c r="V68" i="2"/>
  <c r="AT68" i="2"/>
  <c r="AL68" i="2"/>
  <c r="AH68" i="2"/>
  <c r="W68" i="2"/>
  <c r="AW67" i="2"/>
  <c r="Y69" i="2"/>
  <c r="Y39" i="2" s="1"/>
  <c r="AK67" i="2"/>
  <c r="AG67" i="2"/>
  <c r="AR67" i="2"/>
  <c r="AN69" i="2"/>
  <c r="AN39" i="2" s="1"/>
  <c r="V67" i="2"/>
  <c r="AP69" i="2"/>
  <c r="AP39" i="2" s="1"/>
  <c r="Z67" i="2"/>
  <c r="AO68" i="2"/>
  <c r="AF68" i="2"/>
  <c r="AQ68" i="2"/>
  <c r="AC68" i="2"/>
  <c r="Z68" i="2"/>
  <c r="N94" i="6"/>
  <c r="N95" i="6"/>
  <c r="N92" i="6"/>
  <c r="AX149" i="6"/>
  <c r="AZ144" i="6"/>
  <c r="AY105" i="9"/>
  <c r="AW115" i="6"/>
  <c r="AX105" i="8"/>
  <c r="AY95" i="8"/>
  <c r="AY8" i="8" s="1"/>
  <c r="N128" i="6"/>
  <c r="K31" i="6" s="1"/>
  <c r="AZ95" i="9"/>
  <c r="AZ8" i="9" s="1"/>
  <c r="AZ156" i="9"/>
  <c r="AZ82" i="9" s="1"/>
  <c r="AZ106" i="9"/>
  <c r="BA13" i="8"/>
  <c r="N13" i="8" s="1"/>
  <c r="BA97" i="8"/>
  <c r="BA40" i="8"/>
  <c r="N40" i="8" s="1"/>
  <c r="BA158" i="8"/>
  <c r="BA164" i="8"/>
  <c r="N164" i="8" s="1"/>
  <c r="N74" i="8"/>
  <c r="BA97" i="9"/>
  <c r="BA40" i="9"/>
  <c r="N40" i="9" s="1"/>
  <c r="BA13" i="9"/>
  <c r="N13" i="9" s="1"/>
  <c r="BA158" i="9"/>
  <c r="BA164" i="9"/>
  <c r="N74" i="9"/>
  <c r="AZ2" i="2"/>
  <c r="AR38" i="8"/>
  <c r="AR175" i="8"/>
  <c r="AR37" i="8"/>
  <c r="AB175" i="8"/>
  <c r="AB37" i="8"/>
  <c r="AL175" i="8"/>
  <c r="AL37" i="8"/>
  <c r="AI175" i="8"/>
  <c r="AI37" i="8"/>
  <c r="S175" i="8"/>
  <c r="S37" i="8"/>
  <c r="N178" i="8"/>
  <c r="X38" i="8"/>
  <c r="AB38" i="8"/>
  <c r="AE38" i="8"/>
  <c r="Y38" i="8"/>
  <c r="Q175" i="8"/>
  <c r="N176" i="8"/>
  <c r="Q37" i="8"/>
  <c r="AV175" i="8"/>
  <c r="AV37" i="8"/>
  <c r="AK38" i="8"/>
  <c r="AZ175" i="8"/>
  <c r="AZ37" i="8"/>
  <c r="AC175" i="8"/>
  <c r="AC37" i="8"/>
  <c r="V175" i="8"/>
  <c r="V37" i="8"/>
  <c r="Z175" i="8"/>
  <c r="Z37" i="8"/>
  <c r="AT175" i="8"/>
  <c r="AT37" i="8"/>
  <c r="Z38" i="8"/>
  <c r="AQ38" i="8"/>
  <c r="V38" i="8"/>
  <c r="S38" i="8"/>
  <c r="AF38" i="8"/>
  <c r="AS175" i="8"/>
  <c r="AS37" i="8"/>
  <c r="R175" i="8"/>
  <c r="R37" i="8"/>
  <c r="AT38" i="8"/>
  <c r="AX38" i="8"/>
  <c r="AV38" i="8"/>
  <c r="AJ38" i="8"/>
  <c r="W38" i="8"/>
  <c r="AE175" i="8"/>
  <c r="AE37" i="8"/>
  <c r="AO175" i="8"/>
  <c r="AO37" i="8"/>
  <c r="AI38" i="8"/>
  <c r="X175" i="8"/>
  <c r="X37" i="8"/>
  <c r="AW175" i="8"/>
  <c r="AW37" i="8"/>
  <c r="AX175" i="8"/>
  <c r="AX37" i="8"/>
  <c r="Y175" i="8"/>
  <c r="Y37" i="8"/>
  <c r="AY156" i="8"/>
  <c r="AY82" i="8" s="1"/>
  <c r="AY106" i="8"/>
  <c r="AO38" i="8"/>
  <c r="U38" i="8"/>
  <c r="BA38" i="8"/>
  <c r="AW38" i="8"/>
  <c r="AS38" i="8"/>
  <c r="BA48" i="4"/>
  <c r="AP175" i="8"/>
  <c r="AP37" i="8"/>
  <c r="AK175" i="8"/>
  <c r="AK37" i="8"/>
  <c r="AY175" i="8"/>
  <c r="AY37" i="8"/>
  <c r="AA175" i="8"/>
  <c r="AA37" i="8"/>
  <c r="AY38" i="8"/>
  <c r="T38" i="8"/>
  <c r="AZ38" i="8"/>
  <c r="AG38" i="8"/>
  <c r="AU38" i="8"/>
  <c r="AH175" i="8"/>
  <c r="AH37" i="8"/>
  <c r="AN175" i="8"/>
  <c r="AN37" i="8"/>
  <c r="U175" i="8"/>
  <c r="U37" i="8"/>
  <c r="AJ175" i="8"/>
  <c r="AJ37" i="8"/>
  <c r="AQ175" i="8"/>
  <c r="AQ37" i="8"/>
  <c r="AU175" i="8"/>
  <c r="AU37" i="8"/>
  <c r="AM175" i="8"/>
  <c r="AM37" i="8"/>
  <c r="W175" i="8"/>
  <c r="W37" i="8"/>
  <c r="AZ165" i="8"/>
  <c r="AZ157" i="8"/>
  <c r="AZ72" i="8"/>
  <c r="AZ96" i="8"/>
  <c r="AZ41" i="8"/>
  <c r="AZ14" i="8"/>
  <c r="AP38" i="8"/>
  <c r="AL38" i="8"/>
  <c r="AC38" i="8"/>
  <c r="R38" i="8"/>
  <c r="AM38" i="8"/>
  <c r="T175" i="8"/>
  <c r="T37" i="8"/>
  <c r="AG175" i="8"/>
  <c r="AG37" i="8"/>
  <c r="BA175" i="8"/>
  <c r="BA37" i="8"/>
  <c r="AD175" i="8"/>
  <c r="AD37" i="8"/>
  <c r="AF175" i="8"/>
  <c r="AF37" i="8"/>
  <c r="AA38" i="8"/>
  <c r="AN38" i="8"/>
  <c r="AD38" i="8"/>
  <c r="N177" i="8"/>
  <c r="Q38" i="8"/>
  <c r="AH38" i="8"/>
  <c r="N91" i="6"/>
  <c r="AW81" i="6"/>
  <c r="BA97" i="2"/>
  <c r="BA158" i="2"/>
  <c r="BA107" i="2" s="1"/>
  <c r="BA78" i="6" s="1"/>
  <c r="BA164" i="2"/>
  <c r="AX105" i="2"/>
  <c r="AZ96" i="2"/>
  <c r="AZ82" i="6" s="1"/>
  <c r="AZ157" i="2"/>
  <c r="AZ165" i="2"/>
  <c r="AZ76" i="6"/>
  <c r="AY95" i="2"/>
  <c r="AY8" i="2" s="1"/>
  <c r="AY106" i="2"/>
  <c r="AY83" i="6" s="1"/>
  <c r="AX82" i="2"/>
  <c r="N74" i="2"/>
  <c r="AZ38" i="2"/>
  <c r="AZ72" i="2"/>
  <c r="AZ175" i="2"/>
  <c r="AX38" i="2"/>
  <c r="W38" i="2"/>
  <c r="Q38" i="2"/>
  <c r="AS175" i="2"/>
  <c r="AS37" i="2"/>
  <c r="AJ37" i="2"/>
  <c r="AJ175" i="2"/>
  <c r="Y37" i="2"/>
  <c r="Y175" i="2"/>
  <c r="U175" i="2"/>
  <c r="U37" i="2"/>
  <c r="AC175" i="2"/>
  <c r="AC37" i="2"/>
  <c r="AH38" i="2"/>
  <c r="AY38" i="2"/>
  <c r="AN38" i="2"/>
  <c r="AJ38" i="2"/>
  <c r="Z38" i="2"/>
  <c r="R38" i="2"/>
  <c r="AL175" i="2"/>
  <c r="AL37" i="2"/>
  <c r="AD175" i="2"/>
  <c r="AD37" i="2"/>
  <c r="Q37" i="2"/>
  <c r="Q175" i="2"/>
  <c r="AR38" i="2"/>
  <c r="AM37" i="2"/>
  <c r="AM175" i="2"/>
  <c r="AU38" i="2"/>
  <c r="AO38" i="2"/>
  <c r="AF38" i="2"/>
  <c r="AA38" i="2"/>
  <c r="AR175" i="2"/>
  <c r="AR37" i="2"/>
  <c r="AO175" i="2"/>
  <c r="AO37" i="2"/>
  <c r="AK175" i="2"/>
  <c r="AK37" i="2"/>
  <c r="AI175" i="2"/>
  <c r="AI37" i="2"/>
  <c r="R175" i="2"/>
  <c r="R37" i="2"/>
  <c r="AG37" i="2"/>
  <c r="AG175" i="2"/>
  <c r="AL38" i="2"/>
  <c r="X38" i="2"/>
  <c r="AF175" i="2"/>
  <c r="AF37" i="2"/>
  <c r="W37" i="2"/>
  <c r="W175" i="2"/>
  <c r="T175" i="2"/>
  <c r="T37" i="2"/>
  <c r="AI38" i="2"/>
  <c r="AY37" i="2"/>
  <c r="AY175" i="2"/>
  <c r="AB37" i="2"/>
  <c r="AB175" i="2"/>
  <c r="AE38" i="2"/>
  <c r="AZ37" i="2"/>
  <c r="AS38" i="2"/>
  <c r="AM38" i="2"/>
  <c r="AB38" i="2"/>
  <c r="U38" i="2"/>
  <c r="AW37" i="2"/>
  <c r="AW175" i="2"/>
  <c r="AX37" i="2"/>
  <c r="AX175" i="2"/>
  <c r="AP175" i="2"/>
  <c r="AP37" i="2"/>
  <c r="AN37" i="2"/>
  <c r="AN175" i="2"/>
  <c r="AE175" i="2"/>
  <c r="AE37" i="2"/>
  <c r="Z37" i="2"/>
  <c r="Z175" i="2"/>
  <c r="S175" i="2"/>
  <c r="S37" i="2"/>
  <c r="S38" i="2"/>
  <c r="AT38" i="2"/>
  <c r="AK38" i="2"/>
  <c r="AD38" i="2"/>
  <c r="V38" i="2"/>
  <c r="AV175" i="2"/>
  <c r="AV37" i="2"/>
  <c r="AW38" i="2"/>
  <c r="AQ175" i="2"/>
  <c r="AQ37" i="2"/>
  <c r="AH37" i="2"/>
  <c r="AH175" i="2"/>
  <c r="V175" i="2"/>
  <c r="V37" i="2"/>
  <c r="Y38" i="2"/>
  <c r="AP38" i="2"/>
  <c r="AT37" i="2"/>
  <c r="AT175" i="2"/>
  <c r="AQ38" i="2"/>
  <c r="AG38" i="2"/>
  <c r="AC38" i="2"/>
  <c r="T38" i="2"/>
  <c r="AU37" i="2"/>
  <c r="AU175" i="2"/>
  <c r="AA175" i="2"/>
  <c r="AA37" i="2"/>
  <c r="X175" i="2"/>
  <c r="X37" i="2"/>
  <c r="AY156" i="2"/>
  <c r="BA38" i="2"/>
  <c r="N177" i="2"/>
  <c r="BA37" i="2"/>
  <c r="BA175" i="2"/>
  <c r="N176" i="2"/>
  <c r="N178" i="2"/>
  <c r="BA77" i="2"/>
  <c r="AZ14" i="2"/>
  <c r="AZ41" i="2"/>
  <c r="AX177" i="13" l="1"/>
  <c r="AX35" i="13"/>
  <c r="AX33" i="13" s="1"/>
  <c r="K14" i="6"/>
  <c r="K16" i="6"/>
  <c r="BA245" i="13"/>
  <c r="N245" i="13" s="1"/>
  <c r="BA145" i="6"/>
  <c r="BA209" i="13"/>
  <c r="N209" i="13" s="1"/>
  <c r="BA111" i="6"/>
  <c r="BA173" i="13"/>
  <c r="BA29" i="13" s="1"/>
  <c r="BA77" i="6"/>
  <c r="AZ251" i="13"/>
  <c r="AZ249" i="13" s="1"/>
  <c r="AZ151" i="6"/>
  <c r="BA254" i="13"/>
  <c r="N254" i="13" s="1"/>
  <c r="BA154" i="6"/>
  <c r="N154" i="6" s="1"/>
  <c r="AZ214" i="13"/>
  <c r="AZ116" i="6"/>
  <c r="AY215" i="13"/>
  <c r="AY213" i="13" s="1"/>
  <c r="AY117" i="6"/>
  <c r="AZ110" i="6"/>
  <c r="AZ244" i="13"/>
  <c r="AZ208" i="13"/>
  <c r="AZ178" i="13"/>
  <c r="AZ34" i="13" s="1"/>
  <c r="AZ172" i="13"/>
  <c r="AZ28" i="13"/>
  <c r="AY179" i="13"/>
  <c r="BA174" i="13"/>
  <c r="BA30" i="13" s="1"/>
  <c r="N77" i="9"/>
  <c r="BA14" i="9"/>
  <c r="N14" i="9" s="1"/>
  <c r="BA165" i="9"/>
  <c r="N165" i="9" s="1"/>
  <c r="AQ160" i="9"/>
  <c r="BA72" i="9"/>
  <c r="N72" i="9" s="1"/>
  <c r="AT160" i="9"/>
  <c r="AV160" i="9"/>
  <c r="AE160" i="9"/>
  <c r="AB160" i="9"/>
  <c r="AM160" i="9"/>
  <c r="BA41" i="9"/>
  <c r="N41" i="9" s="1"/>
  <c r="BA96" i="9"/>
  <c r="BA150" i="6" s="1"/>
  <c r="AH160" i="9"/>
  <c r="AD160" i="9"/>
  <c r="Z160" i="9"/>
  <c r="AZ160" i="9"/>
  <c r="AG160" i="9"/>
  <c r="AX160" i="9"/>
  <c r="AK160" i="9"/>
  <c r="AF160" i="9"/>
  <c r="BA157" i="9"/>
  <c r="BA156" i="9" s="1"/>
  <c r="AL160" i="9"/>
  <c r="AW160" i="9"/>
  <c r="AC160" i="9"/>
  <c r="T160" i="9"/>
  <c r="U160" i="9"/>
  <c r="AA160" i="9"/>
  <c r="AR160" i="9"/>
  <c r="N38" i="9"/>
  <c r="N163" i="9"/>
  <c r="R160" i="9"/>
  <c r="S160" i="9"/>
  <c r="AP160" i="9"/>
  <c r="AO160" i="9"/>
  <c r="AU160" i="9"/>
  <c r="Q39" i="9"/>
  <c r="N39" i="9" s="1"/>
  <c r="N69" i="9"/>
  <c r="N92" i="9" s="1"/>
  <c r="X160" i="9"/>
  <c r="N68" i="9"/>
  <c r="N91" i="9" s="1"/>
  <c r="Y160" i="9"/>
  <c r="R140" i="9"/>
  <c r="AS140" i="9"/>
  <c r="AQ140" i="9"/>
  <c r="AC140" i="9"/>
  <c r="T140" i="9"/>
  <c r="Y123" i="9"/>
  <c r="U123" i="9"/>
  <c r="AE123" i="9"/>
  <c r="AZ123" i="9"/>
  <c r="V123" i="9"/>
  <c r="AQ123" i="9"/>
  <c r="AH140" i="9"/>
  <c r="S123" i="9"/>
  <c r="AG123" i="9"/>
  <c r="AU140" i="9"/>
  <c r="AZ140" i="9"/>
  <c r="AM123" i="9"/>
  <c r="X123" i="9"/>
  <c r="AJ140" i="9"/>
  <c r="AV140" i="9"/>
  <c r="S140" i="9"/>
  <c r="AU123" i="9"/>
  <c r="AY123" i="9"/>
  <c r="AH123" i="9"/>
  <c r="Y140" i="9"/>
  <c r="AX140" i="9"/>
  <c r="AJ123" i="9"/>
  <c r="V140" i="9"/>
  <c r="Q140" i="9"/>
  <c r="AD140" i="9"/>
  <c r="AE140" i="9"/>
  <c r="AG140" i="9"/>
  <c r="W123" i="9"/>
  <c r="BA123" i="9"/>
  <c r="AD123" i="9"/>
  <c r="AA140" i="9"/>
  <c r="AK140" i="9"/>
  <c r="U140" i="9"/>
  <c r="AL140" i="9"/>
  <c r="AL123" i="9"/>
  <c r="R123" i="9"/>
  <c r="AF140" i="9"/>
  <c r="X140" i="9"/>
  <c r="AP140" i="9"/>
  <c r="T123" i="9"/>
  <c r="T70" i="9" s="1"/>
  <c r="AT123" i="9"/>
  <c r="AT140" i="9"/>
  <c r="AA123" i="9"/>
  <c r="AW123" i="9"/>
  <c r="AI140" i="9"/>
  <c r="N175" i="9"/>
  <c r="AO123" i="9"/>
  <c r="AX123" i="9"/>
  <c r="BA140" i="9"/>
  <c r="W140" i="9"/>
  <c r="Q181" i="9"/>
  <c r="Q182" i="9" s="1"/>
  <c r="Q183" i="9" s="1"/>
  <c r="AM140" i="9"/>
  <c r="AY140" i="9"/>
  <c r="AS123" i="9"/>
  <c r="AN123" i="9"/>
  <c r="AR123" i="9"/>
  <c r="AC123" i="9"/>
  <c r="AV123" i="9"/>
  <c r="Z140" i="9"/>
  <c r="AO140" i="9"/>
  <c r="AR140" i="9"/>
  <c r="AN140" i="9"/>
  <c r="AB140" i="9"/>
  <c r="AB123" i="9"/>
  <c r="AI123" i="9"/>
  <c r="Z123" i="9"/>
  <c r="AP123" i="9"/>
  <c r="Q123" i="9"/>
  <c r="AW140" i="9"/>
  <c r="AK123" i="9"/>
  <c r="AF123" i="9"/>
  <c r="W160" i="9"/>
  <c r="N161" i="9"/>
  <c r="Q160" i="9"/>
  <c r="AY160" i="9"/>
  <c r="AJ160" i="9"/>
  <c r="N37" i="9"/>
  <c r="AS160" i="9"/>
  <c r="AI160" i="9"/>
  <c r="N162" i="9"/>
  <c r="N67" i="9"/>
  <c r="N90" i="9" s="1"/>
  <c r="AN160" i="9"/>
  <c r="V160" i="9"/>
  <c r="N100" i="9"/>
  <c r="AY149" i="6"/>
  <c r="AZ105" i="9"/>
  <c r="N97" i="9"/>
  <c r="AZ95" i="8"/>
  <c r="AZ8" i="8" s="1"/>
  <c r="AY105" i="8"/>
  <c r="N97" i="8"/>
  <c r="BA107" i="8"/>
  <c r="N158" i="8"/>
  <c r="N164" i="9"/>
  <c r="BA107" i="9"/>
  <c r="N158" i="9"/>
  <c r="X160" i="8"/>
  <c r="AQ160" i="8"/>
  <c r="W160" i="8"/>
  <c r="AY160" i="8"/>
  <c r="AO160" i="8"/>
  <c r="N162" i="8"/>
  <c r="AP160" i="8"/>
  <c r="V160" i="8"/>
  <c r="AF160" i="8"/>
  <c r="AU140" i="8"/>
  <c r="AM140" i="8"/>
  <c r="AE140" i="8"/>
  <c r="W140" i="8"/>
  <c r="AU123" i="8"/>
  <c r="AM123" i="8"/>
  <c r="AE123" i="8"/>
  <c r="W123" i="8"/>
  <c r="AT140" i="8"/>
  <c r="AL140" i="8"/>
  <c r="AD140" i="8"/>
  <c r="V140" i="8"/>
  <c r="AT123" i="8"/>
  <c r="AL123" i="8"/>
  <c r="AD123" i="8"/>
  <c r="V123" i="8"/>
  <c r="AV123" i="8"/>
  <c r="AF123" i="8"/>
  <c r="BA140" i="8"/>
  <c r="AS140" i="8"/>
  <c r="AK140" i="8"/>
  <c r="AC140" i="8"/>
  <c r="U140" i="8"/>
  <c r="BA123" i="8"/>
  <c r="AS123" i="8"/>
  <c r="AK123" i="8"/>
  <c r="AC123" i="8"/>
  <c r="U123" i="8"/>
  <c r="AF140" i="8"/>
  <c r="X123" i="8"/>
  <c r="AZ140" i="8"/>
  <c r="AR140" i="8"/>
  <c r="AJ140" i="8"/>
  <c r="AB140" i="8"/>
  <c r="T140" i="8"/>
  <c r="AZ123" i="8"/>
  <c r="AR123" i="8"/>
  <c r="AJ123" i="8"/>
  <c r="AB123" i="8"/>
  <c r="T123" i="8"/>
  <c r="AN140" i="8"/>
  <c r="AY140" i="8"/>
  <c r="AQ140" i="8"/>
  <c r="AI140" i="8"/>
  <c r="AA140" i="8"/>
  <c r="S140" i="8"/>
  <c r="AY123" i="8"/>
  <c r="AQ123" i="8"/>
  <c r="AI123" i="8"/>
  <c r="AA123" i="8"/>
  <c r="S123" i="8"/>
  <c r="X140" i="8"/>
  <c r="AX140" i="8"/>
  <c r="AP140" i="8"/>
  <c r="AH140" i="8"/>
  <c r="Z140" i="8"/>
  <c r="R140" i="8"/>
  <c r="AX123" i="8"/>
  <c r="AP123" i="8"/>
  <c r="AH123" i="8"/>
  <c r="Z123" i="8"/>
  <c r="R123" i="8"/>
  <c r="AV140" i="8"/>
  <c r="AN123" i="8"/>
  <c r="AW140" i="8"/>
  <c r="AO140" i="8"/>
  <c r="AG140" i="8"/>
  <c r="Y140" i="8"/>
  <c r="Q140" i="8"/>
  <c r="AW123" i="8"/>
  <c r="AO123" i="8"/>
  <c r="AG123" i="8"/>
  <c r="Y123" i="8"/>
  <c r="Q123" i="8"/>
  <c r="AU160" i="8"/>
  <c r="U160" i="8"/>
  <c r="AH160" i="8"/>
  <c r="AW160" i="8"/>
  <c r="R160" i="8"/>
  <c r="AV160" i="8"/>
  <c r="S160" i="8"/>
  <c r="AT160" i="8"/>
  <c r="AZ156" i="8"/>
  <c r="AZ82" i="8" s="1"/>
  <c r="AZ106" i="8"/>
  <c r="AM160" i="8"/>
  <c r="AZ160" i="8"/>
  <c r="N37" i="8"/>
  <c r="AA160" i="8"/>
  <c r="AK160" i="8"/>
  <c r="Q102" i="8"/>
  <c r="Q109" i="6" s="1"/>
  <c r="AE160" i="8"/>
  <c r="AC160" i="8"/>
  <c r="N67" i="8"/>
  <c r="N90" i="8" s="1"/>
  <c r="Q39" i="8"/>
  <c r="N39" i="8" s="1"/>
  <c r="N69" i="8"/>
  <c r="N92" i="8" s="1"/>
  <c r="AL160" i="8"/>
  <c r="AB160" i="8"/>
  <c r="N68" i="8"/>
  <c r="N91" i="8" s="1"/>
  <c r="AJ160" i="8"/>
  <c r="AN160" i="8"/>
  <c r="BA165" i="8"/>
  <c r="N165" i="8" s="1"/>
  <c r="BA157" i="8"/>
  <c r="BA72" i="8"/>
  <c r="N72" i="8" s="1"/>
  <c r="BA96" i="8"/>
  <c r="BA116" i="6" s="1"/>
  <c r="BA41" i="8"/>
  <c r="N41" i="8" s="1"/>
  <c r="BA14" i="8"/>
  <c r="N14" i="8" s="1"/>
  <c r="N73" i="8"/>
  <c r="AX160" i="8"/>
  <c r="Q160" i="8"/>
  <c r="N161" i="8"/>
  <c r="N163" i="8"/>
  <c r="AI160" i="8"/>
  <c r="N38" i="8"/>
  <c r="AG160" i="8"/>
  <c r="BA100" i="8"/>
  <c r="N77" i="8"/>
  <c r="Z160" i="8"/>
  <c r="AD160" i="8"/>
  <c r="T160" i="8"/>
  <c r="BA2" i="2"/>
  <c r="Y160" i="8"/>
  <c r="AS160" i="8"/>
  <c r="N175" i="8"/>
  <c r="Q181" i="8"/>
  <c r="AR160" i="8"/>
  <c r="AW140" i="2"/>
  <c r="AO140" i="2"/>
  <c r="AG140" i="2"/>
  <c r="Y140" i="2"/>
  <c r="Q140" i="2"/>
  <c r="AU123" i="2"/>
  <c r="AM123" i="2"/>
  <c r="AE123" i="2"/>
  <c r="W123" i="2"/>
  <c r="AQ140" i="2"/>
  <c r="S140" i="2"/>
  <c r="Y123" i="2"/>
  <c r="AF123" i="2"/>
  <c r="AV140" i="2"/>
  <c r="AN140" i="2"/>
  <c r="AF140" i="2"/>
  <c r="X140" i="2"/>
  <c r="Q128" i="2"/>
  <c r="AT123" i="2"/>
  <c r="AL123" i="2"/>
  <c r="AD123" i="2"/>
  <c r="V123" i="2"/>
  <c r="AA140" i="2"/>
  <c r="AU140" i="2"/>
  <c r="AM140" i="2"/>
  <c r="AE140" i="2"/>
  <c r="W140" i="2"/>
  <c r="BA123" i="2"/>
  <c r="AS123" i="2"/>
  <c r="AK123" i="2"/>
  <c r="AC123" i="2"/>
  <c r="U123" i="2"/>
  <c r="Q123" i="2"/>
  <c r="AP140" i="2"/>
  <c r="AH140" i="2"/>
  <c r="AV123" i="2"/>
  <c r="X123" i="2"/>
  <c r="AT140" i="2"/>
  <c r="AL140" i="2"/>
  <c r="AD140" i="2"/>
  <c r="V140" i="2"/>
  <c r="AZ123" i="2"/>
  <c r="AR123" i="2"/>
  <c r="AJ123" i="2"/>
  <c r="AB123" i="2"/>
  <c r="T123" i="2"/>
  <c r="AI140" i="2"/>
  <c r="AO123" i="2"/>
  <c r="AN123" i="2"/>
  <c r="BA140" i="2"/>
  <c r="AS140" i="2"/>
  <c r="AK140" i="2"/>
  <c r="AC140" i="2"/>
  <c r="U140" i="2"/>
  <c r="AY123" i="2"/>
  <c r="AQ123" i="2"/>
  <c r="AI123" i="2"/>
  <c r="AA123" i="2"/>
  <c r="S123" i="2"/>
  <c r="AY140" i="2"/>
  <c r="AW123" i="2"/>
  <c r="Z140" i="2"/>
  <c r="AZ140" i="2"/>
  <c r="AR140" i="2"/>
  <c r="AJ140" i="2"/>
  <c r="AB140" i="2"/>
  <c r="T140" i="2"/>
  <c r="AX123" i="2"/>
  <c r="AP123" i="2"/>
  <c r="AH123" i="2"/>
  <c r="Z123" i="2"/>
  <c r="R123" i="2"/>
  <c r="AG123" i="2"/>
  <c r="AX140" i="2"/>
  <c r="R140" i="2"/>
  <c r="N97" i="2"/>
  <c r="AX81" i="6"/>
  <c r="BA96" i="2"/>
  <c r="BA82" i="6" s="1"/>
  <c r="BA157" i="2"/>
  <c r="BA165" i="2"/>
  <c r="N165" i="2" s="1"/>
  <c r="AY105" i="2"/>
  <c r="AZ95" i="2"/>
  <c r="AZ8" i="2" s="1"/>
  <c r="BA100" i="2"/>
  <c r="BA86" i="6" s="1"/>
  <c r="N77" i="2"/>
  <c r="N107" i="2"/>
  <c r="N78" i="6"/>
  <c r="AZ106" i="2"/>
  <c r="AZ83" i="6" s="1"/>
  <c r="AY82" i="2"/>
  <c r="N69" i="2"/>
  <c r="N68" i="2"/>
  <c r="Q39" i="2"/>
  <c r="N39" i="2" s="1"/>
  <c r="N67" i="2"/>
  <c r="N175" i="2"/>
  <c r="BA72" i="2"/>
  <c r="N72" i="2" s="1"/>
  <c r="AZ156" i="2"/>
  <c r="AR160" i="2"/>
  <c r="AX160" i="2"/>
  <c r="S160" i="2"/>
  <c r="Z160" i="2"/>
  <c r="AE160" i="2"/>
  <c r="AA160" i="2"/>
  <c r="N163" i="2"/>
  <c r="AN160" i="2"/>
  <c r="Q160" i="2"/>
  <c r="AK160" i="2"/>
  <c r="AI160" i="2"/>
  <c r="X160" i="2"/>
  <c r="AU160" i="2"/>
  <c r="AW160" i="2"/>
  <c r="Y160" i="2"/>
  <c r="BA41" i="2"/>
  <c r="N41" i="2" s="1"/>
  <c r="BA14" i="2"/>
  <c r="N73" i="2"/>
  <c r="AM160" i="2"/>
  <c r="R160" i="2"/>
  <c r="T160" i="2"/>
  <c r="AQ160" i="2"/>
  <c r="AH160" i="2"/>
  <c r="N162" i="2"/>
  <c r="AY160" i="2"/>
  <c r="AC160" i="2"/>
  <c r="AJ160" i="2"/>
  <c r="AL160" i="2"/>
  <c r="AG160" i="2"/>
  <c r="BA40" i="2"/>
  <c r="N40" i="2" s="1"/>
  <c r="BA13" i="2"/>
  <c r="N13" i="2" s="1"/>
  <c r="N164" i="2"/>
  <c r="AO160" i="2"/>
  <c r="AB160" i="2"/>
  <c r="AT160" i="2"/>
  <c r="N161" i="2"/>
  <c r="U160" i="2"/>
  <c r="AZ160" i="2"/>
  <c r="AD160" i="2"/>
  <c r="AS160" i="2"/>
  <c r="AP160" i="2"/>
  <c r="W160" i="2"/>
  <c r="AV160" i="2"/>
  <c r="AF160" i="2"/>
  <c r="V160" i="2"/>
  <c r="N37" i="2"/>
  <c r="N38" i="2"/>
  <c r="AY177" i="13" l="1"/>
  <c r="AY35" i="13"/>
  <c r="AY33" i="13" s="1"/>
  <c r="N173" i="13"/>
  <c r="BA246" i="13"/>
  <c r="N246" i="13" s="1"/>
  <c r="BA146" i="6"/>
  <c r="N146" i="6" s="1"/>
  <c r="BA210" i="13"/>
  <c r="N210" i="13" s="1"/>
  <c r="BA112" i="6"/>
  <c r="AZ215" i="13"/>
  <c r="AZ213" i="13" s="1"/>
  <c r="AZ117" i="6"/>
  <c r="AZ115" i="6" s="1"/>
  <c r="BA218" i="13"/>
  <c r="N218" i="13" s="1"/>
  <c r="BA120" i="6"/>
  <c r="N120" i="6" s="1"/>
  <c r="AZ179" i="13"/>
  <c r="BA178" i="13"/>
  <c r="BA34" i="13" s="1"/>
  <c r="Q207" i="13"/>
  <c r="BA182" i="13"/>
  <c r="BA38" i="13" s="1"/>
  <c r="N150" i="6"/>
  <c r="BA250" i="13"/>
  <c r="N30" i="13"/>
  <c r="N174" i="13"/>
  <c r="BA214" i="13"/>
  <c r="BA172" i="13"/>
  <c r="N172" i="13" s="1"/>
  <c r="N29" i="13"/>
  <c r="AQ70" i="9"/>
  <c r="AJ70" i="9"/>
  <c r="BA160" i="9"/>
  <c r="N160" i="9" s="1"/>
  <c r="N96" i="9"/>
  <c r="BA95" i="9"/>
  <c r="N95" i="9" s="1"/>
  <c r="AD70" i="9"/>
  <c r="AR70" i="9"/>
  <c r="AX70" i="9"/>
  <c r="AF70" i="9"/>
  <c r="BA106" i="9"/>
  <c r="BA151" i="6" s="1"/>
  <c r="AB70" i="9"/>
  <c r="Z70" i="9"/>
  <c r="AT70" i="9"/>
  <c r="AU70" i="9"/>
  <c r="AN70" i="9"/>
  <c r="AO70" i="9"/>
  <c r="N157" i="9"/>
  <c r="BA70" i="9"/>
  <c r="X70" i="9"/>
  <c r="AZ70" i="9"/>
  <c r="Q122" i="9"/>
  <c r="N140" i="9"/>
  <c r="S70" i="9"/>
  <c r="AK70" i="9"/>
  <c r="AS70" i="9"/>
  <c r="V70" i="9"/>
  <c r="Q70" i="9"/>
  <c r="N123" i="9"/>
  <c r="AW70" i="9"/>
  <c r="R70" i="9"/>
  <c r="W70" i="9"/>
  <c r="AM70" i="9"/>
  <c r="AP70" i="9"/>
  <c r="R181" i="9"/>
  <c r="R182" i="9" s="1"/>
  <c r="R139" i="9" s="1"/>
  <c r="Q113" i="9"/>
  <c r="Q180" i="9"/>
  <c r="Q108" i="4" s="1"/>
  <c r="AA70" i="9"/>
  <c r="AL70" i="9"/>
  <c r="AH70" i="9"/>
  <c r="AE70" i="9"/>
  <c r="AV70" i="9"/>
  <c r="AY70" i="9"/>
  <c r="U70" i="9"/>
  <c r="Q139" i="9"/>
  <c r="AI70" i="9"/>
  <c r="AC70" i="9"/>
  <c r="AG70" i="9"/>
  <c r="Y70" i="9"/>
  <c r="N77" i="6"/>
  <c r="AZ149" i="6"/>
  <c r="N107" i="9"/>
  <c r="N145" i="6"/>
  <c r="N100" i="8"/>
  <c r="N116" i="6"/>
  <c r="N107" i="8"/>
  <c r="AY115" i="6"/>
  <c r="AZ105" i="8"/>
  <c r="N111" i="6"/>
  <c r="BA82" i="9"/>
  <c r="N82" i="9" s="1"/>
  <c r="N156" i="9"/>
  <c r="AA70" i="8"/>
  <c r="AY70" i="8"/>
  <c r="AT70" i="8"/>
  <c r="U70" i="8"/>
  <c r="Y70" i="8"/>
  <c r="Z70" i="8"/>
  <c r="AZ70" i="8"/>
  <c r="AK70" i="8"/>
  <c r="V70" i="8"/>
  <c r="W70" i="8"/>
  <c r="AX70" i="8"/>
  <c r="N140" i="8"/>
  <c r="AR70" i="8"/>
  <c r="S70" i="8"/>
  <c r="AV70" i="8"/>
  <c r="N123" i="8"/>
  <c r="Q70" i="8"/>
  <c r="AJ70" i="8"/>
  <c r="Q101" i="8"/>
  <c r="BA160" i="8"/>
  <c r="N160" i="8" s="1"/>
  <c r="AD70" i="8"/>
  <c r="AW70" i="8"/>
  <c r="X70" i="8"/>
  <c r="AH70" i="8"/>
  <c r="AP70" i="8"/>
  <c r="AC70" i="8"/>
  <c r="AF70" i="8"/>
  <c r="AI70" i="8"/>
  <c r="T70" i="8"/>
  <c r="AB70" i="8"/>
  <c r="R181" i="8"/>
  <c r="BA95" i="8"/>
  <c r="N96" i="8"/>
  <c r="AO70" i="8"/>
  <c r="AQ70" i="8"/>
  <c r="AL70" i="8"/>
  <c r="AS70" i="8"/>
  <c r="BA70" i="8"/>
  <c r="Q182" i="8"/>
  <c r="AE70" i="8"/>
  <c r="AU70" i="8"/>
  <c r="AN70" i="8"/>
  <c r="R70" i="8"/>
  <c r="AG70" i="8"/>
  <c r="AM70" i="8"/>
  <c r="Q113" i="8"/>
  <c r="BA156" i="8"/>
  <c r="BA106" i="8"/>
  <c r="BA117" i="6" s="1"/>
  <c r="N157" i="8"/>
  <c r="BA76" i="6"/>
  <c r="BA95" i="2"/>
  <c r="N95" i="2" s="1"/>
  <c r="N96" i="2"/>
  <c r="AH70" i="2"/>
  <c r="T70" i="2"/>
  <c r="AY81" i="6"/>
  <c r="AZ105" i="2"/>
  <c r="N100" i="2"/>
  <c r="N86" i="6"/>
  <c r="N82" i="6"/>
  <c r="BA106" i="2"/>
  <c r="BA83" i="6" s="1"/>
  <c r="AZ82" i="2"/>
  <c r="N90" i="2"/>
  <c r="N91" i="2"/>
  <c r="N92" i="2"/>
  <c r="Y70" i="2"/>
  <c r="AN70" i="2"/>
  <c r="AC70" i="2"/>
  <c r="AL70" i="2"/>
  <c r="V70" i="2"/>
  <c r="AA70" i="2"/>
  <c r="AZ70" i="2"/>
  <c r="AU70" i="2"/>
  <c r="X70" i="2"/>
  <c r="AP70" i="2"/>
  <c r="BA70" i="2"/>
  <c r="AW70" i="2"/>
  <c r="R70" i="2"/>
  <c r="AY70" i="2"/>
  <c r="U70" i="2"/>
  <c r="AX70" i="2"/>
  <c r="AB70" i="2"/>
  <c r="Z70" i="2"/>
  <c r="AD70" i="2"/>
  <c r="AS70" i="2"/>
  <c r="AF70" i="2"/>
  <c r="AV70" i="2"/>
  <c r="AI70" i="2"/>
  <c r="AT70" i="2"/>
  <c r="AK70" i="2"/>
  <c r="Q70" i="2"/>
  <c r="AQ70" i="2"/>
  <c r="AG70" i="2"/>
  <c r="W70" i="2"/>
  <c r="S70" i="2"/>
  <c r="AJ70" i="2"/>
  <c r="AR70" i="2"/>
  <c r="AE70" i="2"/>
  <c r="AM70" i="2"/>
  <c r="N123" i="2"/>
  <c r="N140" i="2"/>
  <c r="AO70" i="2"/>
  <c r="BA156" i="2"/>
  <c r="Q181" i="2"/>
  <c r="N157" i="2"/>
  <c r="N158" i="2"/>
  <c r="BA160" i="2"/>
  <c r="N14" i="2"/>
  <c r="AZ177" i="13" l="1"/>
  <c r="AZ35" i="13"/>
  <c r="AZ33" i="13" s="1"/>
  <c r="BA208" i="13"/>
  <c r="N208" i="13" s="1"/>
  <c r="BA244" i="13"/>
  <c r="N244" i="13" s="1"/>
  <c r="N76" i="6"/>
  <c r="BA28" i="13"/>
  <c r="N28" i="13" s="1"/>
  <c r="N178" i="13"/>
  <c r="N38" i="13"/>
  <c r="N182" i="13"/>
  <c r="N214" i="13"/>
  <c r="BA81" i="6"/>
  <c r="BA179" i="13"/>
  <c r="BA35" i="13" s="1"/>
  <c r="BA149" i="6"/>
  <c r="BA251" i="13"/>
  <c r="BA249" i="13" s="1"/>
  <c r="BA115" i="6"/>
  <c r="N115" i="6" s="1"/>
  <c r="BA215" i="13"/>
  <c r="N250" i="13"/>
  <c r="N112" i="6"/>
  <c r="BA8" i="9"/>
  <c r="N8" i="9" s="1"/>
  <c r="N106" i="9"/>
  <c r="BA105" i="9"/>
  <c r="N105" i="9" s="1"/>
  <c r="Q141" i="9"/>
  <c r="Q143" i="9" s="1"/>
  <c r="Q147" i="9"/>
  <c r="Q47" i="9"/>
  <c r="Q205" i="9"/>
  <c r="R113" i="9"/>
  <c r="R183" i="9"/>
  <c r="S181" i="9"/>
  <c r="N70" i="9"/>
  <c r="N93" i="9" s="1"/>
  <c r="Q132" i="9"/>
  <c r="Q124" i="9"/>
  <c r="Q128" i="9" s="1"/>
  <c r="BA110" i="6"/>
  <c r="BA144" i="6"/>
  <c r="N117" i="6"/>
  <c r="BA82" i="8"/>
  <c r="N82" i="8" s="1"/>
  <c r="N156" i="8"/>
  <c r="R113" i="8"/>
  <c r="R182" i="8"/>
  <c r="R139" i="8" s="1"/>
  <c r="Q139" i="8"/>
  <c r="Q183" i="8"/>
  <c r="Q180" i="8" s="1"/>
  <c r="Q102" i="4" s="1"/>
  <c r="Q205" i="8"/>
  <c r="Q47" i="8"/>
  <c r="S181" i="8"/>
  <c r="BA8" i="8"/>
  <c r="N8" i="8" s="1"/>
  <c r="N95" i="8"/>
  <c r="N70" i="8"/>
  <c r="N93" i="8" s="1"/>
  <c r="BA105" i="8"/>
  <c r="N105" i="8" s="1"/>
  <c r="N106" i="8"/>
  <c r="BA8" i="2"/>
  <c r="N8" i="2" s="1"/>
  <c r="AZ81" i="6"/>
  <c r="N83" i="6"/>
  <c r="BA105" i="2"/>
  <c r="N105" i="2" s="1"/>
  <c r="N106" i="2"/>
  <c r="BA82" i="2"/>
  <c r="N82" i="2" s="1"/>
  <c r="N156" i="2"/>
  <c r="N70" i="2"/>
  <c r="Q113" i="2"/>
  <c r="Q182" i="2"/>
  <c r="Q139" i="2" s="1"/>
  <c r="N160" i="2"/>
  <c r="N149" i="6" l="1"/>
  <c r="N110" i="6"/>
  <c r="N144" i="6"/>
  <c r="N249" i="13"/>
  <c r="N215" i="13"/>
  <c r="N35" i="13"/>
  <c r="N179" i="13"/>
  <c r="N151" i="6"/>
  <c r="BA177" i="13"/>
  <c r="N34" i="13"/>
  <c r="N251" i="13"/>
  <c r="BA213" i="13"/>
  <c r="R122" i="9"/>
  <c r="R180" i="9"/>
  <c r="R108" i="4" s="1"/>
  <c r="R205" i="9"/>
  <c r="R47" i="9"/>
  <c r="R189" i="9" s="1"/>
  <c r="Q121" i="9"/>
  <c r="Q71" i="9"/>
  <c r="R155" i="9" s="1"/>
  <c r="Q52" i="9"/>
  <c r="Q192" i="9" s="1"/>
  <c r="Q76" i="9"/>
  <c r="T181" i="9"/>
  <c r="U181" i="9" s="1"/>
  <c r="Q138" i="9"/>
  <c r="Q189" i="9"/>
  <c r="S113" i="9"/>
  <c r="S182" i="9"/>
  <c r="S183" i="9" s="1"/>
  <c r="Q141" i="8"/>
  <c r="Q143" i="8" s="1"/>
  <c r="Q147" i="8"/>
  <c r="S113" i="8"/>
  <c r="S182" i="8"/>
  <c r="S139" i="8" s="1"/>
  <c r="Q122" i="8"/>
  <c r="R183" i="8"/>
  <c r="R122" i="8" s="1"/>
  <c r="R205" i="8"/>
  <c r="R47" i="8"/>
  <c r="T181" i="8"/>
  <c r="Q189" i="8"/>
  <c r="N81" i="6"/>
  <c r="K10" i="6" s="1"/>
  <c r="N93" i="2"/>
  <c r="Q183" i="2"/>
  <c r="Q122" i="2" s="1"/>
  <c r="Q47" i="2"/>
  <c r="Q189" i="2" s="1"/>
  <c r="Q205" i="2"/>
  <c r="K25" i="6" l="1"/>
  <c r="K40" i="6"/>
  <c r="BA33" i="13"/>
  <c r="N177" i="13"/>
  <c r="N213" i="13"/>
  <c r="S139" i="9"/>
  <c r="Q89" i="9"/>
  <c r="Q66" i="9"/>
  <c r="S180" i="9"/>
  <c r="S108" i="4" s="1"/>
  <c r="Q191" i="9"/>
  <c r="Q48" i="9"/>
  <c r="Q46" i="9" s="1"/>
  <c r="S122" i="9"/>
  <c r="S205" i="9"/>
  <c r="S47" i="9"/>
  <c r="T113" i="9"/>
  <c r="T182" i="9"/>
  <c r="T139" i="9" s="1"/>
  <c r="V181" i="9"/>
  <c r="Q190" i="9"/>
  <c r="U113" i="9"/>
  <c r="Q99" i="9"/>
  <c r="Q75" i="9"/>
  <c r="Q15" i="9"/>
  <c r="R180" i="8"/>
  <c r="R102" i="4" s="1"/>
  <c r="Q124" i="8"/>
  <c r="Q128" i="8" s="1"/>
  <c r="Q132" i="8"/>
  <c r="S183" i="8"/>
  <c r="S122" i="8" s="1"/>
  <c r="T113" i="8"/>
  <c r="T182" i="8"/>
  <c r="U181" i="8"/>
  <c r="V181" i="8" s="1"/>
  <c r="S205" i="8"/>
  <c r="S47" i="8"/>
  <c r="Q138" i="8"/>
  <c r="Q191" i="8" s="1"/>
  <c r="R189" i="8"/>
  <c r="Q253" i="13" l="1"/>
  <c r="Q252" i="13" s="1"/>
  <c r="Q153" i="6"/>
  <c r="Q152" i="6" s="1"/>
  <c r="N33" i="13"/>
  <c r="U182" i="9"/>
  <c r="U139" i="9" s="1"/>
  <c r="T183" i="9"/>
  <c r="T122" i="9" s="1"/>
  <c r="Q12" i="9"/>
  <c r="Q11" i="9" s="1"/>
  <c r="Q7" i="9"/>
  <c r="U205" i="9"/>
  <c r="U47" i="9"/>
  <c r="U189" i="9" s="1"/>
  <c r="Q98" i="9"/>
  <c r="Q9" i="9" s="1"/>
  <c r="V113" i="9"/>
  <c r="W181" i="9"/>
  <c r="X181" i="9" s="1"/>
  <c r="T47" i="9"/>
  <c r="T189" i="9" s="1"/>
  <c r="T205" i="9"/>
  <c r="R154" i="9"/>
  <c r="R43" i="9" s="1"/>
  <c r="R169" i="9"/>
  <c r="R161" i="6" s="1"/>
  <c r="S189" i="9"/>
  <c r="T183" i="8"/>
  <c r="T180" i="8" s="1"/>
  <c r="T102" i="4" s="1"/>
  <c r="S180" i="8"/>
  <c r="S102" i="4" s="1"/>
  <c r="W181" i="8"/>
  <c r="W113" i="8" s="1"/>
  <c r="T205" i="8"/>
  <c r="T47" i="8"/>
  <c r="V113" i="8"/>
  <c r="U113" i="8"/>
  <c r="U182" i="8"/>
  <c r="U139" i="8" s="1"/>
  <c r="Q71" i="8"/>
  <c r="Q76" i="8"/>
  <c r="Q52" i="8"/>
  <c r="Q121" i="8"/>
  <c r="Q190" i="8" s="1"/>
  <c r="S189" i="8"/>
  <c r="T139" i="8"/>
  <c r="Q169" i="2"/>
  <c r="Q93" i="6" s="1"/>
  <c r="Q154" i="2"/>
  <c r="Q43" i="2" s="1"/>
  <c r="Q148" i="6" l="1"/>
  <c r="Q191" i="13"/>
  <c r="Q45" i="13" s="1"/>
  <c r="R263" i="13"/>
  <c r="Q248" i="13"/>
  <c r="Q89" i="8"/>
  <c r="R155" i="8"/>
  <c r="Q6" i="9"/>
  <c r="Q17" i="9" s="1"/>
  <c r="V182" i="9"/>
  <c r="V139" i="9" s="1"/>
  <c r="T180" i="9"/>
  <c r="T108" i="4" s="1"/>
  <c r="R170" i="9"/>
  <c r="R168" i="9" s="1"/>
  <c r="R171" i="9" s="1"/>
  <c r="R125" i="9" s="1"/>
  <c r="U183" i="9"/>
  <c r="Q88" i="9"/>
  <c r="Q83" i="9" s="1"/>
  <c r="Q84" i="9" s="1"/>
  <c r="X113" i="9"/>
  <c r="V47" i="9"/>
  <c r="V189" i="9" s="1"/>
  <c r="V205" i="9"/>
  <c r="W113" i="9"/>
  <c r="Y181" i="9"/>
  <c r="T122" i="8"/>
  <c r="X181" i="8"/>
  <c r="Y181" i="8" s="1"/>
  <c r="Q66" i="8"/>
  <c r="U205" i="8"/>
  <c r="U47" i="8"/>
  <c r="Q192" i="8"/>
  <c r="T189" i="8"/>
  <c r="W205" i="8"/>
  <c r="W47" i="8"/>
  <c r="V182" i="8"/>
  <c r="Q99" i="8"/>
  <c r="Q119" i="6" s="1"/>
  <c r="Q75" i="8"/>
  <c r="Q15" i="8"/>
  <c r="Q48" i="8"/>
  <c r="U183" i="8"/>
  <c r="U180" i="8" s="1"/>
  <c r="U102" i="4" s="1"/>
  <c r="V205" i="8"/>
  <c r="V47" i="8"/>
  <c r="Q170" i="2"/>
  <c r="Q168" i="2" s="1"/>
  <c r="Q171" i="2" s="1"/>
  <c r="Q217" i="13" l="1"/>
  <c r="W182" i="9"/>
  <c r="W139" i="9" s="1"/>
  <c r="R81" i="9"/>
  <c r="R80" i="9"/>
  <c r="R103" i="9" s="1"/>
  <c r="Q36" i="9"/>
  <c r="R104" i="9"/>
  <c r="U122" i="9"/>
  <c r="U180" i="9"/>
  <c r="U108" i="4" s="1"/>
  <c r="V183" i="9"/>
  <c r="V122" i="9" s="1"/>
  <c r="Y113" i="9"/>
  <c r="Z181" i="9"/>
  <c r="R65" i="9"/>
  <c r="Q26" i="9"/>
  <c r="W205" i="9"/>
  <c r="W47" i="9"/>
  <c r="W189" i="9" s="1"/>
  <c r="Q19" i="9"/>
  <c r="Q42" i="9" s="1"/>
  <c r="X47" i="9"/>
  <c r="X189" i="9" s="1"/>
  <c r="X205" i="9"/>
  <c r="Q118" i="6"/>
  <c r="X113" i="8"/>
  <c r="X205" i="8" s="1"/>
  <c r="R169" i="8"/>
  <c r="Q12" i="8"/>
  <c r="Q7" i="8"/>
  <c r="V139" i="8"/>
  <c r="V183" i="8"/>
  <c r="V122" i="8" s="1"/>
  <c r="Q46" i="8"/>
  <c r="W189" i="8"/>
  <c r="Y113" i="8"/>
  <c r="Z181" i="8"/>
  <c r="U189" i="8"/>
  <c r="V189" i="8"/>
  <c r="Q98" i="8"/>
  <c r="Q88" i="8" s="1"/>
  <c r="U122" i="8"/>
  <c r="W182" i="8"/>
  <c r="R154" i="8"/>
  <c r="Q81" i="2"/>
  <c r="Q104" i="2"/>
  <c r="Q125" i="2"/>
  <c r="Q80" i="2"/>
  <c r="R227" i="13" l="1"/>
  <c r="R127" i="6"/>
  <c r="Q216" i="13"/>
  <c r="X182" i="9"/>
  <c r="Y182" i="9" s="1"/>
  <c r="Y139" i="9" s="1"/>
  <c r="Q35" i="9"/>
  <c r="Q188" i="9" s="1"/>
  <c r="Q193" i="9" s="1"/>
  <c r="Q194" i="9" s="1"/>
  <c r="R102" i="9"/>
  <c r="R143" i="6" s="1"/>
  <c r="V180" i="9"/>
  <c r="V108" i="4" s="1"/>
  <c r="R79" i="9"/>
  <c r="R78" i="9" s="1"/>
  <c r="W183" i="9"/>
  <c r="Z113" i="9"/>
  <c r="AA181" i="9"/>
  <c r="Y47" i="9"/>
  <c r="Y189" i="9" s="1"/>
  <c r="Y205" i="9"/>
  <c r="Q21" i="9"/>
  <c r="Q114" i="9" s="1"/>
  <c r="R170" i="8"/>
  <c r="Q114" i="6"/>
  <c r="X47" i="8"/>
  <c r="X189" i="8" s="1"/>
  <c r="W139" i="8"/>
  <c r="W183" i="8"/>
  <c r="W180" i="8" s="1"/>
  <c r="W102" i="4" s="1"/>
  <c r="X182" i="8"/>
  <c r="Y182" i="8" s="1"/>
  <c r="Q9" i="8"/>
  <c r="Q6" i="8" s="1"/>
  <c r="Y205" i="8"/>
  <c r="Y47" i="8"/>
  <c r="V180" i="8"/>
  <c r="V102" i="4" s="1"/>
  <c r="Q83" i="8"/>
  <c r="Q36" i="8"/>
  <c r="R43" i="8"/>
  <c r="Q11" i="8"/>
  <c r="Z113" i="8"/>
  <c r="AA181" i="8"/>
  <c r="Q103" i="2"/>
  <c r="Q102" i="2" s="1"/>
  <c r="Q75" i="6" s="1"/>
  <c r="Q79" i="2"/>
  <c r="Q78" i="2" s="1"/>
  <c r="Q212" i="13" l="1"/>
  <c r="R101" i="9"/>
  <c r="R243" i="13"/>
  <c r="Q171" i="13"/>
  <c r="Q27" i="13" s="1"/>
  <c r="Q61" i="9"/>
  <c r="X139" i="9"/>
  <c r="Z182" i="9"/>
  <c r="Z139" i="9" s="1"/>
  <c r="W122" i="9"/>
  <c r="W180" i="9"/>
  <c r="W108" i="4" s="1"/>
  <c r="X183" i="9"/>
  <c r="X122" i="9" s="1"/>
  <c r="AA113" i="9"/>
  <c r="AB181" i="9"/>
  <c r="Q195" i="9"/>
  <c r="Q115" i="9"/>
  <c r="Q50" i="9"/>
  <c r="Q206" i="9"/>
  <c r="Z205" i="9"/>
  <c r="Z47" i="9"/>
  <c r="Z189" i="9" s="1"/>
  <c r="Y139" i="8"/>
  <c r="Y189" i="8"/>
  <c r="Q17" i="8"/>
  <c r="AA113" i="8"/>
  <c r="AB181" i="8"/>
  <c r="Z205" i="8"/>
  <c r="Z47" i="8"/>
  <c r="Q84" i="8"/>
  <c r="X139" i="8"/>
  <c r="X183" i="8"/>
  <c r="X122" i="8" s="1"/>
  <c r="Z182" i="8"/>
  <c r="AA182" i="8" s="1"/>
  <c r="AA139" i="8" s="1"/>
  <c r="W122" i="8"/>
  <c r="R168" i="8"/>
  <c r="Q101" i="2"/>
  <c r="AA182" i="9" l="1"/>
  <c r="AA139" i="9" s="1"/>
  <c r="X180" i="9"/>
  <c r="X108" i="4" s="1"/>
  <c r="Y183" i="9"/>
  <c r="Z183" i="9" s="1"/>
  <c r="Z122" i="9" s="1"/>
  <c r="AB113" i="9"/>
  <c r="AC181" i="9"/>
  <c r="Q196" i="9"/>
  <c r="Q129" i="9" s="1"/>
  <c r="Q126" i="9" s="1"/>
  <c r="AA47" i="9"/>
  <c r="AA189" i="9" s="1"/>
  <c r="AA205" i="9"/>
  <c r="R65" i="8"/>
  <c r="Q26" i="8"/>
  <c r="AA205" i="8"/>
  <c r="AA47" i="8"/>
  <c r="Q19" i="8"/>
  <c r="Q21" i="8" s="1"/>
  <c r="Z139" i="8"/>
  <c r="Z189" i="8"/>
  <c r="X180" i="8"/>
  <c r="X102" i="4" s="1"/>
  <c r="Y183" i="8"/>
  <c r="R104" i="8"/>
  <c r="R81" i="8"/>
  <c r="R171" i="8"/>
  <c r="AB113" i="8"/>
  <c r="AB182" i="8"/>
  <c r="AB139" i="8" s="1"/>
  <c r="AC181" i="8"/>
  <c r="Q132" i="2"/>
  <c r="Q124" i="2"/>
  <c r="AB182" i="9" l="1"/>
  <c r="AB139" i="9" s="1"/>
  <c r="Y180" i="9"/>
  <c r="Y108" i="4" s="1"/>
  <c r="AA183" i="9"/>
  <c r="AA122" i="9" s="1"/>
  <c r="Z180" i="9"/>
  <c r="Z108" i="4" s="1"/>
  <c r="Y122" i="9"/>
  <c r="Q197" i="9"/>
  <c r="Q198" i="9" s="1"/>
  <c r="Q144" i="9" s="1"/>
  <c r="Q142" i="9" s="1"/>
  <c r="Q145" i="9" s="1"/>
  <c r="R137" i="9" s="1"/>
  <c r="AC113" i="9"/>
  <c r="AD181" i="9"/>
  <c r="AB47" i="9"/>
  <c r="AB189" i="9" s="1"/>
  <c r="AB205" i="9"/>
  <c r="Q130" i="9"/>
  <c r="Q114" i="8"/>
  <c r="R80" i="8"/>
  <c r="R103" i="8" s="1"/>
  <c r="R125" i="8"/>
  <c r="Q42" i="8"/>
  <c r="AA189" i="8"/>
  <c r="AC113" i="8"/>
  <c r="AC182" i="8"/>
  <c r="AC139" i="8" s="1"/>
  <c r="AD181" i="8"/>
  <c r="AB205" i="8"/>
  <c r="AB47" i="8"/>
  <c r="Y122" i="8"/>
  <c r="Y180" i="8"/>
  <c r="Y102" i="4" s="1"/>
  <c r="Z183" i="8"/>
  <c r="Q121" i="2"/>
  <c r="Q147" i="2"/>
  <c r="AC182" i="9" l="1"/>
  <c r="AC139" i="9" s="1"/>
  <c r="AB183" i="9"/>
  <c r="AA180" i="9"/>
  <c r="AA108" i="4" s="1"/>
  <c r="Q199" i="9"/>
  <c r="Q200" i="9" s="1"/>
  <c r="Q116" i="9" s="1"/>
  <c r="Q51" i="9"/>
  <c r="Q49" i="9" s="1"/>
  <c r="AD113" i="9"/>
  <c r="AE181" i="9"/>
  <c r="R120" i="9"/>
  <c r="Q31" i="9"/>
  <c r="R141" i="9"/>
  <c r="R147" i="9"/>
  <c r="AC205" i="9"/>
  <c r="AC47" i="9"/>
  <c r="AC189" i="9" s="1"/>
  <c r="Z122" i="8"/>
  <c r="Z180" i="8"/>
  <c r="Z102" i="4" s="1"/>
  <c r="AA183" i="8"/>
  <c r="AC205" i="8"/>
  <c r="AC47" i="8"/>
  <c r="Q35" i="8"/>
  <c r="Q61" i="8" s="1"/>
  <c r="R79" i="8"/>
  <c r="AD113" i="8"/>
  <c r="AD182" i="8"/>
  <c r="AD139" i="8" s="1"/>
  <c r="AE181" i="8"/>
  <c r="AB189" i="8"/>
  <c r="Q190" i="2"/>
  <c r="Q52" i="2"/>
  <c r="Q141" i="2"/>
  <c r="Q143" i="2" s="1"/>
  <c r="AC183" i="9" l="1"/>
  <c r="AC122" i="9" s="1"/>
  <c r="AD182" i="9"/>
  <c r="AD139" i="9" s="1"/>
  <c r="AB122" i="9"/>
  <c r="AB180" i="9"/>
  <c r="AB108" i="4" s="1"/>
  <c r="Q201" i="9"/>
  <c r="R124" i="9"/>
  <c r="R132" i="9"/>
  <c r="AE113" i="9"/>
  <c r="AF181" i="9"/>
  <c r="R138" i="9"/>
  <c r="R143" i="9"/>
  <c r="Q207" i="9"/>
  <c r="Q208" i="9" s="1"/>
  <c r="Q53" i="9"/>
  <c r="Q45" i="9" s="1"/>
  <c r="Q55" i="9" s="1"/>
  <c r="Q59" i="9" s="1"/>
  <c r="Q117" i="9"/>
  <c r="AD205" i="9"/>
  <c r="AD47" i="9"/>
  <c r="AD189" i="9" s="1"/>
  <c r="AE113" i="8"/>
  <c r="AE182" i="8"/>
  <c r="AE139" i="8" s="1"/>
  <c r="AF181" i="8"/>
  <c r="AA122" i="8"/>
  <c r="AA180" i="8"/>
  <c r="AA102" i="4" s="1"/>
  <c r="AD205" i="8"/>
  <c r="AD47" i="8"/>
  <c r="Q188" i="8"/>
  <c r="R102" i="8"/>
  <c r="R109" i="6" s="1"/>
  <c r="AC189" i="8"/>
  <c r="R78" i="8"/>
  <c r="AB183" i="8"/>
  <c r="Q71" i="2"/>
  <c r="R155" i="2" s="1"/>
  <c r="Q76" i="2"/>
  <c r="Q192" i="2"/>
  <c r="Q138" i="2"/>
  <c r="Q48" i="2" s="1"/>
  <c r="R207" i="13" l="1"/>
  <c r="Q107" i="4"/>
  <c r="R187" i="9"/>
  <c r="AC180" i="9"/>
  <c r="AC108" i="4" s="1"/>
  <c r="Q89" i="2"/>
  <c r="AE182" i="9"/>
  <c r="AE139" i="9" s="1"/>
  <c r="AD183" i="9"/>
  <c r="AD122" i="9" s="1"/>
  <c r="AE205" i="9"/>
  <c r="AE47" i="9"/>
  <c r="AE189" i="9" s="1"/>
  <c r="Q30" i="9"/>
  <c r="Q29" i="9" s="1"/>
  <c r="Q27" i="9" s="1"/>
  <c r="Q25" i="9" s="1"/>
  <c r="Q105" i="4" s="1"/>
  <c r="R112" i="9"/>
  <c r="R191" i="9"/>
  <c r="R57" i="9"/>
  <c r="R76" i="9"/>
  <c r="R52" i="9"/>
  <c r="R192" i="9" s="1"/>
  <c r="AF113" i="9"/>
  <c r="AG181" i="9"/>
  <c r="R128" i="9"/>
  <c r="R71" i="9"/>
  <c r="R121" i="9"/>
  <c r="AF113" i="8"/>
  <c r="AF182" i="8"/>
  <c r="AF139" i="8" s="1"/>
  <c r="AG181" i="8"/>
  <c r="AD189" i="8"/>
  <c r="AE205" i="8"/>
  <c r="AE47" i="8"/>
  <c r="Q193" i="8"/>
  <c r="Q194" i="8" s="1"/>
  <c r="AB122" i="8"/>
  <c r="AB180" i="8"/>
  <c r="AB102" i="4" s="1"/>
  <c r="AC183" i="8"/>
  <c r="R101" i="8"/>
  <c r="Q75" i="2"/>
  <c r="Q99" i="2"/>
  <c r="Q85" i="6" s="1"/>
  <c r="Q191" i="2"/>
  <c r="Q66" i="2"/>
  <c r="Q15" i="2"/>
  <c r="Q181" i="13" l="1"/>
  <c r="Q37" i="13" s="1"/>
  <c r="S155" i="9"/>
  <c r="Q106" i="4"/>
  <c r="AF182" i="9"/>
  <c r="AF139" i="9" s="1"/>
  <c r="AD180" i="9"/>
  <c r="AD108" i="4" s="1"/>
  <c r="AE183" i="9"/>
  <c r="AE122" i="9" s="1"/>
  <c r="AF47" i="9"/>
  <c r="AF189" i="9" s="1"/>
  <c r="AF205" i="9"/>
  <c r="R66" i="9"/>
  <c r="R89" i="9"/>
  <c r="AG113" i="9"/>
  <c r="AH181" i="9"/>
  <c r="R190" i="9"/>
  <c r="R99" i="9"/>
  <c r="R75" i="9"/>
  <c r="R15" i="9"/>
  <c r="R48" i="9"/>
  <c r="R46" i="9" s="1"/>
  <c r="Q195" i="8"/>
  <c r="AE189" i="8"/>
  <c r="AG113" i="8"/>
  <c r="AG182" i="8"/>
  <c r="AG139" i="8" s="1"/>
  <c r="AH181" i="8"/>
  <c r="AC122" i="8"/>
  <c r="AC180" i="8"/>
  <c r="AC102" i="4" s="1"/>
  <c r="AD183" i="8"/>
  <c r="AE183" i="8" s="1"/>
  <c r="AF205" i="8"/>
  <c r="AF47" i="8"/>
  <c r="Q98" i="2"/>
  <c r="Q9" i="2" s="1"/>
  <c r="R169" i="2"/>
  <c r="R93" i="6" s="1"/>
  <c r="R154" i="2"/>
  <c r="R43" i="2" s="1"/>
  <c r="Q12" i="2"/>
  <c r="Q11" i="2" s="1"/>
  <c r="Q7" i="2"/>
  <c r="Q46" i="2"/>
  <c r="R253" i="13" l="1"/>
  <c r="R252" i="13" s="1"/>
  <c r="R153" i="6"/>
  <c r="R152" i="6" s="1"/>
  <c r="Q180" i="13"/>
  <c r="R191" i="13"/>
  <c r="R45" i="13" s="1"/>
  <c r="AG182" i="9"/>
  <c r="AG139" i="9" s="1"/>
  <c r="AF183" i="9"/>
  <c r="AF122" i="9" s="1"/>
  <c r="AE180" i="9"/>
  <c r="AE108" i="4" s="1"/>
  <c r="S154" i="9"/>
  <c r="S43" i="9" s="1"/>
  <c r="S169" i="9"/>
  <c r="S161" i="6" s="1"/>
  <c r="R12" i="9"/>
  <c r="R11" i="9" s="1"/>
  <c r="R7" i="9"/>
  <c r="R98" i="9"/>
  <c r="R9" i="9" s="1"/>
  <c r="AG205" i="9"/>
  <c r="AG47" i="9"/>
  <c r="AG189" i="9" s="1"/>
  <c r="AH113" i="9"/>
  <c r="AI181" i="9"/>
  <c r="AE122" i="8"/>
  <c r="AE180" i="8"/>
  <c r="AE102" i="4" s="1"/>
  <c r="Q196" i="8"/>
  <c r="AF189" i="8"/>
  <c r="AG205" i="8"/>
  <c r="AG47" i="8"/>
  <c r="AD122" i="8"/>
  <c r="AD180" i="8"/>
  <c r="AD102" i="4" s="1"/>
  <c r="AF183" i="8"/>
  <c r="AH113" i="8"/>
  <c r="AH182" i="8"/>
  <c r="AH139" i="8" s="1"/>
  <c r="AI181" i="8"/>
  <c r="Q206" i="8"/>
  <c r="Q115" i="8"/>
  <c r="Q50" i="8"/>
  <c r="Q84" i="6"/>
  <c r="Q88" i="2"/>
  <c r="Q83" i="2" s="1"/>
  <c r="Q84" i="2" s="1"/>
  <c r="Q26" i="2" s="1"/>
  <c r="R170" i="2"/>
  <c r="R168" i="2" s="1"/>
  <c r="R81" i="2" s="1"/>
  <c r="Q6" i="2"/>
  <c r="Q17" i="2" s="1"/>
  <c r="Q19" i="2" s="1"/>
  <c r="R148" i="6" l="1"/>
  <c r="Q80" i="6"/>
  <c r="Q36" i="13"/>
  <c r="R248" i="13"/>
  <c r="S263" i="13"/>
  <c r="Q176" i="13"/>
  <c r="AH182" i="9"/>
  <c r="AH139" i="9" s="1"/>
  <c r="AG183" i="9"/>
  <c r="AG122" i="9" s="1"/>
  <c r="AF180" i="9"/>
  <c r="AF108" i="4" s="1"/>
  <c r="R6" i="9"/>
  <c r="R17" i="9" s="1"/>
  <c r="R19" i="9" s="1"/>
  <c r="R42" i="9" s="1"/>
  <c r="R88" i="9"/>
  <c r="S170" i="9"/>
  <c r="S168" i="9" s="1"/>
  <c r="AI113" i="9"/>
  <c r="AJ181" i="9"/>
  <c r="AH205" i="9"/>
  <c r="AH47" i="9"/>
  <c r="AH189" i="9" s="1"/>
  <c r="AF122" i="8"/>
  <c r="AF180" i="8"/>
  <c r="AF102" i="4" s="1"/>
  <c r="AG183" i="8"/>
  <c r="AH183" i="8" s="1"/>
  <c r="AH122" i="8" s="1"/>
  <c r="AI113" i="8"/>
  <c r="AI182" i="8"/>
  <c r="AI139" i="8" s="1"/>
  <c r="AJ181" i="8"/>
  <c r="Q129" i="8"/>
  <c r="Q197" i="8"/>
  <c r="AH205" i="8"/>
  <c r="AH47" i="8"/>
  <c r="AG189" i="8"/>
  <c r="R65" i="2"/>
  <c r="Q36" i="2"/>
  <c r="R104" i="2"/>
  <c r="R171" i="2"/>
  <c r="R80" i="2" s="1"/>
  <c r="R103" i="2" s="1"/>
  <c r="Q42" i="2"/>
  <c r="Q21" i="2"/>
  <c r="Q32" i="13" l="1"/>
  <c r="AI182" i="9"/>
  <c r="AI139" i="9" s="1"/>
  <c r="AH183" i="9"/>
  <c r="AH122" i="9" s="1"/>
  <c r="AG180" i="9"/>
  <c r="AG108" i="4" s="1"/>
  <c r="R21" i="9"/>
  <c r="R114" i="9" s="1"/>
  <c r="AI47" i="9"/>
  <c r="AI189" i="9" s="1"/>
  <c r="AI205" i="9"/>
  <c r="S104" i="9"/>
  <c r="S81" i="9"/>
  <c r="S171" i="9"/>
  <c r="R83" i="9"/>
  <c r="R84" i="9" s="1"/>
  <c r="R36" i="9"/>
  <c r="R35" i="9" s="1"/>
  <c r="AJ113" i="9"/>
  <c r="AK181" i="9"/>
  <c r="AH189" i="8"/>
  <c r="Q126" i="8"/>
  <c r="Q198" i="8"/>
  <c r="Q199" i="8" s="1"/>
  <c r="AG122" i="8"/>
  <c r="AG180" i="8"/>
  <c r="AG102" i="4" s="1"/>
  <c r="AJ113" i="8"/>
  <c r="AJ182" i="8"/>
  <c r="AJ139" i="8" s="1"/>
  <c r="AK181" i="8"/>
  <c r="AI183" i="8"/>
  <c r="AI205" i="8"/>
  <c r="AI47" i="8"/>
  <c r="AH180" i="8"/>
  <c r="AH102" i="4" s="1"/>
  <c r="R79" i="2"/>
  <c r="R125" i="2"/>
  <c r="Q114" i="2"/>
  <c r="Q35" i="2"/>
  <c r="AH180" i="9" l="1"/>
  <c r="AH108" i="4" s="1"/>
  <c r="AI183" i="9"/>
  <c r="AI122" i="9" s="1"/>
  <c r="AJ182" i="9"/>
  <c r="AJ139" i="9" s="1"/>
  <c r="R61" i="9"/>
  <c r="R188" i="9"/>
  <c r="R193" i="9" s="1"/>
  <c r="S65" i="9"/>
  <c r="R26" i="9"/>
  <c r="AK113" i="9"/>
  <c r="AL181" i="9"/>
  <c r="S80" i="9"/>
  <c r="S125" i="9"/>
  <c r="AJ205" i="9"/>
  <c r="AJ47" i="9"/>
  <c r="AJ189" i="9" s="1"/>
  <c r="AI122" i="8"/>
  <c r="AI180" i="8"/>
  <c r="AI102" i="4" s="1"/>
  <c r="Q144" i="8"/>
  <c r="AJ183" i="8"/>
  <c r="AJ122" i="8" s="1"/>
  <c r="Q130" i="8"/>
  <c r="Q200" i="8"/>
  <c r="Q201" i="8" s="1"/>
  <c r="AI189" i="8"/>
  <c r="AJ205" i="8"/>
  <c r="AJ47" i="8"/>
  <c r="AK113" i="8"/>
  <c r="AK182" i="8"/>
  <c r="AK139" i="8" s="1"/>
  <c r="AL181" i="8"/>
  <c r="R78" i="2"/>
  <c r="R102" i="2"/>
  <c r="R75" i="6" s="1"/>
  <c r="Q188" i="2"/>
  <c r="Q61" i="2"/>
  <c r="R171" i="13" l="1"/>
  <c r="R27" i="13" s="1"/>
  <c r="AI180" i="9"/>
  <c r="AI108" i="4" s="1"/>
  <c r="AK182" i="9"/>
  <c r="AK139" i="9" s="1"/>
  <c r="AJ183" i="9"/>
  <c r="AJ180" i="9" s="1"/>
  <c r="AJ108" i="4" s="1"/>
  <c r="AK205" i="9"/>
  <c r="AK47" i="9"/>
  <c r="AK189" i="9" s="1"/>
  <c r="S79" i="9"/>
  <c r="S78" i="9" s="1"/>
  <c r="S103" i="9"/>
  <c r="S102" i="9" s="1"/>
  <c r="AL113" i="9"/>
  <c r="AM181" i="9"/>
  <c r="R194" i="9"/>
  <c r="AK183" i="8"/>
  <c r="AK122" i="8" s="1"/>
  <c r="AL113" i="8"/>
  <c r="AL182" i="8"/>
  <c r="AL139" i="8" s="1"/>
  <c r="AM181" i="8"/>
  <c r="AJ189" i="8"/>
  <c r="AJ180" i="8"/>
  <c r="AJ102" i="4" s="1"/>
  <c r="Q142" i="8"/>
  <c r="AK205" i="8"/>
  <c r="AK47" i="8"/>
  <c r="R187" i="8"/>
  <c r="Q116" i="8"/>
  <c r="R120" i="8"/>
  <c r="R101" i="2"/>
  <c r="Q193" i="2"/>
  <c r="Q194" i="2" s="1"/>
  <c r="S243" i="13" l="1"/>
  <c r="S143" i="6"/>
  <c r="AJ122" i="9"/>
  <c r="AK183" i="9"/>
  <c r="AK122" i="9" s="1"/>
  <c r="AL182" i="9"/>
  <c r="AL139" i="9" s="1"/>
  <c r="R206" i="9"/>
  <c r="R115" i="9"/>
  <c r="R50" i="9"/>
  <c r="AM113" i="9"/>
  <c r="AN181" i="9"/>
  <c r="S101" i="9"/>
  <c r="AL205" i="9"/>
  <c r="AL47" i="9"/>
  <c r="AL189" i="9" s="1"/>
  <c r="R195" i="9"/>
  <c r="R196" i="9" s="1"/>
  <c r="AK180" i="8"/>
  <c r="AK102" i="4" s="1"/>
  <c r="R124" i="8"/>
  <c r="R128" i="8" s="1"/>
  <c r="R132" i="8"/>
  <c r="AK189" i="8"/>
  <c r="Q207" i="8"/>
  <c r="Q53" i="8"/>
  <c r="Q117" i="8"/>
  <c r="Q145" i="8"/>
  <c r="Q51" i="8"/>
  <c r="AL183" i="8"/>
  <c r="AL122" i="8" s="1"/>
  <c r="AL205" i="8"/>
  <c r="AL47" i="8"/>
  <c r="AM113" i="8"/>
  <c r="AM182" i="8"/>
  <c r="AM139" i="8" s="1"/>
  <c r="AN181" i="8"/>
  <c r="Q115" i="2"/>
  <c r="Q50" i="2"/>
  <c r="Q206" i="2"/>
  <c r="Q195" i="2"/>
  <c r="AK180" i="9" l="1"/>
  <c r="AK108" i="4" s="1"/>
  <c r="AM182" i="9"/>
  <c r="AM139" i="9" s="1"/>
  <c r="AL183" i="9"/>
  <c r="AL122" i="9" s="1"/>
  <c r="AN113" i="9"/>
  <c r="AO181" i="9"/>
  <c r="R197" i="9"/>
  <c r="R129" i="9"/>
  <c r="R126" i="9" s="1"/>
  <c r="AM205" i="9"/>
  <c r="AM47" i="9"/>
  <c r="AM189" i="9" s="1"/>
  <c r="AN113" i="8"/>
  <c r="AN182" i="8"/>
  <c r="AN139" i="8" s="1"/>
  <c r="AO181" i="8"/>
  <c r="R121" i="8"/>
  <c r="R137" i="8"/>
  <c r="Q31" i="8"/>
  <c r="R112" i="8"/>
  <c r="Q30" i="8"/>
  <c r="Q208" i="8"/>
  <c r="AM183" i="8"/>
  <c r="AM122" i="8" s="1"/>
  <c r="AM205" i="8"/>
  <c r="AM47" i="8"/>
  <c r="AL180" i="8"/>
  <c r="AL102" i="4" s="1"/>
  <c r="AL189" i="8"/>
  <c r="Q49" i="8"/>
  <c r="Q196" i="2"/>
  <c r="AL180" i="9" l="1"/>
  <c r="AL108" i="4" s="1"/>
  <c r="AN182" i="9"/>
  <c r="AN139" i="9" s="1"/>
  <c r="AM183" i="9"/>
  <c r="AM122" i="9" s="1"/>
  <c r="R130" i="9"/>
  <c r="R198" i="9"/>
  <c r="R144" i="9" s="1"/>
  <c r="R142" i="9" s="1"/>
  <c r="R145" i="9" s="1"/>
  <c r="S137" i="9" s="1"/>
  <c r="AO113" i="9"/>
  <c r="AP181" i="9"/>
  <c r="AN205" i="9"/>
  <c r="AN47" i="9"/>
  <c r="AN189" i="9" s="1"/>
  <c r="R141" i="8"/>
  <c r="R143" i="8" s="1"/>
  <c r="R147" i="8"/>
  <c r="R190" i="8"/>
  <c r="Q29" i="8"/>
  <c r="Q27" i="8" s="1"/>
  <c r="Q25" i="8" s="1"/>
  <c r="Q99" i="4" s="1"/>
  <c r="AO113" i="8"/>
  <c r="AO182" i="8"/>
  <c r="AO139" i="8" s="1"/>
  <c r="AP181" i="8"/>
  <c r="Q45" i="8"/>
  <c r="AM180" i="8"/>
  <c r="AM102" i="4" s="1"/>
  <c r="AN183" i="8"/>
  <c r="AN122" i="8" s="1"/>
  <c r="AM189" i="8"/>
  <c r="AN205" i="8"/>
  <c r="AN47" i="8"/>
  <c r="Q129" i="2"/>
  <c r="Q126" i="2" s="1"/>
  <c r="Q197" i="2"/>
  <c r="AO182" i="9" l="1"/>
  <c r="AO139" i="9" s="1"/>
  <c r="AN183" i="9"/>
  <c r="AN122" i="9" s="1"/>
  <c r="AM180" i="9"/>
  <c r="AM108" i="4" s="1"/>
  <c r="R199" i="9"/>
  <c r="R200" i="9" s="1"/>
  <c r="R116" i="9" s="1"/>
  <c r="AO205" i="9"/>
  <c r="AO47" i="9"/>
  <c r="AO189" i="9" s="1"/>
  <c r="S141" i="9"/>
  <c r="S147" i="9"/>
  <c r="S120" i="9"/>
  <c r="R31" i="9"/>
  <c r="AP113" i="9"/>
  <c r="AQ181" i="9"/>
  <c r="R51" i="9"/>
  <c r="R49" i="9" s="1"/>
  <c r="AN180" i="8"/>
  <c r="AN102" i="4" s="1"/>
  <c r="AO183" i="8"/>
  <c r="AO122" i="8" s="1"/>
  <c r="AO205" i="8"/>
  <c r="AO47" i="8"/>
  <c r="Q55" i="8"/>
  <c r="R52" i="8"/>
  <c r="R76" i="8"/>
  <c r="AP113" i="8"/>
  <c r="AP182" i="8"/>
  <c r="AP139" i="8" s="1"/>
  <c r="AQ181" i="8"/>
  <c r="R138" i="8"/>
  <c r="R71" i="8"/>
  <c r="AN189" i="8"/>
  <c r="Q198" i="2"/>
  <c r="S155" i="8" l="1"/>
  <c r="AP182" i="9"/>
  <c r="AP139" i="9" s="1"/>
  <c r="AO183" i="9"/>
  <c r="AO122" i="9" s="1"/>
  <c r="AN180" i="9"/>
  <c r="AN108" i="4" s="1"/>
  <c r="R201" i="9"/>
  <c r="S143" i="9"/>
  <c r="S138" i="9"/>
  <c r="S132" i="9"/>
  <c r="S124" i="9"/>
  <c r="AP205" i="9"/>
  <c r="AP47" i="9"/>
  <c r="AP189" i="9" s="1"/>
  <c r="R207" i="9"/>
  <c r="R208" i="9" s="1"/>
  <c r="R53" i="9"/>
  <c r="R45" i="9" s="1"/>
  <c r="R55" i="9" s="1"/>
  <c r="R59" i="9" s="1"/>
  <c r="R117" i="9"/>
  <c r="AQ113" i="9"/>
  <c r="AR181" i="9"/>
  <c r="R89" i="8"/>
  <c r="AO180" i="8"/>
  <c r="AO102" i="4" s="1"/>
  <c r="AP183" i="8"/>
  <c r="AP122" i="8" s="1"/>
  <c r="Q59" i="8"/>
  <c r="AQ113" i="8"/>
  <c r="AQ182" i="8"/>
  <c r="AQ139" i="8" s="1"/>
  <c r="AR181" i="8"/>
  <c r="AP205" i="8"/>
  <c r="AP47" i="8"/>
  <c r="R66" i="8"/>
  <c r="R48" i="8"/>
  <c r="R75" i="8"/>
  <c r="R99" i="8"/>
  <c r="R119" i="6" s="1"/>
  <c r="R15" i="8"/>
  <c r="AO189" i="8"/>
  <c r="R191" i="8"/>
  <c r="R192" i="8"/>
  <c r="Q130" i="2"/>
  <c r="Q144" i="2"/>
  <c r="Q199" i="2"/>
  <c r="R118" i="6" l="1"/>
  <c r="R217" i="13"/>
  <c r="R107" i="4"/>
  <c r="Q100" i="4"/>
  <c r="Q101" i="4"/>
  <c r="S187" i="9"/>
  <c r="AQ182" i="9"/>
  <c r="AQ139" i="9" s="1"/>
  <c r="AO180" i="9"/>
  <c r="AO108" i="4" s="1"/>
  <c r="AP183" i="9"/>
  <c r="AP122" i="9" s="1"/>
  <c r="S57" i="9"/>
  <c r="S52" i="9"/>
  <c r="S192" i="9" s="1"/>
  <c r="S76" i="9"/>
  <c r="AR113" i="9"/>
  <c r="AS181" i="9"/>
  <c r="S112" i="9"/>
  <c r="R30" i="9"/>
  <c r="R29" i="9" s="1"/>
  <c r="R27" i="9" s="1"/>
  <c r="R25" i="9" s="1"/>
  <c r="R105" i="4" s="1"/>
  <c r="S191" i="9"/>
  <c r="S128" i="9"/>
  <c r="S71" i="9"/>
  <c r="S121" i="9"/>
  <c r="AQ47" i="9"/>
  <c r="AQ189" i="9" s="1"/>
  <c r="AQ205" i="9"/>
  <c r="AP180" i="8"/>
  <c r="AP102" i="4" s="1"/>
  <c r="AQ183" i="8"/>
  <c r="AQ122" i="8" s="1"/>
  <c r="S169" i="8"/>
  <c r="S127" i="6" s="1"/>
  <c r="R12" i="8"/>
  <c r="R7" i="8"/>
  <c r="AQ205" i="8"/>
  <c r="AQ47" i="8"/>
  <c r="R98" i="8"/>
  <c r="R88" i="8" s="1"/>
  <c r="R57" i="8"/>
  <c r="AP189" i="8"/>
  <c r="S154" i="8"/>
  <c r="R46" i="8"/>
  <c r="AR113" i="8"/>
  <c r="AR182" i="8"/>
  <c r="AR139" i="8" s="1"/>
  <c r="AS181" i="8"/>
  <c r="R120" i="2"/>
  <c r="Q200" i="2"/>
  <c r="Q201" i="2" s="1"/>
  <c r="Q142" i="2"/>
  <c r="S227" i="13" l="1"/>
  <c r="R216" i="13"/>
  <c r="T155" i="9"/>
  <c r="R106" i="4"/>
  <c r="AR182" i="9"/>
  <c r="AR139" i="9" s="1"/>
  <c r="AP180" i="9"/>
  <c r="AP108" i="4" s="1"/>
  <c r="AQ183" i="9"/>
  <c r="AQ122" i="9" s="1"/>
  <c r="S190" i="9"/>
  <c r="AR205" i="9"/>
  <c r="AR47" i="9"/>
  <c r="AR189" i="9" s="1"/>
  <c r="S99" i="9"/>
  <c r="S15" i="9"/>
  <c r="S75" i="9"/>
  <c r="S48" i="9"/>
  <c r="S46" i="9" s="1"/>
  <c r="AS113" i="9"/>
  <c r="AT181" i="9"/>
  <c r="S66" i="9"/>
  <c r="S89" i="9"/>
  <c r="S170" i="8"/>
  <c r="S168" i="8" s="1"/>
  <c r="R114" i="6"/>
  <c r="AQ180" i="8"/>
  <c r="AQ102" i="4" s="1"/>
  <c r="AR183" i="8"/>
  <c r="AR122" i="8" s="1"/>
  <c r="S43" i="8"/>
  <c r="R83" i="8"/>
  <c r="R36" i="8"/>
  <c r="AR205" i="8"/>
  <c r="AR47" i="8"/>
  <c r="R11" i="8"/>
  <c r="AQ189" i="8"/>
  <c r="AS113" i="8"/>
  <c r="AS182" i="8"/>
  <c r="AS139" i="8" s="1"/>
  <c r="AT181" i="8"/>
  <c r="R9" i="8"/>
  <c r="R187" i="2"/>
  <c r="Q145" i="2"/>
  <c r="Q51" i="2"/>
  <c r="Q116" i="2"/>
  <c r="S253" i="13" l="1"/>
  <c r="S252" i="13" s="1"/>
  <c r="S153" i="6"/>
  <c r="S152" i="6" s="1"/>
  <c r="R212" i="13"/>
  <c r="AS182" i="9"/>
  <c r="AS139" i="9" s="1"/>
  <c r="AR183" i="9"/>
  <c r="AR180" i="9" s="1"/>
  <c r="AR108" i="4" s="1"/>
  <c r="AQ180" i="9"/>
  <c r="AQ108" i="4" s="1"/>
  <c r="S12" i="9"/>
  <c r="S11" i="9" s="1"/>
  <c r="S7" i="9"/>
  <c r="AT113" i="9"/>
  <c r="AU181" i="9"/>
  <c r="S98" i="9"/>
  <c r="S9" i="9" s="1"/>
  <c r="T154" i="9"/>
  <c r="T43" i="9" s="1"/>
  <c r="T169" i="9"/>
  <c r="T161" i="6" s="1"/>
  <c r="AS205" i="9"/>
  <c r="AS47" i="9"/>
  <c r="AS189" i="9" s="1"/>
  <c r="AR180" i="8"/>
  <c r="AR102" i="4" s="1"/>
  <c r="S104" i="8"/>
  <c r="S81" i="8"/>
  <c r="S171" i="8"/>
  <c r="AT113" i="8"/>
  <c r="AT182" i="8"/>
  <c r="AT139" i="8" s="1"/>
  <c r="AU181" i="8"/>
  <c r="AS183" i="8"/>
  <c r="AS122" i="8" s="1"/>
  <c r="R84" i="8"/>
  <c r="AS205" i="8"/>
  <c r="AS47" i="8"/>
  <c r="R6" i="8"/>
  <c r="AR189" i="8"/>
  <c r="R137" i="2"/>
  <c r="Q31" i="2"/>
  <c r="Q53" i="2"/>
  <c r="Q207" i="2"/>
  <c r="Q117" i="2"/>
  <c r="Q49" i="2"/>
  <c r="S148" i="6" l="1"/>
  <c r="T263" i="13"/>
  <c r="S248" i="13"/>
  <c r="AT182" i="9"/>
  <c r="AT139" i="9" s="1"/>
  <c r="AS183" i="9"/>
  <c r="AS180" i="9" s="1"/>
  <c r="AS108" i="4" s="1"/>
  <c r="AR122" i="9"/>
  <c r="S6" i="9"/>
  <c r="S17" i="9" s="1"/>
  <c r="S19" i="9" s="1"/>
  <c r="S21" i="9" s="1"/>
  <c r="S114" i="9" s="1"/>
  <c r="S88" i="9"/>
  <c r="S83" i="9" s="1"/>
  <c r="S84" i="9" s="1"/>
  <c r="AT205" i="9"/>
  <c r="AT47" i="9"/>
  <c r="AT189" i="9" s="1"/>
  <c r="T170" i="9"/>
  <c r="T168" i="9" s="1"/>
  <c r="AU113" i="9"/>
  <c r="AV181" i="9"/>
  <c r="AS180" i="8"/>
  <c r="AS102" i="4" s="1"/>
  <c r="AT205" i="8"/>
  <c r="AT47" i="8"/>
  <c r="S125" i="8"/>
  <c r="S80" i="8"/>
  <c r="R17" i="8"/>
  <c r="AS189" i="8"/>
  <c r="AU113" i="8"/>
  <c r="AU182" i="8"/>
  <c r="AU139" i="8" s="1"/>
  <c r="AV181" i="8"/>
  <c r="AT183" i="8"/>
  <c r="S65" i="8"/>
  <c r="R26" i="8"/>
  <c r="Q30" i="2"/>
  <c r="Q29" i="2" s="1"/>
  <c r="Q27" i="2" s="1"/>
  <c r="R112" i="2"/>
  <c r="Q45" i="2"/>
  <c r="Q208" i="2"/>
  <c r="AS122" i="9" l="1"/>
  <c r="AT183" i="9"/>
  <c r="AT122" i="9" s="1"/>
  <c r="AU182" i="9"/>
  <c r="AU139" i="9" s="1"/>
  <c r="S42" i="9"/>
  <c r="S36" i="9"/>
  <c r="AV113" i="9"/>
  <c r="AW181" i="9"/>
  <c r="T65" i="9"/>
  <c r="S26" i="9"/>
  <c r="AU205" i="9"/>
  <c r="AU47" i="9"/>
  <c r="AU189" i="9" s="1"/>
  <c r="T81" i="9"/>
  <c r="T104" i="9"/>
  <c r="T171" i="9"/>
  <c r="S103" i="8"/>
  <c r="AV113" i="8"/>
  <c r="AV182" i="8"/>
  <c r="AV139" i="8" s="1"/>
  <c r="AW181" i="8"/>
  <c r="AU183" i="8"/>
  <c r="AU122" i="8" s="1"/>
  <c r="AU205" i="8"/>
  <c r="AU47" i="8"/>
  <c r="S79" i="8"/>
  <c r="R19" i="8"/>
  <c r="AT122" i="8"/>
  <c r="AT180" i="8"/>
  <c r="AT102" i="4" s="1"/>
  <c r="AT189" i="8"/>
  <c r="Q25" i="2"/>
  <c r="Q93" i="4" s="1"/>
  <c r="Q55" i="2"/>
  <c r="AT180" i="9" l="1"/>
  <c r="AT108" i="4" s="1"/>
  <c r="AU183" i="9"/>
  <c r="AU122" i="9" s="1"/>
  <c r="AV182" i="9"/>
  <c r="AV139" i="9" s="1"/>
  <c r="S35" i="9"/>
  <c r="AW113" i="9"/>
  <c r="AX181" i="9"/>
  <c r="T125" i="9"/>
  <c r="T80" i="9"/>
  <c r="AV47" i="9"/>
  <c r="AV189" i="9" s="1"/>
  <c r="AV205" i="9"/>
  <c r="AU180" i="8"/>
  <c r="AU102" i="4" s="1"/>
  <c r="R42" i="8"/>
  <c r="R21" i="8"/>
  <c r="AW113" i="8"/>
  <c r="AW182" i="8"/>
  <c r="AW139" i="8" s="1"/>
  <c r="AX181" i="8"/>
  <c r="S102" i="8"/>
  <c r="S109" i="6" s="1"/>
  <c r="AV183" i="8"/>
  <c r="AV122" i="8" s="1"/>
  <c r="S78" i="8"/>
  <c r="AV205" i="8"/>
  <c r="AV47" i="8"/>
  <c r="AU189" i="8"/>
  <c r="Q59" i="2"/>
  <c r="S207" i="13" l="1"/>
  <c r="AU180" i="9"/>
  <c r="AU108" i="4" s="1"/>
  <c r="Q94" i="4"/>
  <c r="Q95" i="4"/>
  <c r="AW182" i="9"/>
  <c r="AW139" i="9" s="1"/>
  <c r="AV183" i="9"/>
  <c r="AV122" i="9" s="1"/>
  <c r="S61" i="9"/>
  <c r="S188" i="9"/>
  <c r="S193" i="9" s="1"/>
  <c r="S194" i="9" s="1"/>
  <c r="S195" i="9" s="1"/>
  <c r="S196" i="9" s="1"/>
  <c r="S129" i="9" s="1"/>
  <c r="S126" i="9" s="1"/>
  <c r="S130" i="9" s="1"/>
  <c r="AX113" i="9"/>
  <c r="AY181" i="9"/>
  <c r="T79" i="9"/>
  <c r="T78" i="9" s="1"/>
  <c r="T103" i="9"/>
  <c r="T102" i="9" s="1"/>
  <c r="AW47" i="9"/>
  <c r="AW189" i="9" s="1"/>
  <c r="AW205" i="9"/>
  <c r="AW205" i="8"/>
  <c r="AW47" i="8"/>
  <c r="AV180" i="8"/>
  <c r="AV102" i="4" s="1"/>
  <c r="AX113" i="8"/>
  <c r="AX182" i="8"/>
  <c r="AX139" i="8" s="1"/>
  <c r="AY181" i="8"/>
  <c r="R114" i="8"/>
  <c r="S101" i="8"/>
  <c r="AV189" i="8"/>
  <c r="AW183" i="8"/>
  <c r="R35" i="8"/>
  <c r="R61" i="8" s="1"/>
  <c r="R57" i="2"/>
  <c r="T243" i="13" l="1"/>
  <c r="T143" i="6"/>
  <c r="AW183" i="9"/>
  <c r="AW122" i="9" s="1"/>
  <c r="AX182" i="9"/>
  <c r="AX139" i="9" s="1"/>
  <c r="AV180" i="9"/>
  <c r="AV108" i="4" s="1"/>
  <c r="S115" i="9"/>
  <c r="S206" i="9"/>
  <c r="S197" i="9"/>
  <c r="S198" i="9" s="1"/>
  <c r="S144" i="9" s="1"/>
  <c r="S142" i="9" s="1"/>
  <c r="S50" i="9"/>
  <c r="AX205" i="9"/>
  <c r="AX47" i="9"/>
  <c r="AX189" i="9" s="1"/>
  <c r="T101" i="9"/>
  <c r="AY113" i="9"/>
  <c r="AZ181" i="9"/>
  <c r="T120" i="9"/>
  <c r="AX183" i="8"/>
  <c r="AX122" i="8" s="1"/>
  <c r="AX205" i="8"/>
  <c r="AX47" i="8"/>
  <c r="R188" i="8"/>
  <c r="AW189" i="8"/>
  <c r="AW122" i="8"/>
  <c r="AW180" i="8"/>
  <c r="AW102" i="4" s="1"/>
  <c r="AY113" i="8"/>
  <c r="AY182" i="8"/>
  <c r="AY139" i="8" s="1"/>
  <c r="AZ181" i="8"/>
  <c r="Q180" i="2"/>
  <c r="Q96" i="4" s="1"/>
  <c r="R181" i="2"/>
  <c r="AW180" i="9" l="1"/>
  <c r="AW108" i="4" s="1"/>
  <c r="AY182" i="9"/>
  <c r="AY139" i="9" s="1"/>
  <c r="AX183" i="9"/>
  <c r="AX122" i="9" s="1"/>
  <c r="S199" i="9"/>
  <c r="S200" i="9" s="1"/>
  <c r="S116" i="9" s="1"/>
  <c r="T132" i="9"/>
  <c r="T124" i="9"/>
  <c r="AZ113" i="9"/>
  <c r="BA181" i="9"/>
  <c r="S51" i="9"/>
  <c r="S49" i="9" s="1"/>
  <c r="S145" i="9"/>
  <c r="AY47" i="9"/>
  <c r="AY189" i="9" s="1"/>
  <c r="AY205" i="9"/>
  <c r="R193" i="8"/>
  <c r="R194" i="8" s="1"/>
  <c r="AY183" i="8"/>
  <c r="AY122" i="8" s="1"/>
  <c r="AY205" i="8"/>
  <c r="AY47" i="8"/>
  <c r="AX189" i="8"/>
  <c r="AX180" i="8"/>
  <c r="AX102" i="4" s="1"/>
  <c r="AZ113" i="8"/>
  <c r="AZ182" i="8"/>
  <c r="AZ139" i="8" s="1"/>
  <c r="BA181" i="8"/>
  <c r="R113" i="2"/>
  <c r="R182" i="2"/>
  <c r="R139" i="2" s="1"/>
  <c r="S181" i="2"/>
  <c r="AZ182" i="9" l="1"/>
  <c r="AZ139" i="9" s="1"/>
  <c r="AY183" i="9"/>
  <c r="AY122" i="9" s="1"/>
  <c r="AX180" i="9"/>
  <c r="AX108" i="4" s="1"/>
  <c r="S201" i="9"/>
  <c r="BA113" i="9"/>
  <c r="N181" i="9"/>
  <c r="S207" i="9"/>
  <c r="S208" i="9" s="1"/>
  <c r="S53" i="9"/>
  <c r="S45" i="9" s="1"/>
  <c r="S55" i="9" s="1"/>
  <c r="S59" i="9" s="1"/>
  <c r="S117" i="9"/>
  <c r="AZ205" i="9"/>
  <c r="AZ47" i="9"/>
  <c r="AZ189" i="9" s="1"/>
  <c r="T137" i="9"/>
  <c r="S31" i="9"/>
  <c r="T128" i="9"/>
  <c r="T121" i="9"/>
  <c r="AY189" i="8"/>
  <c r="BA113" i="8"/>
  <c r="BA182" i="8"/>
  <c r="N181" i="8"/>
  <c r="R195" i="8"/>
  <c r="AY180" i="8"/>
  <c r="AY102" i="4" s="1"/>
  <c r="AZ183" i="8"/>
  <c r="AZ205" i="8"/>
  <c r="AZ47" i="8"/>
  <c r="S113" i="2"/>
  <c r="S182" i="2"/>
  <c r="S139" i="2" s="1"/>
  <c r="R183" i="2"/>
  <c r="R147" i="2"/>
  <c r="R141" i="2"/>
  <c r="R47" i="2"/>
  <c r="R205" i="2"/>
  <c r="T181" i="2"/>
  <c r="AY180" i="9" l="1"/>
  <c r="AY108" i="4" s="1"/>
  <c r="AZ183" i="9"/>
  <c r="AZ180" i="9" s="1"/>
  <c r="AZ108" i="4" s="1"/>
  <c r="BA182" i="9"/>
  <c r="BA139" i="9" s="1"/>
  <c r="N139" i="9" s="1"/>
  <c r="S107" i="4"/>
  <c r="T187" i="9"/>
  <c r="T112" i="9"/>
  <c r="S30" i="9"/>
  <c r="S29" i="9" s="1"/>
  <c r="S27" i="9" s="1"/>
  <c r="S25" i="9" s="1"/>
  <c r="S105" i="4" s="1"/>
  <c r="T141" i="9"/>
  <c r="T147" i="9"/>
  <c r="T57" i="9"/>
  <c r="T190" i="9"/>
  <c r="BA47" i="9"/>
  <c r="BA205" i="9"/>
  <c r="N205" i="9" s="1"/>
  <c r="N113" i="9"/>
  <c r="BA183" i="8"/>
  <c r="N183" i="8" s="1"/>
  <c r="R196" i="8"/>
  <c r="BA139" i="8"/>
  <c r="N182" i="8"/>
  <c r="AZ189" i="8"/>
  <c r="BA205" i="8"/>
  <c r="BA47" i="8"/>
  <c r="N113" i="8"/>
  <c r="AZ122" i="8"/>
  <c r="AZ180" i="8"/>
  <c r="AZ102" i="4" s="1"/>
  <c r="R206" i="8"/>
  <c r="R115" i="8"/>
  <c r="R50" i="8"/>
  <c r="R143" i="2"/>
  <c r="R189" i="2"/>
  <c r="R122" i="2"/>
  <c r="R180" i="2"/>
  <c r="R96" i="4" s="1"/>
  <c r="S183" i="2"/>
  <c r="S122" i="2" s="1"/>
  <c r="T113" i="2"/>
  <c r="T182" i="2"/>
  <c r="T139" i="2" s="1"/>
  <c r="R138" i="2"/>
  <c r="S47" i="2"/>
  <c r="S205" i="2"/>
  <c r="U181" i="2"/>
  <c r="AZ122" i="9" l="1"/>
  <c r="BA183" i="9"/>
  <c r="BA122" i="9" s="1"/>
  <c r="N182" i="9"/>
  <c r="S106" i="4"/>
  <c r="BA189" i="9"/>
  <c r="N189" i="9" s="1"/>
  <c r="N47" i="9"/>
  <c r="T76" i="9"/>
  <c r="T52" i="9"/>
  <c r="T192" i="9" s="1"/>
  <c r="T143" i="9"/>
  <c r="T138" i="9"/>
  <c r="T71" i="9"/>
  <c r="BA180" i="8"/>
  <c r="BA102" i="4" s="1"/>
  <c r="N102" i="4" s="1"/>
  <c r="BA122" i="8"/>
  <c r="N122" i="8" s="1"/>
  <c r="N139" i="8"/>
  <c r="R129" i="8"/>
  <c r="N205" i="8"/>
  <c r="BA189" i="8"/>
  <c r="N189" i="8" s="1"/>
  <c r="N47" i="8"/>
  <c r="R197" i="8"/>
  <c r="S180" i="2"/>
  <c r="S96" i="4" s="1"/>
  <c r="T183" i="2"/>
  <c r="T122" i="2" s="1"/>
  <c r="R132" i="2"/>
  <c r="R124" i="2"/>
  <c r="T47" i="2"/>
  <c r="T205" i="2"/>
  <c r="U113" i="2"/>
  <c r="U182" i="2"/>
  <c r="U139" i="2" s="1"/>
  <c r="S189" i="2"/>
  <c r="R191" i="2"/>
  <c r="V181" i="2"/>
  <c r="U155" i="9" l="1"/>
  <c r="N122" i="9"/>
  <c r="N183" i="9"/>
  <c r="BA180" i="9"/>
  <c r="BA108" i="4" s="1"/>
  <c r="N108" i="4" s="1"/>
  <c r="T191" i="9"/>
  <c r="T66" i="9"/>
  <c r="T89" i="9"/>
  <c r="T48" i="9"/>
  <c r="T46" i="9" s="1"/>
  <c r="T15" i="9"/>
  <c r="T99" i="9"/>
  <c r="T75" i="9"/>
  <c r="N180" i="8"/>
  <c r="R198" i="8"/>
  <c r="R199" i="8" s="1"/>
  <c r="R126" i="8"/>
  <c r="R128" i="2"/>
  <c r="T180" i="2"/>
  <c r="T96" i="4" s="1"/>
  <c r="U183" i="2"/>
  <c r="U122" i="2" s="1"/>
  <c r="R121" i="2"/>
  <c r="U205" i="2"/>
  <c r="U47" i="2"/>
  <c r="U189" i="2" s="1"/>
  <c r="T189" i="2"/>
  <c r="R71" i="2"/>
  <c r="R52" i="2"/>
  <c r="R76" i="2"/>
  <c r="V113" i="2"/>
  <c r="V182" i="2"/>
  <c r="W181" i="2"/>
  <c r="T253" i="13" l="1"/>
  <c r="T252" i="13" s="1"/>
  <c r="T153" i="6"/>
  <c r="T152" i="6" s="1"/>
  <c r="S155" i="2"/>
  <c r="N180" i="9"/>
  <c r="T98" i="9"/>
  <c r="T9" i="9" s="1"/>
  <c r="U169" i="9"/>
  <c r="U161" i="6" s="1"/>
  <c r="U154" i="9"/>
  <c r="U43" i="9" s="1"/>
  <c r="T12" i="9"/>
  <c r="T11" i="9" s="1"/>
  <c r="T7" i="9"/>
  <c r="R89" i="2"/>
  <c r="R200" i="8"/>
  <c r="R130" i="8"/>
  <c r="R144" i="8"/>
  <c r="R75" i="2"/>
  <c r="R99" i="2"/>
  <c r="R85" i="6" s="1"/>
  <c r="U180" i="2"/>
  <c r="U96" i="4" s="1"/>
  <c r="R66" i="2"/>
  <c r="R48" i="2"/>
  <c r="V139" i="2"/>
  <c r="R190" i="2"/>
  <c r="R192" i="2"/>
  <c r="V183" i="2"/>
  <c r="V122" i="2" s="1"/>
  <c r="W113" i="2"/>
  <c r="W182" i="2"/>
  <c r="W139" i="2" s="1"/>
  <c r="V47" i="2"/>
  <c r="V189" i="2" s="1"/>
  <c r="V205" i="2"/>
  <c r="R15" i="2"/>
  <c r="X181" i="2"/>
  <c r="T148" i="6" l="1"/>
  <c r="U263" i="13"/>
  <c r="R181" i="13"/>
  <c r="R37" i="13" s="1"/>
  <c r="T248" i="13"/>
  <c r="U170" i="9"/>
  <c r="U168" i="9" s="1"/>
  <c r="U171" i="9" s="1"/>
  <c r="U80" i="9" s="1"/>
  <c r="T6" i="9"/>
  <c r="T17" i="9" s="1"/>
  <c r="T88" i="9"/>
  <c r="S120" i="8"/>
  <c r="R142" i="8"/>
  <c r="R116" i="8"/>
  <c r="R201" i="8"/>
  <c r="R98" i="2"/>
  <c r="R9" i="2" s="1"/>
  <c r="V180" i="2"/>
  <c r="V96" i="4" s="1"/>
  <c r="W183" i="2"/>
  <c r="W205" i="2"/>
  <c r="W47" i="2"/>
  <c r="W189" i="2" s="1"/>
  <c r="R12" i="2"/>
  <c r="R7" i="2"/>
  <c r="X113" i="2"/>
  <c r="X182" i="2"/>
  <c r="X139" i="2" s="1"/>
  <c r="R46" i="2"/>
  <c r="S169" i="2"/>
  <c r="S93" i="6" s="1"/>
  <c r="S154" i="2"/>
  <c r="Y181" i="2"/>
  <c r="R180" i="13" l="1"/>
  <c r="S191" i="13"/>
  <c r="S45" i="13" s="1"/>
  <c r="U81" i="9"/>
  <c r="U79" i="9" s="1"/>
  <c r="U78" i="9" s="1"/>
  <c r="U104" i="9"/>
  <c r="U125" i="9"/>
  <c r="T83" i="9"/>
  <c r="T84" i="9" s="1"/>
  <c r="T36" i="9"/>
  <c r="T19" i="9"/>
  <c r="T42" i="9" s="1"/>
  <c r="U103" i="9"/>
  <c r="S124" i="8"/>
  <c r="S128" i="8" s="1"/>
  <c r="S132" i="8"/>
  <c r="S187" i="8"/>
  <c r="R207" i="8"/>
  <c r="R53" i="8"/>
  <c r="R117" i="8"/>
  <c r="R145" i="8"/>
  <c r="R51" i="8"/>
  <c r="R88" i="2"/>
  <c r="R83" i="2" s="1"/>
  <c r="R84" i="2" s="1"/>
  <c r="R84" i="6"/>
  <c r="X183" i="2"/>
  <c r="X122" i="2" s="1"/>
  <c r="W122" i="2"/>
  <c r="W180" i="2"/>
  <c r="W96" i="4" s="1"/>
  <c r="S170" i="2"/>
  <c r="S168" i="2" s="1"/>
  <c r="R6" i="2"/>
  <c r="R11" i="2"/>
  <c r="Y113" i="2"/>
  <c r="Y182" i="2"/>
  <c r="Y139" i="2" s="1"/>
  <c r="X205" i="2"/>
  <c r="X47" i="2"/>
  <c r="X189" i="2" s="1"/>
  <c r="S43" i="2"/>
  <c r="Z181" i="2"/>
  <c r="R80" i="6" l="1"/>
  <c r="R36" i="13"/>
  <c r="R176" i="13"/>
  <c r="U102" i="9"/>
  <c r="U143" i="6" s="1"/>
  <c r="T21" i="9"/>
  <c r="T114" i="9" s="1"/>
  <c r="T35" i="9"/>
  <c r="U65" i="9"/>
  <c r="T26" i="9"/>
  <c r="S137" i="8"/>
  <c r="R31" i="8"/>
  <c r="S121" i="8"/>
  <c r="R208" i="8"/>
  <c r="S112" i="8"/>
  <c r="R30" i="8"/>
  <c r="R49" i="8"/>
  <c r="R36" i="2"/>
  <c r="S104" i="2"/>
  <c r="S81" i="2"/>
  <c r="X180" i="2"/>
  <c r="X96" i="4" s="1"/>
  <c r="Y47" i="2"/>
  <c r="Y189" i="2" s="1"/>
  <c r="Y205" i="2"/>
  <c r="R17" i="2"/>
  <c r="S171" i="2"/>
  <c r="S80" i="2" s="1"/>
  <c r="Y183" i="2"/>
  <c r="Y122" i="2" s="1"/>
  <c r="Z113" i="2"/>
  <c r="Z182" i="2"/>
  <c r="Z139" i="2" s="1"/>
  <c r="AA181" i="2"/>
  <c r="R32" i="13" l="1"/>
  <c r="U101" i="9"/>
  <c r="U243" i="13"/>
  <c r="T61" i="9"/>
  <c r="T188" i="9"/>
  <c r="T193" i="9" s="1"/>
  <c r="S141" i="8"/>
  <c r="S143" i="8" s="1"/>
  <c r="S147" i="8"/>
  <c r="R29" i="8"/>
  <c r="R27" i="8" s="1"/>
  <c r="R25" i="8" s="1"/>
  <c r="R99" i="4" s="1"/>
  <c r="R45" i="8"/>
  <c r="S190" i="8"/>
  <c r="S103" i="2"/>
  <c r="S79" i="2"/>
  <c r="R19" i="2"/>
  <c r="R21" i="2" s="1"/>
  <c r="S125" i="2"/>
  <c r="Y180" i="2"/>
  <c r="Y96" i="4" s="1"/>
  <c r="Z183" i="2"/>
  <c r="Z180" i="2" s="1"/>
  <c r="Z96" i="4" s="1"/>
  <c r="AA113" i="2"/>
  <c r="AA182" i="2"/>
  <c r="AA139" i="2" s="1"/>
  <c r="Z205" i="2"/>
  <c r="Z47" i="2"/>
  <c r="Z189" i="2" s="1"/>
  <c r="R26" i="2"/>
  <c r="S65" i="2"/>
  <c r="AB181" i="2"/>
  <c r="T194" i="9" l="1"/>
  <c r="T195" i="9" s="1"/>
  <c r="T196" i="9" s="1"/>
  <c r="S76" i="8"/>
  <c r="S52" i="8"/>
  <c r="S138" i="8"/>
  <c r="S71" i="8"/>
  <c r="R55" i="8"/>
  <c r="S78" i="2"/>
  <c r="S102" i="2"/>
  <c r="S75" i="6" s="1"/>
  <c r="R114" i="2"/>
  <c r="AB113" i="2"/>
  <c r="AB182" i="2"/>
  <c r="AB139" i="2" s="1"/>
  <c r="AA47" i="2"/>
  <c r="AA189" i="2" s="1"/>
  <c r="AA205" i="2"/>
  <c r="R42" i="2"/>
  <c r="AA183" i="2"/>
  <c r="Z122" i="2"/>
  <c r="AC181" i="2"/>
  <c r="S171" i="13" l="1"/>
  <c r="S27" i="13" s="1"/>
  <c r="T155" i="8"/>
  <c r="T197" i="9"/>
  <c r="T129" i="9"/>
  <c r="T126" i="9" s="1"/>
  <c r="T130" i="9" s="1"/>
  <c r="T50" i="9"/>
  <c r="T206" i="9"/>
  <c r="T115" i="9"/>
  <c r="S89" i="8"/>
  <c r="R59" i="8"/>
  <c r="S48" i="8"/>
  <c r="S66" i="8"/>
  <c r="S191" i="8"/>
  <c r="S192" i="8"/>
  <c r="S75" i="8"/>
  <c r="S99" i="8"/>
  <c r="S119" i="6" s="1"/>
  <c r="S15" i="8"/>
  <c r="S101" i="2"/>
  <c r="R35" i="2"/>
  <c r="AB183" i="2"/>
  <c r="AC113" i="2"/>
  <c r="AC182" i="2"/>
  <c r="AB205" i="2"/>
  <c r="AB47" i="2"/>
  <c r="AB189" i="2" s="1"/>
  <c r="AA122" i="2"/>
  <c r="AA180" i="2"/>
  <c r="AA96" i="4" s="1"/>
  <c r="AD181" i="2"/>
  <c r="S118" i="6" l="1"/>
  <c r="S217" i="13"/>
  <c r="R100" i="4"/>
  <c r="R101" i="4"/>
  <c r="AD113" i="2"/>
  <c r="AD205" i="2" s="1"/>
  <c r="U120" i="9"/>
  <c r="T198" i="9"/>
  <c r="T144" i="9" s="1"/>
  <c r="T142" i="9" s="1"/>
  <c r="T169" i="8"/>
  <c r="T127" i="6" s="1"/>
  <c r="S12" i="8"/>
  <c r="S7" i="8"/>
  <c r="T154" i="8"/>
  <c r="S46" i="8"/>
  <c r="S98" i="8"/>
  <c r="S88" i="8" s="1"/>
  <c r="S57" i="8"/>
  <c r="AC183" i="2"/>
  <c r="AB122" i="2"/>
  <c r="AB180" i="2"/>
  <c r="AB96" i="4" s="1"/>
  <c r="R61" i="2"/>
  <c r="R188" i="2"/>
  <c r="AD182" i="2"/>
  <c r="AC139" i="2"/>
  <c r="AC205" i="2"/>
  <c r="AC47" i="2"/>
  <c r="AC189" i="2" s="1"/>
  <c r="AE181" i="2"/>
  <c r="T227" i="13" l="1"/>
  <c r="S216" i="13"/>
  <c r="AD47" i="2"/>
  <c r="AD189" i="2" s="1"/>
  <c r="AE113" i="2"/>
  <c r="AE47" i="2" s="1"/>
  <c r="AE189" i="2" s="1"/>
  <c r="T51" i="9"/>
  <c r="T49" i="9" s="1"/>
  <c r="T145" i="9"/>
  <c r="T199" i="9"/>
  <c r="T200" i="9" s="1"/>
  <c r="U124" i="9"/>
  <c r="U132" i="9"/>
  <c r="T170" i="8"/>
  <c r="T168" i="8" s="1"/>
  <c r="S114" i="6"/>
  <c r="S83" i="8"/>
  <c r="S36" i="8"/>
  <c r="S11" i="8"/>
  <c r="S9" i="8"/>
  <c r="T43" i="8"/>
  <c r="R193" i="2"/>
  <c r="AD183" i="2"/>
  <c r="AC122" i="2"/>
  <c r="AC180" i="2"/>
  <c r="AC96" i="4" s="1"/>
  <c r="AE182" i="2"/>
  <c r="AD139" i="2"/>
  <c r="AF181" i="2"/>
  <c r="S212" i="13" l="1"/>
  <c r="AE205" i="2"/>
  <c r="AF113" i="2"/>
  <c r="AF47" i="2" s="1"/>
  <c r="AF189" i="2" s="1"/>
  <c r="U128" i="9"/>
  <c r="U121" i="9"/>
  <c r="T201" i="9"/>
  <c r="T116" i="9"/>
  <c r="U137" i="9"/>
  <c r="T31" i="9"/>
  <c r="T81" i="8"/>
  <c r="T104" i="8"/>
  <c r="T171" i="8"/>
  <c r="S6" i="8"/>
  <c r="S84" i="8"/>
  <c r="AE183" i="2"/>
  <c r="AD122" i="2"/>
  <c r="AD180" i="2"/>
  <c r="AD96" i="4" s="1"/>
  <c r="AF182" i="2"/>
  <c r="AE139" i="2"/>
  <c r="R194" i="2"/>
  <c r="R195" i="2" s="1"/>
  <c r="AG181" i="2"/>
  <c r="AF205" i="2" l="1"/>
  <c r="AG113" i="2"/>
  <c r="AG47" i="2" s="1"/>
  <c r="AG189" i="2" s="1"/>
  <c r="U190" i="9"/>
  <c r="T207" i="9"/>
  <c r="T208" i="9" s="1"/>
  <c r="T53" i="9"/>
  <c r="T45" i="9" s="1"/>
  <c r="T55" i="9" s="1"/>
  <c r="T59" i="9" s="1"/>
  <c r="T117" i="9"/>
  <c r="U187" i="9"/>
  <c r="U147" i="9"/>
  <c r="U141" i="9"/>
  <c r="S17" i="8"/>
  <c r="T125" i="8"/>
  <c r="T80" i="8"/>
  <c r="T65" i="8"/>
  <c r="S26" i="8"/>
  <c r="R196" i="2"/>
  <c r="AG182" i="2"/>
  <c r="AF139" i="2"/>
  <c r="AF183" i="2"/>
  <c r="AF180" i="2" s="1"/>
  <c r="AF96" i="4" s="1"/>
  <c r="AE122" i="2"/>
  <c r="R115" i="2"/>
  <c r="R50" i="2"/>
  <c r="R206" i="2"/>
  <c r="AE180" i="2"/>
  <c r="AE96" i="4" s="1"/>
  <c r="AH181" i="2"/>
  <c r="AG205" i="2" l="1"/>
  <c r="T107" i="4"/>
  <c r="AH113" i="2"/>
  <c r="AH205" i="2" s="1"/>
  <c r="U143" i="9"/>
  <c r="U138" i="9"/>
  <c r="U71" i="9"/>
  <c r="T30" i="9"/>
  <c r="T29" i="9" s="1"/>
  <c r="T27" i="9" s="1"/>
  <c r="T25" i="9" s="1"/>
  <c r="T105" i="4" s="1"/>
  <c r="U112" i="9"/>
  <c r="U76" i="9"/>
  <c r="U52" i="9"/>
  <c r="U192" i="9" s="1"/>
  <c r="U57" i="9"/>
  <c r="T103" i="8"/>
  <c r="T79" i="8"/>
  <c r="S19" i="8"/>
  <c r="S21" i="8" s="1"/>
  <c r="AH182" i="2"/>
  <c r="AG139" i="2"/>
  <c r="R129" i="2"/>
  <c r="AG183" i="2"/>
  <c r="AF122" i="2"/>
  <c r="R197" i="2"/>
  <c r="AI181" i="2"/>
  <c r="V155" i="9" l="1"/>
  <c r="T106" i="4"/>
  <c r="AH47" i="2"/>
  <c r="AH189" i="2" s="1"/>
  <c r="AI113" i="2"/>
  <c r="AI47" i="2" s="1"/>
  <c r="AI189" i="2" s="1"/>
  <c r="U191" i="9"/>
  <c r="U99" i="9"/>
  <c r="U75" i="9"/>
  <c r="U15" i="9"/>
  <c r="U66" i="9"/>
  <c r="U89" i="9"/>
  <c r="U48" i="9"/>
  <c r="U46" i="9" s="1"/>
  <c r="T102" i="8"/>
  <c r="T109" i="6" s="1"/>
  <c r="S114" i="8"/>
  <c r="T78" i="8"/>
  <c r="S42" i="8"/>
  <c r="R126" i="2"/>
  <c r="AI182" i="2"/>
  <c r="AH139" i="2"/>
  <c r="AH183" i="2"/>
  <c r="AG122" i="2"/>
  <c r="AG180" i="2"/>
  <c r="AG96" i="4" s="1"/>
  <c r="R198" i="2"/>
  <c r="AJ181" i="2"/>
  <c r="U253" i="13" l="1"/>
  <c r="U252" i="13" s="1"/>
  <c r="U153" i="6"/>
  <c r="U152" i="6" s="1"/>
  <c r="T207" i="13"/>
  <c r="AI205" i="2"/>
  <c r="AJ113" i="2"/>
  <c r="AJ47" i="2" s="1"/>
  <c r="AJ189" i="2" s="1"/>
  <c r="U12" i="9"/>
  <c r="U11" i="9" s="1"/>
  <c r="U7" i="9"/>
  <c r="V169" i="9"/>
  <c r="V161" i="6" s="1"/>
  <c r="V154" i="9"/>
  <c r="V43" i="9" s="1"/>
  <c r="U98" i="9"/>
  <c r="S35" i="8"/>
  <c r="S61" i="8" s="1"/>
  <c r="T101" i="8"/>
  <c r="AJ182" i="2"/>
  <c r="AI139" i="2"/>
  <c r="R144" i="2"/>
  <c r="R199" i="2"/>
  <c r="R200" i="2" s="1"/>
  <c r="AI183" i="2"/>
  <c r="AI180" i="2" s="1"/>
  <c r="AI96" i="4" s="1"/>
  <c r="AH122" i="2"/>
  <c r="AH180" i="2"/>
  <c r="AH96" i="4" s="1"/>
  <c r="R130" i="2"/>
  <c r="AK181" i="2"/>
  <c r="U148" i="6" l="1"/>
  <c r="V263" i="13"/>
  <c r="U248" i="13"/>
  <c r="AJ205" i="2"/>
  <c r="AK113" i="2"/>
  <c r="AK205" i="2" s="1"/>
  <c r="V170" i="9"/>
  <c r="V168" i="9" s="1"/>
  <c r="U88" i="9"/>
  <c r="U9" i="9"/>
  <c r="U6" i="9" s="1"/>
  <c r="U17" i="9" s="1"/>
  <c r="U19" i="9" s="1"/>
  <c r="S188" i="8"/>
  <c r="S120" i="2"/>
  <c r="R142" i="2"/>
  <c r="AJ183" i="2"/>
  <c r="AI122" i="2"/>
  <c r="R201" i="2"/>
  <c r="R116" i="2"/>
  <c r="AK182" i="2"/>
  <c r="AJ139" i="2"/>
  <c r="AL181" i="2"/>
  <c r="AK47" i="2" l="1"/>
  <c r="AK189" i="2" s="1"/>
  <c r="AL113" i="2"/>
  <c r="AL205" i="2" s="1"/>
  <c r="U21" i="9"/>
  <c r="U114" i="9" s="1"/>
  <c r="U42" i="9"/>
  <c r="U36" i="9"/>
  <c r="U83" i="9"/>
  <c r="U84" i="9" s="1"/>
  <c r="V104" i="9"/>
  <c r="V81" i="9"/>
  <c r="V171" i="9"/>
  <c r="S193" i="8"/>
  <c r="S194" i="8" s="1"/>
  <c r="R53" i="2"/>
  <c r="R207" i="2"/>
  <c r="R117" i="2"/>
  <c r="R145" i="2"/>
  <c r="R51" i="2"/>
  <c r="AL182" i="2"/>
  <c r="AK139" i="2"/>
  <c r="AK183" i="2"/>
  <c r="AJ122" i="2"/>
  <c r="AJ180" i="2"/>
  <c r="AJ96" i="4" s="1"/>
  <c r="S187" i="2"/>
  <c r="S124" i="2"/>
  <c r="S132" i="2"/>
  <c r="AM181" i="2"/>
  <c r="AL47" i="2" l="1"/>
  <c r="AL189" i="2" s="1"/>
  <c r="AM113" i="2"/>
  <c r="AM205" i="2" s="1"/>
  <c r="U35" i="9"/>
  <c r="U61" i="9" s="1"/>
  <c r="V80" i="9"/>
  <c r="V125" i="9"/>
  <c r="V65" i="9"/>
  <c r="U26" i="9"/>
  <c r="S128" i="2"/>
  <c r="S112" i="2"/>
  <c r="R30" i="2"/>
  <c r="AL183" i="2"/>
  <c r="AK122" i="2"/>
  <c r="R208" i="2"/>
  <c r="S121" i="2"/>
  <c r="AM182" i="2"/>
  <c r="AL139" i="2"/>
  <c r="R49" i="2"/>
  <c r="S137" i="2"/>
  <c r="R31" i="2"/>
  <c r="AK180" i="2"/>
  <c r="AK96" i="4" s="1"/>
  <c r="AN181" i="2"/>
  <c r="AM47" i="2" l="1"/>
  <c r="AM189" i="2" s="1"/>
  <c r="AN113" i="2"/>
  <c r="AN205" i="2" s="1"/>
  <c r="U188" i="9"/>
  <c r="U193" i="9" s="1"/>
  <c r="U194" i="9" s="1"/>
  <c r="U195" i="9" s="1"/>
  <c r="V79" i="9"/>
  <c r="V78" i="9" s="1"/>
  <c r="V103" i="9"/>
  <c r="V102" i="9" s="1"/>
  <c r="S206" i="8"/>
  <c r="S115" i="8"/>
  <c r="S50" i="8"/>
  <c r="S195" i="8"/>
  <c r="R45" i="2"/>
  <c r="AM183" i="2"/>
  <c r="AL122" i="2"/>
  <c r="AL180" i="2"/>
  <c r="AL96" i="4" s="1"/>
  <c r="AN182" i="2"/>
  <c r="AM139" i="2"/>
  <c r="S147" i="2"/>
  <c r="S141" i="2"/>
  <c r="R29" i="2"/>
  <c r="R27" i="2" s="1"/>
  <c r="S190" i="2"/>
  <c r="AO181" i="2"/>
  <c r="V243" i="13" l="1"/>
  <c r="V143" i="6"/>
  <c r="AN47" i="2"/>
  <c r="AN189" i="2" s="1"/>
  <c r="AO113" i="2"/>
  <c r="AO205" i="2" s="1"/>
  <c r="U196" i="9"/>
  <c r="U129" i="9" s="1"/>
  <c r="U126" i="9" s="1"/>
  <c r="V101" i="9"/>
  <c r="U206" i="9"/>
  <c r="U115" i="9"/>
  <c r="U50" i="9"/>
  <c r="S196" i="8"/>
  <c r="S197" i="8" s="1"/>
  <c r="S143" i="2"/>
  <c r="S71" i="2"/>
  <c r="S52" i="2"/>
  <c r="S76" i="2"/>
  <c r="R25" i="2"/>
  <c r="R93" i="4" s="1"/>
  <c r="S138" i="2"/>
  <c r="AO182" i="2"/>
  <c r="AN139" i="2"/>
  <c r="R55" i="2"/>
  <c r="AN183" i="2"/>
  <c r="AN180" i="2" s="1"/>
  <c r="AN96" i="4" s="1"/>
  <c r="AM122" i="2"/>
  <c r="AM180" i="2"/>
  <c r="AM96" i="4" s="1"/>
  <c r="AP181" i="2"/>
  <c r="T155" i="2" l="1"/>
  <c r="AO47" i="2"/>
  <c r="AO189" i="2" s="1"/>
  <c r="AP113" i="2"/>
  <c r="AP47" i="2" s="1"/>
  <c r="AP189" i="2" s="1"/>
  <c r="U130" i="9"/>
  <c r="U197" i="9"/>
  <c r="S89" i="2"/>
  <c r="S198" i="8"/>
  <c r="S199" i="8" s="1"/>
  <c r="S129" i="8"/>
  <c r="S75" i="2"/>
  <c r="S99" i="2"/>
  <c r="S85" i="6" s="1"/>
  <c r="S191" i="2"/>
  <c r="AP182" i="2"/>
  <c r="AO139" i="2"/>
  <c r="AO183" i="2"/>
  <c r="AO180" i="2" s="1"/>
  <c r="AO96" i="4" s="1"/>
  <c r="AN122" i="2"/>
  <c r="S66" i="2"/>
  <c r="R59" i="2"/>
  <c r="S15" i="2"/>
  <c r="S48" i="2"/>
  <c r="S192" i="2"/>
  <c r="AQ181" i="2"/>
  <c r="S181" i="13" l="1"/>
  <c r="S37" i="13" s="1"/>
  <c r="AP205" i="2"/>
  <c r="R94" i="4"/>
  <c r="R95" i="4"/>
  <c r="AQ113" i="2"/>
  <c r="AQ47" i="2" s="1"/>
  <c r="AQ189" i="2" s="1"/>
  <c r="U198" i="9"/>
  <c r="U144" i="9" s="1"/>
  <c r="U142" i="9" s="1"/>
  <c r="V120" i="9"/>
  <c r="S200" i="8"/>
  <c r="S126" i="8"/>
  <c r="S144" i="8"/>
  <c r="S98" i="2"/>
  <c r="S88" i="2" s="1"/>
  <c r="S57" i="2"/>
  <c r="S7" i="2"/>
  <c r="S12" i="2"/>
  <c r="T169" i="2"/>
  <c r="T93" i="6" s="1"/>
  <c r="T154" i="2"/>
  <c r="AP183" i="2"/>
  <c r="AO122" i="2"/>
  <c r="S46" i="2"/>
  <c r="AQ182" i="2"/>
  <c r="AP139" i="2"/>
  <c r="AR181" i="2"/>
  <c r="S180" i="13" l="1"/>
  <c r="T191" i="13"/>
  <c r="T45" i="13" s="1"/>
  <c r="AR113" i="2"/>
  <c r="AR47" i="2" s="1"/>
  <c r="AR189" i="2" s="1"/>
  <c r="AQ205" i="2"/>
  <c r="V124" i="9"/>
  <c r="V132" i="9"/>
  <c r="U145" i="9"/>
  <c r="U51" i="9"/>
  <c r="U49" i="9" s="1"/>
  <c r="U199" i="9"/>
  <c r="U200" i="9" s="1"/>
  <c r="S130" i="8"/>
  <c r="S142" i="8"/>
  <c r="S116" i="8"/>
  <c r="S201" i="8"/>
  <c r="S9" i="2"/>
  <c r="S6" i="2" s="1"/>
  <c r="T170" i="2"/>
  <c r="T168" i="2" s="1"/>
  <c r="T104" i="2" s="1"/>
  <c r="S84" i="6"/>
  <c r="AR182" i="2"/>
  <c r="AQ139" i="2"/>
  <c r="AQ183" i="2"/>
  <c r="AQ180" i="2" s="1"/>
  <c r="AQ96" i="4" s="1"/>
  <c r="AP122" i="2"/>
  <c r="AP180" i="2"/>
  <c r="AP96" i="4" s="1"/>
  <c r="T43" i="2"/>
  <c r="S36" i="2"/>
  <c r="S83" i="2"/>
  <c r="S84" i="2" s="1"/>
  <c r="S11" i="2"/>
  <c r="AS181" i="2"/>
  <c r="S80" i="6" l="1"/>
  <c r="S176" i="13"/>
  <c r="S36" i="13"/>
  <c r="AS113" i="2"/>
  <c r="AS205" i="2" s="1"/>
  <c r="AR205" i="2"/>
  <c r="V137" i="9"/>
  <c r="U31" i="9"/>
  <c r="U201" i="9"/>
  <c r="U116" i="9"/>
  <c r="V128" i="9"/>
  <c r="V121" i="9"/>
  <c r="S207" i="8"/>
  <c r="S53" i="8"/>
  <c r="S117" i="8"/>
  <c r="T187" i="8"/>
  <c r="S145" i="8"/>
  <c r="T137" i="8" s="1"/>
  <c r="T120" i="8"/>
  <c r="S51" i="8"/>
  <c r="T171" i="2"/>
  <c r="T80" i="2" s="1"/>
  <c r="T81" i="2"/>
  <c r="AS182" i="2"/>
  <c r="AR139" i="2"/>
  <c r="S17" i="2"/>
  <c r="AR183" i="2"/>
  <c r="AR180" i="2" s="1"/>
  <c r="AR96" i="4" s="1"/>
  <c r="AQ122" i="2"/>
  <c r="AT181" i="2"/>
  <c r="S32" i="13" l="1"/>
  <c r="AS47" i="2"/>
  <c r="AS189" i="2" s="1"/>
  <c r="AT113" i="2"/>
  <c r="AT205" i="2" s="1"/>
  <c r="U207" i="9"/>
  <c r="U208" i="9" s="1"/>
  <c r="U53" i="9"/>
  <c r="U45" i="9" s="1"/>
  <c r="U55" i="9" s="1"/>
  <c r="U59" i="9" s="1"/>
  <c r="U117" i="9"/>
  <c r="V187" i="9"/>
  <c r="V190" i="9"/>
  <c r="V147" i="9"/>
  <c r="V141" i="9"/>
  <c r="T141" i="8"/>
  <c r="T143" i="8" s="1"/>
  <c r="T147" i="8"/>
  <c r="T124" i="8"/>
  <c r="T128" i="8" s="1"/>
  <c r="T132" i="8"/>
  <c r="T112" i="8"/>
  <c r="S30" i="8"/>
  <c r="S49" i="8"/>
  <c r="S31" i="8"/>
  <c r="S208" i="8"/>
  <c r="T103" i="2"/>
  <c r="T102" i="2" s="1"/>
  <c r="T75" i="6" s="1"/>
  <c r="T79" i="2"/>
  <c r="T78" i="2" s="1"/>
  <c r="T125" i="2"/>
  <c r="S19" i="2"/>
  <c r="T65" i="2"/>
  <c r="S26" i="2"/>
  <c r="AS183" i="2"/>
  <c r="AR122" i="2"/>
  <c r="AT182" i="2"/>
  <c r="AS139" i="2"/>
  <c r="AU181" i="2"/>
  <c r="T171" i="13" l="1"/>
  <c r="T27" i="13" s="1"/>
  <c r="AT47" i="2"/>
  <c r="AT189" i="2" s="1"/>
  <c r="U107" i="4"/>
  <c r="AU113" i="2"/>
  <c r="AU47" i="2" s="1"/>
  <c r="AU189" i="2" s="1"/>
  <c r="V52" i="9"/>
  <c r="V192" i="9" s="1"/>
  <c r="V76" i="9"/>
  <c r="U30" i="9"/>
  <c r="U29" i="9" s="1"/>
  <c r="U27" i="9" s="1"/>
  <c r="U25" i="9" s="1"/>
  <c r="U105" i="4" s="1"/>
  <c r="V112" i="9"/>
  <c r="V57" i="9"/>
  <c r="V143" i="9"/>
  <c r="V138" i="9"/>
  <c r="V71" i="9"/>
  <c r="S29" i="8"/>
  <c r="S27" i="8" s="1"/>
  <c r="S25" i="8" s="1"/>
  <c r="S99" i="4" s="1"/>
  <c r="S45" i="8"/>
  <c r="T71" i="8"/>
  <c r="T121" i="8"/>
  <c r="T190" i="8" s="1"/>
  <c r="T76" i="8"/>
  <c r="T52" i="8"/>
  <c r="T138" i="8"/>
  <c r="T101" i="2"/>
  <c r="AU182" i="2"/>
  <c r="AT139" i="2"/>
  <c r="S21" i="2"/>
  <c r="S42" i="2"/>
  <c r="AT183" i="2"/>
  <c r="AS122" i="2"/>
  <c r="AS180" i="2"/>
  <c r="AS96" i="4" s="1"/>
  <c r="AV181" i="2"/>
  <c r="AU205" i="2" l="1"/>
  <c r="W155" i="9"/>
  <c r="U155" i="8"/>
  <c r="U106" i="4"/>
  <c r="AV113" i="2"/>
  <c r="AV47" i="2" s="1"/>
  <c r="AV189" i="2" s="1"/>
  <c r="V48" i="9"/>
  <c r="V46" i="9" s="1"/>
  <c r="V99" i="9"/>
  <c r="V75" i="9"/>
  <c r="V15" i="9"/>
  <c r="V89" i="9"/>
  <c r="V66" i="9"/>
  <c r="V191" i="9"/>
  <c r="T89" i="8"/>
  <c r="T191" i="8"/>
  <c r="T48" i="8"/>
  <c r="T75" i="8"/>
  <c r="T99" i="8"/>
  <c r="T119" i="6" s="1"/>
  <c r="T15" i="8"/>
  <c r="S55" i="8"/>
  <c r="T192" i="8"/>
  <c r="T66" i="8"/>
  <c r="AV182" i="2"/>
  <c r="AU139" i="2"/>
  <c r="AU183" i="2"/>
  <c r="AU180" i="2" s="1"/>
  <c r="AU96" i="4" s="1"/>
  <c r="AT122" i="2"/>
  <c r="AT180" i="2"/>
  <c r="AT96" i="4" s="1"/>
  <c r="S35" i="2"/>
  <c r="S114" i="2"/>
  <c r="AW181" i="2"/>
  <c r="V253" i="13" l="1"/>
  <c r="V252" i="13" s="1"/>
  <c r="V248" i="13" s="1"/>
  <c r="V153" i="6"/>
  <c r="V152" i="6" s="1"/>
  <c r="T118" i="6"/>
  <c r="T217" i="13"/>
  <c r="AV205" i="2"/>
  <c r="AW113" i="2"/>
  <c r="AW205" i="2" s="1"/>
  <c r="V98" i="9"/>
  <c r="V9" i="9" s="1"/>
  <c r="V12" i="9"/>
  <c r="V11" i="9" s="1"/>
  <c r="V7" i="9"/>
  <c r="W169" i="9"/>
  <c r="W161" i="6" s="1"/>
  <c r="W154" i="9"/>
  <c r="W43" i="9" s="1"/>
  <c r="U169" i="8"/>
  <c r="U127" i="6" s="1"/>
  <c r="T12" i="8"/>
  <c r="T7" i="8"/>
  <c r="T98" i="8"/>
  <c r="T88" i="8" s="1"/>
  <c r="S59" i="8"/>
  <c r="U154" i="8"/>
  <c r="T46" i="8"/>
  <c r="AV183" i="2"/>
  <c r="AV180" i="2" s="1"/>
  <c r="AV96" i="4" s="1"/>
  <c r="AU122" i="2"/>
  <c r="AW182" i="2"/>
  <c r="AV139" i="2"/>
  <c r="S188" i="2"/>
  <c r="S61" i="2"/>
  <c r="AX181" i="2"/>
  <c r="U227" i="13" l="1"/>
  <c r="V148" i="6"/>
  <c r="T216" i="13"/>
  <c r="W263" i="13"/>
  <c r="S100" i="4"/>
  <c r="S101" i="4"/>
  <c r="AW47" i="2"/>
  <c r="AW189" i="2" s="1"/>
  <c r="AX113" i="2"/>
  <c r="AX205" i="2" s="1"/>
  <c r="V88" i="9"/>
  <c r="V36" i="9" s="1"/>
  <c r="V6" i="9"/>
  <c r="V17" i="9" s="1"/>
  <c r="W170" i="9"/>
  <c r="W168" i="9" s="1"/>
  <c r="W81" i="9" s="1"/>
  <c r="U170" i="8"/>
  <c r="U168" i="8" s="1"/>
  <c r="T114" i="6"/>
  <c r="U43" i="8"/>
  <c r="T57" i="8"/>
  <c r="T11" i="8"/>
  <c r="T83" i="8"/>
  <c r="T36" i="8"/>
  <c r="T9" i="8"/>
  <c r="T6" i="8" s="1"/>
  <c r="S193" i="2"/>
  <c r="AX182" i="2"/>
  <c r="AW139" i="2"/>
  <c r="AW183" i="2"/>
  <c r="AV122" i="2"/>
  <c r="AY181" i="2"/>
  <c r="T212" i="13" l="1"/>
  <c r="AX47" i="2"/>
  <c r="AX189" i="2" s="1"/>
  <c r="V83" i="9"/>
  <c r="V84" i="9" s="1"/>
  <c r="W65" i="9" s="1"/>
  <c r="AY113" i="2"/>
  <c r="AY47" i="2" s="1"/>
  <c r="W104" i="9"/>
  <c r="W171" i="9"/>
  <c r="W125" i="9" s="1"/>
  <c r="V19" i="9"/>
  <c r="V42" i="9" s="1"/>
  <c r="V35" i="9" s="1"/>
  <c r="T17" i="8"/>
  <c r="T84" i="8"/>
  <c r="U104" i="8"/>
  <c r="U81" i="8"/>
  <c r="U171" i="8"/>
  <c r="AY182" i="2"/>
  <c r="AX139" i="2"/>
  <c r="S194" i="2"/>
  <c r="AX183" i="2"/>
  <c r="AW122" i="2"/>
  <c r="AW180" i="2"/>
  <c r="AW96" i="4" s="1"/>
  <c r="AZ181" i="2"/>
  <c r="AY205" i="2" l="1"/>
  <c r="V26" i="9"/>
  <c r="AZ113" i="2"/>
  <c r="AZ47" i="2" s="1"/>
  <c r="W80" i="9"/>
  <c r="W79" i="9" s="1"/>
  <c r="W78" i="9" s="1"/>
  <c r="V21" i="9"/>
  <c r="V114" i="9" s="1"/>
  <c r="V61" i="9"/>
  <c r="V188" i="9"/>
  <c r="V193" i="9" s="1"/>
  <c r="U65" i="8"/>
  <c r="T26" i="8"/>
  <c r="U125" i="8"/>
  <c r="U80" i="8"/>
  <c r="T19" i="8"/>
  <c r="T21" i="8" s="1"/>
  <c r="AY183" i="2"/>
  <c r="AX122" i="2"/>
  <c r="AX180" i="2"/>
  <c r="AX96" i="4" s="1"/>
  <c r="S206" i="2"/>
  <c r="S115" i="2"/>
  <c r="S50" i="2"/>
  <c r="AY189" i="2"/>
  <c r="S195" i="2"/>
  <c r="S196" i="2" s="1"/>
  <c r="AZ182" i="2"/>
  <c r="AY139" i="2"/>
  <c r="BA181" i="2"/>
  <c r="AZ205" i="2" l="1"/>
  <c r="W103" i="9"/>
  <c r="W102" i="9" s="1"/>
  <c r="W143" i="6" s="1"/>
  <c r="BA113" i="2"/>
  <c r="BA205" i="2" s="1"/>
  <c r="V194" i="9"/>
  <c r="V195" i="9" s="1"/>
  <c r="U103" i="8"/>
  <c r="T42" i="8"/>
  <c r="U79" i="8"/>
  <c r="T114" i="8"/>
  <c r="AZ189" i="2"/>
  <c r="BA182" i="2"/>
  <c r="AZ139" i="2"/>
  <c r="S197" i="2"/>
  <c r="S198" i="2" s="1"/>
  <c r="S129" i="2"/>
  <c r="AZ183" i="2"/>
  <c r="AZ180" i="2" s="1"/>
  <c r="AZ96" i="4" s="1"/>
  <c r="AY122" i="2"/>
  <c r="AY180" i="2"/>
  <c r="AY96" i="4" s="1"/>
  <c r="N181" i="2"/>
  <c r="W243" i="13" l="1"/>
  <c r="N113" i="2"/>
  <c r="BA47" i="2"/>
  <c r="BA189" i="2" s="1"/>
  <c r="N189" i="2" s="1"/>
  <c r="W101" i="9"/>
  <c r="V196" i="9"/>
  <c r="V129" i="9" s="1"/>
  <c r="V126" i="9" s="1"/>
  <c r="V50" i="9"/>
  <c r="V206" i="9"/>
  <c r="V115" i="9"/>
  <c r="U102" i="8"/>
  <c r="U109" i="6" s="1"/>
  <c r="U78" i="8"/>
  <c r="T35" i="8"/>
  <c r="T61" i="8" s="1"/>
  <c r="S199" i="2"/>
  <c r="S200" i="2" s="1"/>
  <c r="S144" i="2"/>
  <c r="BA183" i="2"/>
  <c r="AZ122" i="2"/>
  <c r="BA139" i="2"/>
  <c r="N182" i="2"/>
  <c r="N205" i="2"/>
  <c r="S126" i="2"/>
  <c r="U207" i="13" l="1"/>
  <c r="N47" i="2"/>
  <c r="V130" i="9"/>
  <c r="V197" i="9"/>
  <c r="U101" i="8"/>
  <c r="T188" i="8"/>
  <c r="N183" i="2"/>
  <c r="BA122" i="2"/>
  <c r="BA180" i="2"/>
  <c r="BA96" i="4" s="1"/>
  <c r="N96" i="4" s="1"/>
  <c r="N139" i="2"/>
  <c r="S130" i="2"/>
  <c r="S142" i="2"/>
  <c r="S201" i="2"/>
  <c r="S116" i="2"/>
  <c r="V198" i="9" l="1"/>
  <c r="V144" i="9" s="1"/>
  <c r="V142" i="9" s="1"/>
  <c r="W120" i="9"/>
  <c r="T193" i="8"/>
  <c r="T194" i="8" s="1"/>
  <c r="T120" i="2"/>
  <c r="N180" i="2"/>
  <c r="N122" i="2"/>
  <c r="S53" i="2"/>
  <c r="S207" i="2"/>
  <c r="S117" i="2"/>
  <c r="T187" i="2"/>
  <c r="S51" i="2"/>
  <c r="S145" i="2"/>
  <c r="T137" i="2" s="1"/>
  <c r="W124" i="9" l="1"/>
  <c r="W132" i="9"/>
  <c r="V145" i="9"/>
  <c r="V51" i="9"/>
  <c r="V49" i="9" s="1"/>
  <c r="V199" i="9"/>
  <c r="T147" i="2"/>
  <c r="T141" i="2"/>
  <c r="S208" i="2"/>
  <c r="S49" i="2"/>
  <c r="S31" i="2"/>
  <c r="T112" i="2"/>
  <c r="S30" i="2"/>
  <c r="T124" i="2"/>
  <c r="T132" i="2"/>
  <c r="V200" i="9" l="1"/>
  <c r="V116" i="9" s="1"/>
  <c r="W137" i="9"/>
  <c r="V31" i="9"/>
  <c r="W128" i="9"/>
  <c r="W121" i="9"/>
  <c r="T206" i="8"/>
  <c r="T115" i="8"/>
  <c r="T50" i="8"/>
  <c r="T195" i="8"/>
  <c r="T128" i="2"/>
  <c r="T143" i="2"/>
  <c r="S45" i="2"/>
  <c r="T52" i="2"/>
  <c r="T76" i="2"/>
  <c r="S29" i="2"/>
  <c r="S27" i="2" s="1"/>
  <c r="T71" i="2"/>
  <c r="T121" i="2"/>
  <c r="T138" i="2"/>
  <c r="U155" i="2" l="1"/>
  <c r="V201" i="9"/>
  <c r="W141" i="9"/>
  <c r="W147" i="9"/>
  <c r="W190" i="9"/>
  <c r="V207" i="9"/>
  <c r="V208" i="9" s="1"/>
  <c r="V53" i="9"/>
  <c r="V45" i="9" s="1"/>
  <c r="V55" i="9" s="1"/>
  <c r="V59" i="9" s="1"/>
  <c r="V117" i="9"/>
  <c r="T89" i="2"/>
  <c r="T196" i="8"/>
  <c r="T197" i="8" s="1"/>
  <c r="T75" i="2"/>
  <c r="T99" i="2"/>
  <c r="T85" i="6" s="1"/>
  <c r="T191" i="2"/>
  <c r="S25" i="2"/>
  <c r="S93" i="4" s="1"/>
  <c r="T15" i="2"/>
  <c r="T48" i="2"/>
  <c r="T192" i="2"/>
  <c r="T190" i="2"/>
  <c r="S55" i="2"/>
  <c r="T66" i="2"/>
  <c r="T181" i="13" l="1"/>
  <c r="T37" i="13" s="1"/>
  <c r="V107" i="4"/>
  <c r="W187" i="9"/>
  <c r="W76" i="9"/>
  <c r="W52" i="9"/>
  <c r="W192" i="9" s="1"/>
  <c r="W112" i="9"/>
  <c r="V30" i="9"/>
  <c r="V29" i="9" s="1"/>
  <c r="V27" i="9" s="1"/>
  <c r="V25" i="9" s="1"/>
  <c r="V105" i="4" s="1"/>
  <c r="W143" i="9"/>
  <c r="W138" i="9"/>
  <c r="W71" i="9"/>
  <c r="X155" i="9" s="1"/>
  <c r="W57" i="9"/>
  <c r="T198" i="8"/>
  <c r="T199" i="8" s="1"/>
  <c r="T129" i="8"/>
  <c r="T98" i="2"/>
  <c r="T9" i="2" s="1"/>
  <c r="S59" i="2"/>
  <c r="T7" i="2"/>
  <c r="T12" i="2"/>
  <c r="U169" i="2"/>
  <c r="U93" i="6" s="1"/>
  <c r="U154" i="2"/>
  <c r="T46" i="2"/>
  <c r="U191" i="13" l="1"/>
  <c r="U45" i="13" s="1"/>
  <c r="T180" i="13"/>
  <c r="S94" i="4"/>
  <c r="S95" i="4"/>
  <c r="V106" i="4"/>
  <c r="W191" i="9"/>
  <c r="W89" i="9"/>
  <c r="W66" i="9"/>
  <c r="W48" i="9"/>
  <c r="W46" i="9" s="1"/>
  <c r="W75" i="9"/>
  <c r="W15" i="9"/>
  <c r="W99" i="9"/>
  <c r="T126" i="8"/>
  <c r="T200" i="8"/>
  <c r="T201" i="8" s="1"/>
  <c r="T144" i="8"/>
  <c r="T88" i="2"/>
  <c r="T36" i="2" s="1"/>
  <c r="T84" i="6"/>
  <c r="U170" i="2"/>
  <c r="U168" i="2" s="1"/>
  <c r="U43" i="2"/>
  <c r="T6" i="2"/>
  <c r="T11" i="2"/>
  <c r="T57" i="2"/>
  <c r="W253" i="13" l="1"/>
  <c r="W252" i="13" s="1"/>
  <c r="W248" i="13" s="1"/>
  <c r="W153" i="6"/>
  <c r="W152" i="6" s="1"/>
  <c r="T80" i="6"/>
  <c r="T36" i="13"/>
  <c r="T176" i="13"/>
  <c r="X169" i="9"/>
  <c r="X161" i="6" s="1"/>
  <c r="X154" i="9"/>
  <c r="X43" i="9" s="1"/>
  <c r="W98" i="9"/>
  <c r="W9" i="9" s="1"/>
  <c r="W12" i="9"/>
  <c r="W11" i="9" s="1"/>
  <c r="W7" i="9"/>
  <c r="T142" i="8"/>
  <c r="T51" i="8" s="1"/>
  <c r="T116" i="8"/>
  <c r="U187" i="8"/>
  <c r="T130" i="8"/>
  <c r="T83" i="2"/>
  <c r="T84" i="2" s="1"/>
  <c r="U104" i="2"/>
  <c r="U81" i="2"/>
  <c r="T17" i="2"/>
  <c r="U171" i="2"/>
  <c r="U80" i="2" s="1"/>
  <c r="W148" i="6" l="1"/>
  <c r="X263" i="13"/>
  <c r="T32" i="13"/>
  <c r="W88" i="9"/>
  <c r="W83" i="9" s="1"/>
  <c r="W84" i="9" s="1"/>
  <c r="W6" i="9"/>
  <c r="W17" i="9" s="1"/>
  <c r="W19" i="9" s="1"/>
  <c r="W42" i="9" s="1"/>
  <c r="X170" i="9"/>
  <c r="X168" i="9" s="1"/>
  <c r="X171" i="9" s="1"/>
  <c r="X125" i="9" s="1"/>
  <c r="T49" i="8"/>
  <c r="T207" i="8"/>
  <c r="T53" i="8"/>
  <c r="T117" i="8"/>
  <c r="T145" i="8"/>
  <c r="U137" i="8" s="1"/>
  <c r="U120" i="8"/>
  <c r="U103" i="2"/>
  <c r="U79" i="2"/>
  <c r="T26" i="2"/>
  <c r="U65" i="2"/>
  <c r="U125" i="2"/>
  <c r="T19" i="2"/>
  <c r="W36" i="9" l="1"/>
  <c r="W35" i="9" s="1"/>
  <c r="X104" i="9"/>
  <c r="X81" i="9"/>
  <c r="X80" i="9"/>
  <c r="X103" i="9" s="1"/>
  <c r="X65" i="9"/>
  <c r="W26" i="9"/>
  <c r="W21" i="9"/>
  <c r="W114" i="9" s="1"/>
  <c r="U141" i="8"/>
  <c r="U143" i="8" s="1"/>
  <c r="U147" i="8"/>
  <c r="U124" i="8"/>
  <c r="U128" i="8" s="1"/>
  <c r="U132" i="8"/>
  <c r="T31" i="8"/>
  <c r="U112" i="8"/>
  <c r="T30" i="8"/>
  <c r="T208" i="8"/>
  <c r="T45" i="8"/>
  <c r="U78" i="2"/>
  <c r="U102" i="2"/>
  <c r="U75" i="6" s="1"/>
  <c r="T21" i="2"/>
  <c r="T42" i="2"/>
  <c r="U171" i="13" l="1"/>
  <c r="U27" i="13" s="1"/>
  <c r="X102" i="9"/>
  <c r="X143" i="6" s="1"/>
  <c r="X79" i="9"/>
  <c r="X78" i="9" s="1"/>
  <c r="W61" i="9"/>
  <c r="W188" i="9"/>
  <c r="W193" i="9" s="1"/>
  <c r="T29" i="8"/>
  <c r="T27" i="8" s="1"/>
  <c r="T25" i="8" s="1"/>
  <c r="T99" i="4" s="1"/>
  <c r="U76" i="8"/>
  <c r="U52" i="8"/>
  <c r="T55" i="8"/>
  <c r="U138" i="8"/>
  <c r="U71" i="8"/>
  <c r="U121" i="8"/>
  <c r="U101" i="2"/>
  <c r="T35" i="2"/>
  <c r="T114" i="2"/>
  <c r="X101" i="9" l="1"/>
  <c r="X243" i="13"/>
  <c r="V155" i="8"/>
  <c r="W194" i="9"/>
  <c r="W195" i="9" s="1"/>
  <c r="U89" i="8"/>
  <c r="U190" i="8"/>
  <c r="T59" i="8"/>
  <c r="U66" i="8"/>
  <c r="U192" i="8"/>
  <c r="U48" i="8"/>
  <c r="U191" i="8"/>
  <c r="U75" i="8"/>
  <c r="U99" i="8"/>
  <c r="U119" i="6" s="1"/>
  <c r="U15" i="8"/>
  <c r="T61" i="2"/>
  <c r="T188" i="2"/>
  <c r="U118" i="6" l="1"/>
  <c r="U217" i="13"/>
  <c r="T100" i="4"/>
  <c r="T101" i="4"/>
  <c r="W196" i="9"/>
  <c r="W129" i="9" s="1"/>
  <c r="W126" i="9" s="1"/>
  <c r="W206" i="9"/>
  <c r="W115" i="9"/>
  <c r="W50" i="9"/>
  <c r="V169" i="8"/>
  <c r="V127" i="6" s="1"/>
  <c r="U12" i="8"/>
  <c r="U7" i="8"/>
  <c r="V154" i="8"/>
  <c r="V43" i="8" s="1"/>
  <c r="U46" i="8"/>
  <c r="U98" i="8"/>
  <c r="U57" i="8"/>
  <c r="T193" i="2"/>
  <c r="V227" i="13" l="1"/>
  <c r="U216" i="13"/>
  <c r="W130" i="9"/>
  <c r="W197" i="9"/>
  <c r="V170" i="8"/>
  <c r="V168" i="8" s="1"/>
  <c r="U114" i="6"/>
  <c r="U11" i="8"/>
  <c r="U9" i="8"/>
  <c r="U6" i="8" s="1"/>
  <c r="U88" i="8"/>
  <c r="T194" i="2"/>
  <c r="T195" i="2" s="1"/>
  <c r="U212" i="13" l="1"/>
  <c r="W198" i="9"/>
  <c r="W144" i="9" s="1"/>
  <c r="W142" i="9" s="1"/>
  <c r="X120" i="9"/>
  <c r="V104" i="8"/>
  <c r="V81" i="8"/>
  <c r="V171" i="8"/>
  <c r="U17" i="8"/>
  <c r="U83" i="8"/>
  <c r="U36" i="8"/>
  <c r="T196" i="2"/>
  <c r="T50" i="2"/>
  <c r="T206" i="2"/>
  <c r="T115" i="2"/>
  <c r="X124" i="9" l="1"/>
  <c r="X132" i="9"/>
  <c r="W145" i="9"/>
  <c r="W51" i="9"/>
  <c r="W49" i="9" s="1"/>
  <c r="W199" i="9"/>
  <c r="U19" i="8"/>
  <c r="U21" i="8" s="1"/>
  <c r="V125" i="8"/>
  <c r="V80" i="8"/>
  <c r="U84" i="8"/>
  <c r="T129" i="2"/>
  <c r="T197" i="2"/>
  <c r="W200" i="9" l="1"/>
  <c r="W116" i="9" s="1"/>
  <c r="X137" i="9"/>
  <c r="W31" i="9"/>
  <c r="X128" i="9"/>
  <c r="X121" i="9"/>
  <c r="V103" i="8"/>
  <c r="V102" i="8" s="1"/>
  <c r="U114" i="8"/>
  <c r="V79" i="8"/>
  <c r="V78" i="8" s="1"/>
  <c r="U42" i="8"/>
  <c r="V65" i="8"/>
  <c r="U26" i="8"/>
  <c r="T126" i="2"/>
  <c r="T198" i="2"/>
  <c r="T199" i="2" s="1"/>
  <c r="T200" i="2" s="1"/>
  <c r="V207" i="13" l="1"/>
  <c r="V109" i="6"/>
  <c r="W201" i="9"/>
  <c r="X141" i="9"/>
  <c r="X147" i="9"/>
  <c r="X190" i="9"/>
  <c r="W207" i="9"/>
  <c r="W208" i="9" s="1"/>
  <c r="W53" i="9"/>
  <c r="W45" i="9" s="1"/>
  <c r="W55" i="9" s="1"/>
  <c r="W59" i="9" s="1"/>
  <c r="W117" i="9"/>
  <c r="V101" i="8"/>
  <c r="U35" i="8"/>
  <c r="U61" i="8" s="1"/>
  <c r="T201" i="2"/>
  <c r="T116" i="2"/>
  <c r="T144" i="2"/>
  <c r="T130" i="2"/>
  <c r="W107" i="4" l="1"/>
  <c r="X187" i="9"/>
  <c r="X76" i="9"/>
  <c r="X52" i="9"/>
  <c r="X192" i="9" s="1"/>
  <c r="X143" i="9"/>
  <c r="X138" i="9"/>
  <c r="X71" i="9"/>
  <c r="Y155" i="9" s="1"/>
  <c r="X112" i="9"/>
  <c r="W30" i="9"/>
  <c r="W29" i="9" s="1"/>
  <c r="W27" i="9" s="1"/>
  <c r="W25" i="9" s="1"/>
  <c r="W105" i="4" s="1"/>
  <c r="X57" i="9"/>
  <c r="U188" i="8"/>
  <c r="T142" i="2"/>
  <c r="T207" i="2"/>
  <c r="T53" i="2"/>
  <c r="T117" i="2"/>
  <c r="U120" i="2"/>
  <c r="U187" i="2"/>
  <c r="W106" i="4" l="1"/>
  <c r="X191" i="9"/>
  <c r="X89" i="9"/>
  <c r="X66" i="9"/>
  <c r="X48" i="9"/>
  <c r="X46" i="9" s="1"/>
  <c r="X15" i="9"/>
  <c r="X99" i="9"/>
  <c r="X75" i="9"/>
  <c r="U193" i="8"/>
  <c r="U194" i="8" s="1"/>
  <c r="U112" i="2"/>
  <c r="T30" i="2"/>
  <c r="U132" i="2"/>
  <c r="U124" i="2"/>
  <c r="T145" i="2"/>
  <c r="T51" i="2"/>
  <c r="T208" i="2"/>
  <c r="X253" i="13" l="1"/>
  <c r="X252" i="13" s="1"/>
  <c r="X248" i="13" s="1"/>
  <c r="X153" i="6"/>
  <c r="X152" i="6" s="1"/>
  <c r="X7" i="9"/>
  <c r="X12" i="9"/>
  <c r="X11" i="9" s="1"/>
  <c r="Y169" i="9"/>
  <c r="Y161" i="6" s="1"/>
  <c r="Y154" i="9"/>
  <c r="Y43" i="9" s="1"/>
  <c r="X98" i="9"/>
  <c r="X9" i="9" s="1"/>
  <c r="U128" i="2"/>
  <c r="U137" i="2"/>
  <c r="T31" i="2"/>
  <c r="U121" i="2"/>
  <c r="T49" i="2"/>
  <c r="X148" i="6" l="1"/>
  <c r="Y263" i="13"/>
  <c r="T29" i="2"/>
  <c r="T27" i="2" s="1"/>
  <c r="T25" i="2" s="1"/>
  <c r="T93" i="4" s="1"/>
  <c r="Y170" i="9"/>
  <c r="Y168" i="9" s="1"/>
  <c r="Y171" i="9" s="1"/>
  <c r="Y125" i="9" s="1"/>
  <c r="X88" i="9"/>
  <c r="X6" i="9"/>
  <c r="X17" i="9" s="1"/>
  <c r="U206" i="8"/>
  <c r="U115" i="8"/>
  <c r="U50" i="8"/>
  <c r="U195" i="8"/>
  <c r="U190" i="2"/>
  <c r="T45" i="2"/>
  <c r="U147" i="2"/>
  <c r="U141" i="2"/>
  <c r="Y81" i="9" l="1"/>
  <c r="Y104" i="9"/>
  <c r="Y80" i="9"/>
  <c r="X19" i="9"/>
  <c r="X42" i="9" s="1"/>
  <c r="X36" i="9"/>
  <c r="X83" i="9"/>
  <c r="X84" i="9" s="1"/>
  <c r="U196" i="8"/>
  <c r="U197" i="8" s="1"/>
  <c r="U143" i="2"/>
  <c r="U138" i="2"/>
  <c r="U71" i="2"/>
  <c r="U76" i="2"/>
  <c r="U52" i="2"/>
  <c r="T55" i="2"/>
  <c r="V155" i="2" l="1"/>
  <c r="X35" i="9"/>
  <c r="X61" i="9" s="1"/>
  <c r="Y79" i="9"/>
  <c r="Y78" i="9" s="1"/>
  <c r="Y103" i="9"/>
  <c r="Y102" i="9" s="1"/>
  <c r="Y143" i="6" s="1"/>
  <c r="Y65" i="9"/>
  <c r="X26" i="9"/>
  <c r="X21" i="9"/>
  <c r="X114" i="9" s="1"/>
  <c r="U89" i="2"/>
  <c r="U198" i="8"/>
  <c r="U129" i="8"/>
  <c r="U75" i="2"/>
  <c r="U99" i="2"/>
  <c r="U85" i="6" s="1"/>
  <c r="U66" i="2"/>
  <c r="U15" i="2"/>
  <c r="U48" i="2"/>
  <c r="U192" i="2"/>
  <c r="T59" i="2"/>
  <c r="U191" i="2"/>
  <c r="U181" i="13" l="1"/>
  <c r="U37" i="13" s="1"/>
  <c r="Y101" i="9"/>
  <c r="Y243" i="13"/>
  <c r="T94" i="4"/>
  <c r="T95" i="4"/>
  <c r="X188" i="9"/>
  <c r="X193" i="9" s="1"/>
  <c r="X194" i="9" s="1"/>
  <c r="X195" i="9" s="1"/>
  <c r="U126" i="8"/>
  <c r="U144" i="8"/>
  <c r="U199" i="8"/>
  <c r="U98" i="2"/>
  <c r="U88" i="2" s="1"/>
  <c r="U46" i="2"/>
  <c r="U57" i="2"/>
  <c r="V169" i="2"/>
  <c r="V93" i="6" s="1"/>
  <c r="V154" i="2"/>
  <c r="U7" i="2"/>
  <c r="U12" i="2"/>
  <c r="U84" i="6" l="1"/>
  <c r="U180" i="13"/>
  <c r="V191" i="13"/>
  <c r="V45" i="13" s="1"/>
  <c r="X196" i="9"/>
  <c r="X129" i="9" s="1"/>
  <c r="X126" i="9" s="1"/>
  <c r="X206" i="9"/>
  <c r="X115" i="9"/>
  <c r="X50" i="9"/>
  <c r="U200" i="8"/>
  <c r="U201" i="8" s="1"/>
  <c r="U142" i="8"/>
  <c r="U51" i="8" s="1"/>
  <c r="U130" i="8"/>
  <c r="U9" i="2"/>
  <c r="U6" i="2" s="1"/>
  <c r="V170" i="2"/>
  <c r="V168" i="2" s="1"/>
  <c r="V81" i="2" s="1"/>
  <c r="U11" i="2"/>
  <c r="U36" i="2"/>
  <c r="U83" i="2"/>
  <c r="U84" i="2" s="1"/>
  <c r="V43" i="2"/>
  <c r="U80" i="6" l="1"/>
  <c r="U36" i="13"/>
  <c r="U176" i="13"/>
  <c r="X130" i="9"/>
  <c r="X197" i="9"/>
  <c r="V187" i="8"/>
  <c r="U49" i="8"/>
  <c r="U145" i="8"/>
  <c r="V137" i="8" s="1"/>
  <c r="V120" i="8"/>
  <c r="U116" i="8"/>
  <c r="V171" i="2"/>
  <c r="V125" i="2" s="1"/>
  <c r="V104" i="2"/>
  <c r="U17" i="2"/>
  <c r="U32" i="13" l="1"/>
  <c r="X198" i="9"/>
  <c r="X144" i="9" s="1"/>
  <c r="X142" i="9" s="1"/>
  <c r="Y120" i="9"/>
  <c r="V141" i="8"/>
  <c r="V143" i="8" s="1"/>
  <c r="V147" i="8"/>
  <c r="V124" i="8"/>
  <c r="V128" i="8" s="1"/>
  <c r="V132" i="8"/>
  <c r="U31" i="8"/>
  <c r="U207" i="8"/>
  <c r="U53" i="8"/>
  <c r="U45" i="8" s="1"/>
  <c r="U117" i="8"/>
  <c r="V80" i="2"/>
  <c r="U19" i="2"/>
  <c r="V65" i="2"/>
  <c r="U26" i="2"/>
  <c r="Y124" i="9" l="1"/>
  <c r="Y132" i="9"/>
  <c r="X145" i="9"/>
  <c r="X51" i="9"/>
  <c r="X49" i="9" s="1"/>
  <c r="X199" i="9"/>
  <c r="U55" i="8"/>
  <c r="V76" i="8"/>
  <c r="V52" i="8"/>
  <c r="V192" i="8" s="1"/>
  <c r="U208" i="8"/>
  <c r="V112" i="8"/>
  <c r="U30" i="8"/>
  <c r="U29" i="8" s="1"/>
  <c r="U27" i="8" s="1"/>
  <c r="U25" i="8" s="1"/>
  <c r="U99" i="4" s="1"/>
  <c r="V138" i="8"/>
  <c r="V71" i="8"/>
  <c r="V121" i="8"/>
  <c r="V103" i="2"/>
  <c r="V102" i="2" s="1"/>
  <c r="V75" i="6" s="1"/>
  <c r="V79" i="2"/>
  <c r="V78" i="2" s="1"/>
  <c r="U42" i="2"/>
  <c r="U21" i="2"/>
  <c r="V171" i="13" l="1"/>
  <c r="V27" i="13" s="1"/>
  <c r="W155" i="8"/>
  <c r="X200" i="9"/>
  <c r="X116" i="9" s="1"/>
  <c r="Y137" i="9"/>
  <c r="X31" i="9"/>
  <c r="Y128" i="9"/>
  <c r="Y121" i="9"/>
  <c r="V89" i="8"/>
  <c r="V48" i="8"/>
  <c r="V46" i="8" s="1"/>
  <c r="V190" i="8"/>
  <c r="V66" i="8"/>
  <c r="V75" i="8"/>
  <c r="V99" i="8"/>
  <c r="V15" i="8"/>
  <c r="V191" i="8"/>
  <c r="U59" i="8"/>
  <c r="U100" i="4" s="1"/>
  <c r="V101" i="2"/>
  <c r="U114" i="2"/>
  <c r="U35" i="2"/>
  <c r="V217" i="13" l="1"/>
  <c r="V216" i="13" s="1"/>
  <c r="V212" i="13" s="1"/>
  <c r="V119" i="6"/>
  <c r="V118" i="6" s="1"/>
  <c r="U101" i="4"/>
  <c r="X201" i="9"/>
  <c r="Y141" i="9"/>
  <c r="Y147" i="9"/>
  <c r="Y190" i="9"/>
  <c r="X207" i="9"/>
  <c r="X208" i="9" s="1"/>
  <c r="X53" i="9"/>
  <c r="X45" i="9" s="1"/>
  <c r="X55" i="9" s="1"/>
  <c r="X59" i="9" s="1"/>
  <c r="X117" i="9"/>
  <c r="V98" i="8"/>
  <c r="V9" i="8" s="1"/>
  <c r="W169" i="8"/>
  <c r="W127" i="6" s="1"/>
  <c r="V12" i="8"/>
  <c r="V11" i="8" s="1"/>
  <c r="V7" i="8"/>
  <c r="V57" i="8"/>
  <c r="W154" i="8"/>
  <c r="W43" i="8" s="1"/>
  <c r="U188" i="2"/>
  <c r="U61" i="2"/>
  <c r="W227" i="13" l="1"/>
  <c r="V114" i="6"/>
  <c r="X107" i="4"/>
  <c r="Y187" i="9"/>
  <c r="Y76" i="9"/>
  <c r="Y52" i="9"/>
  <c r="Y192" i="9" s="1"/>
  <c r="Y143" i="9"/>
  <c r="Y138" i="9"/>
  <c r="Y71" i="9"/>
  <c r="Z155" i="9" s="1"/>
  <c r="X30" i="9"/>
  <c r="X29" i="9" s="1"/>
  <c r="X27" i="9" s="1"/>
  <c r="X25" i="9" s="1"/>
  <c r="X105" i="4" s="1"/>
  <c r="Y112" i="9"/>
  <c r="Y57" i="9"/>
  <c r="V88" i="8"/>
  <c r="V83" i="8" s="1"/>
  <c r="V84" i="8" s="1"/>
  <c r="V26" i="8" s="1"/>
  <c r="V6" i="8"/>
  <c r="V17" i="8" s="1"/>
  <c r="V19" i="8" s="1"/>
  <c r="V42" i="8" s="1"/>
  <c r="W170" i="8"/>
  <c r="W168" i="8" s="1"/>
  <c r="U193" i="2"/>
  <c r="X106" i="4" l="1"/>
  <c r="Y191" i="9"/>
  <c r="Y89" i="9"/>
  <c r="Y66" i="9"/>
  <c r="Y48" i="9"/>
  <c r="Y46" i="9" s="1"/>
  <c r="Y99" i="9"/>
  <c r="Y75" i="9"/>
  <c r="Y15" i="9"/>
  <c r="V36" i="8"/>
  <c r="V35" i="8" s="1"/>
  <c r="V61" i="8" s="1"/>
  <c r="W65" i="8"/>
  <c r="W104" i="8"/>
  <c r="W81" i="8"/>
  <c r="W171" i="8"/>
  <c r="V21" i="8"/>
  <c r="V114" i="8" s="1"/>
  <c r="U194" i="2"/>
  <c r="U195" i="2" s="1"/>
  <c r="Y253" i="13" l="1"/>
  <c r="Y252" i="13" s="1"/>
  <c r="Y248" i="13" s="1"/>
  <c r="Y153" i="6"/>
  <c r="Y152" i="6" s="1"/>
  <c r="Y98" i="9"/>
  <c r="Y9" i="9" s="1"/>
  <c r="Z169" i="9"/>
  <c r="Z161" i="6" s="1"/>
  <c r="Z154" i="9"/>
  <c r="Z43" i="9" s="1"/>
  <c r="Y7" i="9"/>
  <c r="Y12" i="9"/>
  <c r="Y11" i="9" s="1"/>
  <c r="V188" i="8"/>
  <c r="V193" i="8" s="1"/>
  <c r="V194" i="8" s="1"/>
  <c r="W125" i="8"/>
  <c r="W80" i="8"/>
  <c r="U196" i="2"/>
  <c r="U115" i="2"/>
  <c r="U206" i="2"/>
  <c r="U50" i="2"/>
  <c r="Y148" i="6" l="1"/>
  <c r="Z263" i="13"/>
  <c r="Y88" i="9"/>
  <c r="Y83" i="9" s="1"/>
  <c r="Y84" i="9" s="1"/>
  <c r="Y6" i="9"/>
  <c r="Y17" i="9" s="1"/>
  <c r="Z170" i="9"/>
  <c r="Z168" i="9" s="1"/>
  <c r="Z171" i="9" s="1"/>
  <c r="Z80" i="9" s="1"/>
  <c r="W103" i="8"/>
  <c r="W102" i="8" s="1"/>
  <c r="V206" i="8"/>
  <c r="V115" i="8"/>
  <c r="V50" i="8"/>
  <c r="V195" i="8"/>
  <c r="W79" i="8"/>
  <c r="W78" i="8" s="1"/>
  <c r="U129" i="2"/>
  <c r="U197" i="2"/>
  <c r="W207" i="13" l="1"/>
  <c r="W109" i="6"/>
  <c r="Y36" i="9"/>
  <c r="Z104" i="9"/>
  <c r="Z81" i="9"/>
  <c r="Z79" i="9" s="1"/>
  <c r="Z78" i="9" s="1"/>
  <c r="Z125" i="9"/>
  <c r="Z65" i="9"/>
  <c r="Y26" i="9"/>
  <c r="Y19" i="9"/>
  <c r="Y42" i="9" s="1"/>
  <c r="Z103" i="9"/>
  <c r="W101" i="8"/>
  <c r="V196" i="8"/>
  <c r="V129" i="8" s="1"/>
  <c r="V126" i="8" s="1"/>
  <c r="U198" i="2"/>
  <c r="U126" i="2"/>
  <c r="Z102" i="9" l="1"/>
  <c r="Z143" i="6" s="1"/>
  <c r="Y35" i="9"/>
  <c r="Y61" i="9" s="1"/>
  <c r="Y21" i="9"/>
  <c r="Y114" i="9" s="1"/>
  <c r="V197" i="8"/>
  <c r="V130" i="8"/>
  <c r="U130" i="2"/>
  <c r="U144" i="2"/>
  <c r="U199" i="2"/>
  <c r="Z243" i="13" l="1"/>
  <c r="Z101" i="9"/>
  <c r="Y188" i="9"/>
  <c r="Y193" i="9" s="1"/>
  <c r="Y194" i="9" s="1"/>
  <c r="Y195" i="9" s="1"/>
  <c r="W120" i="8"/>
  <c r="V198" i="8"/>
  <c r="V144" i="8" s="1"/>
  <c r="V142" i="8" s="1"/>
  <c r="V120" i="2"/>
  <c r="U200" i="2"/>
  <c r="U142" i="2"/>
  <c r="Y196" i="9" l="1"/>
  <c r="Y129" i="9" s="1"/>
  <c r="Y126" i="9" s="1"/>
  <c r="Y206" i="9"/>
  <c r="Y115" i="9"/>
  <c r="Y50" i="9"/>
  <c r="W124" i="8"/>
  <c r="W128" i="8" s="1"/>
  <c r="W132" i="8"/>
  <c r="V145" i="8"/>
  <c r="V51" i="8"/>
  <c r="V49" i="8" s="1"/>
  <c r="V199" i="8"/>
  <c r="U145" i="2"/>
  <c r="U51" i="2"/>
  <c r="U116" i="2"/>
  <c r="U201" i="2"/>
  <c r="V132" i="2"/>
  <c r="V124" i="2"/>
  <c r="Y130" i="9" l="1"/>
  <c r="Y197" i="9"/>
  <c r="V200" i="8"/>
  <c r="V116" i="8" s="1"/>
  <c r="W121" i="8"/>
  <c r="W190" i="8" s="1"/>
  <c r="W137" i="8"/>
  <c r="V31" i="8"/>
  <c r="V128" i="2"/>
  <c r="U207" i="2"/>
  <c r="U53" i="2"/>
  <c r="U117" i="2"/>
  <c r="V187" i="2"/>
  <c r="U49" i="2"/>
  <c r="V137" i="2"/>
  <c r="U31" i="2"/>
  <c r="V121" i="2"/>
  <c r="Y198" i="9" l="1"/>
  <c r="Y144" i="9" s="1"/>
  <c r="Y142" i="9" s="1"/>
  <c r="Z120" i="9"/>
  <c r="W141" i="8"/>
  <c r="W143" i="8" s="1"/>
  <c r="W147" i="8"/>
  <c r="V201" i="8"/>
  <c r="V207" i="8"/>
  <c r="V208" i="8" s="1"/>
  <c r="V53" i="8"/>
  <c r="V45" i="8" s="1"/>
  <c r="V55" i="8" s="1"/>
  <c r="V59" i="8" s="1"/>
  <c r="V117" i="8"/>
  <c r="V190" i="2"/>
  <c r="U30" i="2"/>
  <c r="U29" i="2" s="1"/>
  <c r="U27" i="2" s="1"/>
  <c r="V112" i="2"/>
  <c r="U45" i="2"/>
  <c r="V147" i="2"/>
  <c r="V141" i="2"/>
  <c r="U208" i="2"/>
  <c r="V101" i="4" l="1"/>
  <c r="W187" i="8"/>
  <c r="Z132" i="9"/>
  <c r="Z124" i="9"/>
  <c r="Y145" i="9"/>
  <c r="Y51" i="9"/>
  <c r="Y49" i="9" s="1"/>
  <c r="Y199" i="9"/>
  <c r="W138" i="8"/>
  <c r="W71" i="8"/>
  <c r="W76" i="8"/>
  <c r="W52" i="8"/>
  <c r="W192" i="8" s="1"/>
  <c r="W112" i="8"/>
  <c r="V30" i="8"/>
  <c r="V29" i="8" s="1"/>
  <c r="V27" i="8" s="1"/>
  <c r="V25" i="8" s="1"/>
  <c r="V99" i="4" s="1"/>
  <c r="W57" i="8"/>
  <c r="V143" i="2"/>
  <c r="U55" i="2"/>
  <c r="V138" i="2"/>
  <c r="V71" i="2"/>
  <c r="U25" i="2"/>
  <c r="U93" i="4" s="1"/>
  <c r="V52" i="2"/>
  <c r="V76" i="2"/>
  <c r="W89" i="8" l="1"/>
  <c r="X155" i="8"/>
  <c r="W155" i="2"/>
  <c r="V100" i="4"/>
  <c r="Y200" i="9"/>
  <c r="Y116" i="9" s="1"/>
  <c r="Z137" i="9"/>
  <c r="Y31" i="9"/>
  <c r="Z128" i="9"/>
  <c r="Z121" i="9"/>
  <c r="V89" i="2"/>
  <c r="W66" i="8"/>
  <c r="W75" i="8"/>
  <c r="W99" i="8"/>
  <c r="W15" i="8"/>
  <c r="W48" i="8"/>
  <c r="W46" i="8" s="1"/>
  <c r="W191" i="8"/>
  <c r="V75" i="2"/>
  <c r="V99" i="2"/>
  <c r="V85" i="6" s="1"/>
  <c r="U59" i="2"/>
  <c r="V66" i="2"/>
  <c r="V15" i="2"/>
  <c r="V191" i="2"/>
  <c r="V48" i="2"/>
  <c r="V192" i="2"/>
  <c r="W217" i="13" l="1"/>
  <c r="W216" i="13" s="1"/>
  <c r="W212" i="13" s="1"/>
  <c r="W119" i="6"/>
  <c r="W118" i="6" s="1"/>
  <c r="V181" i="13"/>
  <c r="V37" i="13" s="1"/>
  <c r="U94" i="4"/>
  <c r="U95" i="4"/>
  <c r="Y201" i="9"/>
  <c r="Z190" i="9"/>
  <c r="Z141" i="9"/>
  <c r="Z147" i="9"/>
  <c r="Y53" i="9"/>
  <c r="Y45" i="9" s="1"/>
  <c r="Y55" i="9" s="1"/>
  <c r="Y59" i="9" s="1"/>
  <c r="Y207" i="9"/>
  <c r="Y208" i="9" s="1"/>
  <c r="Y117" i="9"/>
  <c r="W98" i="8"/>
  <c r="W9" i="8" s="1"/>
  <c r="X169" i="8"/>
  <c r="X127" i="6" s="1"/>
  <c r="W7" i="8"/>
  <c r="W12" i="8"/>
  <c r="W11" i="8" s="1"/>
  <c r="X154" i="8"/>
  <c r="X43" i="8" s="1"/>
  <c r="V98" i="2"/>
  <c r="V9" i="2" s="1"/>
  <c r="V46" i="2"/>
  <c r="V7" i="2"/>
  <c r="V12" i="2"/>
  <c r="W169" i="2"/>
  <c r="W93" i="6" s="1"/>
  <c r="W154" i="2"/>
  <c r="V57" i="2"/>
  <c r="X227" i="13" l="1"/>
  <c r="W114" i="6"/>
  <c r="V84" i="6"/>
  <c r="W191" i="13"/>
  <c r="W45" i="13" s="1"/>
  <c r="V180" i="13"/>
  <c r="V176" i="13" s="1"/>
  <c r="V36" i="13"/>
  <c r="V32" i="13" s="1"/>
  <c r="Y107" i="4"/>
  <c r="Z187" i="9"/>
  <c r="Z57" i="9"/>
  <c r="Z76" i="9"/>
  <c r="Z52" i="9"/>
  <c r="Z192" i="9" s="1"/>
  <c r="Z143" i="9"/>
  <c r="Z138" i="9"/>
  <c r="Z48" i="9" s="1"/>
  <c r="Z46" i="9" s="1"/>
  <c r="Z71" i="9"/>
  <c r="AA155" i="9" s="1"/>
  <c r="Z112" i="9"/>
  <c r="Y30" i="9"/>
  <c r="Y29" i="9" s="1"/>
  <c r="Y27" i="9" s="1"/>
  <c r="Y25" i="9" s="1"/>
  <c r="Y105" i="4" s="1"/>
  <c r="W6" i="8"/>
  <c r="W17" i="8" s="1"/>
  <c r="W19" i="8" s="1"/>
  <c r="W42" i="8" s="1"/>
  <c r="W88" i="8"/>
  <c r="W36" i="8" s="1"/>
  <c r="X170" i="8"/>
  <c r="X168" i="8" s="1"/>
  <c r="V88" i="2"/>
  <c r="V36" i="2" s="1"/>
  <c r="W170" i="2"/>
  <c r="W168" i="2" s="1"/>
  <c r="V6" i="2"/>
  <c r="W43" i="2"/>
  <c r="V11" i="2"/>
  <c r="V80" i="6" l="1"/>
  <c r="Y106" i="4"/>
  <c r="Z191" i="9"/>
  <c r="Z89" i="9"/>
  <c r="Z66" i="9"/>
  <c r="Z15" i="9"/>
  <c r="Z75" i="9"/>
  <c r="Z99" i="9"/>
  <c r="W83" i="8"/>
  <c r="W84" i="8" s="1"/>
  <c r="W26" i="8" s="1"/>
  <c r="X104" i="8"/>
  <c r="X81" i="8"/>
  <c r="X171" i="8"/>
  <c r="W35" i="8"/>
  <c r="W61" i="8" s="1"/>
  <c r="W21" i="8"/>
  <c r="W114" i="8" s="1"/>
  <c r="V83" i="2"/>
  <c r="V84" i="2" s="1"/>
  <c r="W104" i="2"/>
  <c r="W81" i="2"/>
  <c r="V17" i="2"/>
  <c r="W171" i="2"/>
  <c r="W80" i="2" s="1"/>
  <c r="Z253" i="13" l="1"/>
  <c r="Z252" i="13" s="1"/>
  <c r="Z248" i="13" s="1"/>
  <c r="Z153" i="6"/>
  <c r="Z152" i="6" s="1"/>
  <c r="Z98" i="9"/>
  <c r="Z9" i="9" s="1"/>
  <c r="AA169" i="9"/>
  <c r="AA161" i="6" s="1"/>
  <c r="AA154" i="9"/>
  <c r="AA43" i="9" s="1"/>
  <c r="Z7" i="9"/>
  <c r="Z12" i="9"/>
  <c r="Z11" i="9" s="1"/>
  <c r="X65" i="8"/>
  <c r="W188" i="8"/>
  <c r="W193" i="8" s="1"/>
  <c r="W194" i="8" s="1"/>
  <c r="X125" i="8"/>
  <c r="X80" i="8"/>
  <c r="X103" i="8" s="1"/>
  <c r="W103" i="2"/>
  <c r="W102" i="2" s="1"/>
  <c r="W75" i="6" s="1"/>
  <c r="W79" i="2"/>
  <c r="W78" i="2" s="1"/>
  <c r="V26" i="2"/>
  <c r="W65" i="2"/>
  <c r="W125" i="2"/>
  <c r="V19" i="2"/>
  <c r="Z148" i="6" l="1"/>
  <c r="W171" i="13"/>
  <c r="W27" i="13" s="1"/>
  <c r="AA263" i="13"/>
  <c r="Z88" i="9"/>
  <c r="Z83" i="9" s="1"/>
  <c r="Z84" i="9" s="1"/>
  <c r="Z6" i="9"/>
  <c r="Z17" i="9" s="1"/>
  <c r="Z19" i="9" s="1"/>
  <c r="Z42" i="9" s="1"/>
  <c r="AA170" i="9"/>
  <c r="AA168" i="9" s="1"/>
  <c r="AA171" i="9" s="1"/>
  <c r="AA80" i="9" s="1"/>
  <c r="X79" i="8"/>
  <c r="X78" i="8" s="1"/>
  <c r="X102" i="8"/>
  <c r="W101" i="2"/>
  <c r="V42" i="2"/>
  <c r="V21" i="2"/>
  <c r="X207" i="13" l="1"/>
  <c r="X109" i="6"/>
  <c r="Z36" i="9"/>
  <c r="Z35" i="9" s="1"/>
  <c r="Z61" i="9" s="1"/>
  <c r="AA81" i="9"/>
  <c r="AA79" i="9" s="1"/>
  <c r="AA78" i="9" s="1"/>
  <c r="AA104" i="9"/>
  <c r="AA125" i="9"/>
  <c r="AA65" i="9"/>
  <c r="Z26" i="9"/>
  <c r="Z21" i="9"/>
  <c r="Z114" i="9" s="1"/>
  <c r="AA103" i="9"/>
  <c r="X101" i="8"/>
  <c r="W206" i="8"/>
  <c r="W115" i="8"/>
  <c r="W50" i="8"/>
  <c r="W195" i="8"/>
  <c r="V114" i="2"/>
  <c r="V35" i="2"/>
  <c r="AA102" i="9" l="1"/>
  <c r="AA143" i="6" s="1"/>
  <c r="Z188" i="9"/>
  <c r="Z193" i="9" s="1"/>
  <c r="Z194" i="9" s="1"/>
  <c r="Z195" i="9" s="1"/>
  <c r="W196" i="8"/>
  <c r="W129" i="8" s="1"/>
  <c r="W126" i="8" s="1"/>
  <c r="V188" i="2"/>
  <c r="V61" i="2"/>
  <c r="AA243" i="13" l="1"/>
  <c r="AA101" i="9"/>
  <c r="Z196" i="9"/>
  <c r="Z129" i="9" s="1"/>
  <c r="Z126" i="9" s="1"/>
  <c r="Z50" i="9"/>
  <c r="Z206" i="9"/>
  <c r="Z115" i="9"/>
  <c r="W197" i="8"/>
  <c r="W130" i="8"/>
  <c r="V193" i="2"/>
  <c r="Z130" i="9" l="1"/>
  <c r="Z197" i="9"/>
  <c r="X120" i="8"/>
  <c r="W198" i="8"/>
  <c r="W144" i="8" s="1"/>
  <c r="W142" i="8" s="1"/>
  <c r="V194" i="2"/>
  <c r="V195" i="2" s="1"/>
  <c r="Z198" i="9" l="1"/>
  <c r="Z144" i="9" s="1"/>
  <c r="Z142" i="9" s="1"/>
  <c r="AA120" i="9"/>
  <c r="X124" i="8"/>
  <c r="X128" i="8" s="1"/>
  <c r="X132" i="8"/>
  <c r="W145" i="8"/>
  <c r="W51" i="8"/>
  <c r="W49" i="8" s="1"/>
  <c r="W199" i="8"/>
  <c r="V196" i="2"/>
  <c r="V206" i="2"/>
  <c r="V115" i="2"/>
  <c r="V50" i="2"/>
  <c r="AA124" i="9" l="1"/>
  <c r="AA132" i="9"/>
  <c r="Z199" i="9"/>
  <c r="Z145" i="9"/>
  <c r="Z51" i="9"/>
  <c r="Z49" i="9" s="1"/>
  <c r="X121" i="8"/>
  <c r="W200" i="8"/>
  <c r="W116" i="8" s="1"/>
  <c r="X137" i="8"/>
  <c r="W31" i="8"/>
  <c r="V129" i="2"/>
  <c r="V197" i="2"/>
  <c r="AA137" i="9" l="1"/>
  <c r="Z31" i="9"/>
  <c r="Z200" i="9"/>
  <c r="Z116" i="9" s="1"/>
  <c r="AA128" i="9"/>
  <c r="AA121" i="9"/>
  <c r="X141" i="8"/>
  <c r="X143" i="8" s="1"/>
  <c r="X147" i="8"/>
  <c r="W201" i="8"/>
  <c r="W207" i="8"/>
  <c r="W208" i="8" s="1"/>
  <c r="W53" i="8"/>
  <c r="W45" i="8" s="1"/>
  <c r="W55" i="8" s="1"/>
  <c r="W59" i="8" s="1"/>
  <c r="W117" i="8"/>
  <c r="X190" i="8"/>
  <c r="V198" i="2"/>
  <c r="V126" i="2"/>
  <c r="W101" i="4" l="1"/>
  <c r="X187" i="8"/>
  <c r="Z201" i="9"/>
  <c r="Z207" i="9"/>
  <c r="Z208" i="9" s="1"/>
  <c r="Z53" i="9"/>
  <c r="Z45" i="9" s="1"/>
  <c r="Z55" i="9" s="1"/>
  <c r="Z59" i="9" s="1"/>
  <c r="Z117" i="9"/>
  <c r="AA190" i="9"/>
  <c r="AA141" i="9"/>
  <c r="AA147" i="9"/>
  <c r="X138" i="8"/>
  <c r="X71" i="8"/>
  <c r="X52" i="8"/>
  <c r="X192" i="8" s="1"/>
  <c r="X76" i="8"/>
  <c r="X112" i="8"/>
  <c r="W30" i="8"/>
  <c r="W29" i="8" s="1"/>
  <c r="W27" i="8" s="1"/>
  <c r="W25" i="8" s="1"/>
  <c r="W99" i="4" s="1"/>
  <c r="X57" i="8"/>
  <c r="V144" i="2"/>
  <c r="V130" i="2"/>
  <c r="V199" i="2"/>
  <c r="X89" i="8" l="1"/>
  <c r="Y155" i="8"/>
  <c r="Z107" i="4"/>
  <c r="W100" i="4"/>
  <c r="AA187" i="9"/>
  <c r="AA112" i="9"/>
  <c r="Z30" i="9"/>
  <c r="Z29" i="9" s="1"/>
  <c r="Z27" i="9" s="1"/>
  <c r="Z25" i="9" s="1"/>
  <c r="Z105" i="4" s="1"/>
  <c r="AA57" i="9"/>
  <c r="AA52" i="9"/>
  <c r="AA192" i="9" s="1"/>
  <c r="AA76" i="9"/>
  <c r="AA143" i="9"/>
  <c r="AA138" i="9"/>
  <c r="AA48" i="9" s="1"/>
  <c r="AA46" i="9" s="1"/>
  <c r="AA71" i="9"/>
  <c r="AB155" i="9" s="1"/>
  <c r="X66" i="8"/>
  <c r="X99" i="8"/>
  <c r="X75" i="8"/>
  <c r="X15" i="8"/>
  <c r="X48" i="8"/>
  <c r="X46" i="8" s="1"/>
  <c r="X191" i="8"/>
  <c r="W120" i="2"/>
  <c r="V200" i="2"/>
  <c r="V201" i="2" s="1"/>
  <c r="V142" i="2"/>
  <c r="X217" i="13" l="1"/>
  <c r="X216" i="13" s="1"/>
  <c r="X212" i="13" s="1"/>
  <c r="X119" i="6"/>
  <c r="X118" i="6" s="1"/>
  <c r="Z106" i="4"/>
  <c r="AA15" i="9"/>
  <c r="AA99" i="9"/>
  <c r="AA75" i="9"/>
  <c r="AA89" i="9"/>
  <c r="AA66" i="9"/>
  <c r="AA191" i="9"/>
  <c r="X98" i="8"/>
  <c r="X9" i="8" s="1"/>
  <c r="Y169" i="8"/>
  <c r="Y127" i="6" s="1"/>
  <c r="X7" i="8"/>
  <c r="X12" i="8"/>
  <c r="X11" i="8" s="1"/>
  <c r="Y154" i="8"/>
  <c r="Y43" i="8" s="1"/>
  <c r="W187" i="2"/>
  <c r="V116" i="2"/>
  <c r="V145" i="2"/>
  <c r="V51" i="2"/>
  <c r="W132" i="2"/>
  <c r="W124" i="2"/>
  <c r="AA253" i="13" l="1"/>
  <c r="AA252" i="13" s="1"/>
  <c r="AA248" i="13" s="1"/>
  <c r="AA153" i="6"/>
  <c r="AA152" i="6" s="1"/>
  <c r="Y227" i="13"/>
  <c r="X114" i="6"/>
  <c r="AB169" i="9"/>
  <c r="AB161" i="6" s="1"/>
  <c r="AB154" i="9"/>
  <c r="AB43" i="9" s="1"/>
  <c r="AA7" i="9"/>
  <c r="AA12" i="9"/>
  <c r="AA11" i="9" s="1"/>
  <c r="AA98" i="9"/>
  <c r="AA9" i="9" s="1"/>
  <c r="X6" i="8"/>
  <c r="X17" i="8" s="1"/>
  <c r="X88" i="8"/>
  <c r="X83" i="8" s="1"/>
  <c r="X84" i="8" s="1"/>
  <c r="Y65" i="8" s="1"/>
  <c r="Y170" i="8"/>
  <c r="Y168" i="8" s="1"/>
  <c r="W128" i="2"/>
  <c r="W137" i="2"/>
  <c r="V31" i="2"/>
  <c r="V49" i="2"/>
  <c r="V207" i="2"/>
  <c r="V53" i="2"/>
  <c r="V117" i="2"/>
  <c r="W121" i="2"/>
  <c r="AA148" i="6" l="1"/>
  <c r="AB263" i="13"/>
  <c r="AA88" i="9"/>
  <c r="AA36" i="9" s="1"/>
  <c r="AA6" i="9"/>
  <c r="AA17" i="9" s="1"/>
  <c r="AB170" i="9"/>
  <c r="AB168" i="9" s="1"/>
  <c r="X26" i="8"/>
  <c r="X36" i="8"/>
  <c r="X19" i="8"/>
  <c r="X42" i="8" s="1"/>
  <c r="Y104" i="8"/>
  <c r="Y81" i="8"/>
  <c r="Y171" i="8"/>
  <c r="V45" i="2"/>
  <c r="V55" i="2" s="1"/>
  <c r="V30" i="2"/>
  <c r="V29" i="2" s="1"/>
  <c r="V27" i="2" s="1"/>
  <c r="W112" i="2"/>
  <c r="V208" i="2"/>
  <c r="W190" i="2"/>
  <c r="W147" i="2"/>
  <c r="W141" i="2"/>
  <c r="AA83" i="9" l="1"/>
  <c r="AA84" i="9" s="1"/>
  <c r="AB65" i="9" s="1"/>
  <c r="AB104" i="9"/>
  <c r="AB81" i="9"/>
  <c r="AB171" i="9"/>
  <c r="AA19" i="9"/>
  <c r="AA42" i="9" s="1"/>
  <c r="AA35" i="9" s="1"/>
  <c r="X35" i="8"/>
  <c r="X61" i="8" s="1"/>
  <c r="X21" i="8"/>
  <c r="X114" i="8" s="1"/>
  <c r="Y125" i="8"/>
  <c r="Y80" i="8"/>
  <c r="Y103" i="8" s="1"/>
  <c r="W143" i="2"/>
  <c r="V59" i="2"/>
  <c r="W138" i="2"/>
  <c r="W71" i="2"/>
  <c r="X155" i="2" s="1"/>
  <c r="W52" i="2"/>
  <c r="W192" i="2" s="1"/>
  <c r="W76" i="2"/>
  <c r="V25" i="2"/>
  <c r="V93" i="4" s="1"/>
  <c r="V94" i="4" l="1"/>
  <c r="V95" i="4"/>
  <c r="W89" i="2"/>
  <c r="AA26" i="9"/>
  <c r="AA21" i="9"/>
  <c r="AA114" i="9" s="1"/>
  <c r="AA61" i="9"/>
  <c r="AA188" i="9"/>
  <c r="AA193" i="9" s="1"/>
  <c r="AB80" i="9"/>
  <c r="AB125" i="9"/>
  <c r="X188" i="8"/>
  <c r="X193" i="8" s="1"/>
  <c r="X194" i="8" s="1"/>
  <c r="Y79" i="8"/>
  <c r="Y78" i="8" s="1"/>
  <c r="Y102" i="8"/>
  <c r="W75" i="2"/>
  <c r="W99" i="2"/>
  <c r="W85" i="6" s="1"/>
  <c r="W48" i="2"/>
  <c r="W46" i="2" s="1"/>
  <c r="W66" i="2"/>
  <c r="W191" i="2"/>
  <c r="W15" i="2"/>
  <c r="W57" i="2"/>
  <c r="Y207" i="13" l="1"/>
  <c r="Y109" i="6"/>
  <c r="W181" i="13"/>
  <c r="W37" i="13" s="1"/>
  <c r="AB103" i="9"/>
  <c r="AB102" i="9" s="1"/>
  <c r="AB79" i="9"/>
  <c r="AB78" i="9" s="1"/>
  <c r="AA194" i="9"/>
  <c r="AA195" i="9" s="1"/>
  <c r="Y101" i="8"/>
  <c r="X206" i="8"/>
  <c r="X115" i="8"/>
  <c r="X50" i="8"/>
  <c r="X195" i="8"/>
  <c r="W98" i="2"/>
  <c r="W88" i="2" s="1"/>
  <c r="W12" i="2"/>
  <c r="W11" i="2" s="1"/>
  <c r="W7" i="2"/>
  <c r="X169" i="2"/>
  <c r="X93" i="6" s="1"/>
  <c r="X154" i="2"/>
  <c r="X43" i="2" s="1"/>
  <c r="AB243" i="13" l="1"/>
  <c r="AB143" i="6"/>
  <c r="W84" i="6"/>
  <c r="W180" i="13"/>
  <c r="W176" i="13" s="1"/>
  <c r="W36" i="13"/>
  <c r="W32" i="13" s="1"/>
  <c r="X191" i="13"/>
  <c r="X45" i="13" s="1"/>
  <c r="AA196" i="9"/>
  <c r="AA129" i="9" s="1"/>
  <c r="AA126" i="9" s="1"/>
  <c r="AA115" i="9"/>
  <c r="AA50" i="9"/>
  <c r="AA206" i="9"/>
  <c r="AB101" i="9"/>
  <c r="X196" i="8"/>
  <c r="X129" i="8" s="1"/>
  <c r="X126" i="8" s="1"/>
  <c r="W9" i="2"/>
  <c r="W6" i="2" s="1"/>
  <c r="W17" i="2" s="1"/>
  <c r="W19" i="2" s="1"/>
  <c r="W42" i="2" s="1"/>
  <c r="X170" i="2"/>
  <c r="X168" i="2" s="1"/>
  <c r="W83" i="2"/>
  <c r="W84" i="2" s="1"/>
  <c r="W36" i="2"/>
  <c r="W80" i="6" l="1"/>
  <c r="AA130" i="9"/>
  <c r="AA197" i="9"/>
  <c r="X130" i="8"/>
  <c r="X197" i="8"/>
  <c r="X104" i="2"/>
  <c r="X81" i="2"/>
  <c r="W35" i="2"/>
  <c r="W61" i="2" s="1"/>
  <c r="X171" i="2"/>
  <c r="X80" i="2" s="1"/>
  <c r="X103" i="2" s="1"/>
  <c r="W26" i="2"/>
  <c r="X65" i="2"/>
  <c r="W21" i="2"/>
  <c r="W114" i="2" s="1"/>
  <c r="AA198" i="9" l="1"/>
  <c r="AA144" i="9" s="1"/>
  <c r="AA142" i="9" s="1"/>
  <c r="AB120" i="9"/>
  <c r="X198" i="8"/>
  <c r="X144" i="8" s="1"/>
  <c r="X142" i="8" s="1"/>
  <c r="Y120" i="8"/>
  <c r="X79" i="2"/>
  <c r="X78" i="2" s="1"/>
  <c r="X102" i="2"/>
  <c r="X75" i="6" s="1"/>
  <c r="W188" i="2"/>
  <c r="W193" i="2" s="1"/>
  <c r="W194" i="2" s="1"/>
  <c r="X125" i="2"/>
  <c r="X171" i="13" l="1"/>
  <c r="X27" i="13" s="1"/>
  <c r="AA199" i="9"/>
  <c r="AA200" i="9" s="1"/>
  <c r="AA116" i="9" s="1"/>
  <c r="AB124" i="9"/>
  <c r="AB132" i="9"/>
  <c r="AA145" i="9"/>
  <c r="AA51" i="9"/>
  <c r="AA49" i="9" s="1"/>
  <c r="Y124" i="8"/>
  <c r="Y128" i="8" s="1"/>
  <c r="Y132" i="8"/>
  <c r="X199" i="8"/>
  <c r="X145" i="8"/>
  <c r="X51" i="8"/>
  <c r="X49" i="8" s="1"/>
  <c r="X101" i="2"/>
  <c r="W115" i="2"/>
  <c r="W206" i="2"/>
  <c r="W50" i="2"/>
  <c r="W195" i="2"/>
  <c r="AB137" i="9" l="1"/>
  <c r="AA31" i="9"/>
  <c r="AA201" i="9"/>
  <c r="AA207" i="9"/>
  <c r="AA208" i="9" s="1"/>
  <c r="AA53" i="9"/>
  <c r="AA45" i="9" s="1"/>
  <c r="AA55" i="9" s="1"/>
  <c r="AA59" i="9" s="1"/>
  <c r="AA117" i="9"/>
  <c r="AB128" i="9"/>
  <c r="AB121" i="9"/>
  <c r="Y137" i="8"/>
  <c r="X31" i="8"/>
  <c r="X200" i="8"/>
  <c r="X116" i="8" s="1"/>
  <c r="Y121" i="8"/>
  <c r="W196" i="2"/>
  <c r="W129" i="2" s="1"/>
  <c r="W126" i="2" s="1"/>
  <c r="AA107" i="4" l="1"/>
  <c r="AB190" i="9"/>
  <c r="AB112" i="9"/>
  <c r="AA30" i="9"/>
  <c r="AA29" i="9" s="1"/>
  <c r="AA27" i="9" s="1"/>
  <c r="AA25" i="9" s="1"/>
  <c r="AA105" i="4" s="1"/>
  <c r="AB57" i="9"/>
  <c r="AB187" i="9"/>
  <c r="AB141" i="9"/>
  <c r="AB147" i="9"/>
  <c r="Y141" i="8"/>
  <c r="Y143" i="8" s="1"/>
  <c r="Y147" i="8"/>
  <c r="X201" i="8"/>
  <c r="Y190" i="8"/>
  <c r="X207" i="8"/>
  <c r="X208" i="8" s="1"/>
  <c r="X53" i="8"/>
  <c r="X45" i="8" s="1"/>
  <c r="X55" i="8" s="1"/>
  <c r="X59" i="8" s="1"/>
  <c r="X117" i="8"/>
  <c r="W197" i="2"/>
  <c r="W198" i="2" s="1"/>
  <c r="W144" i="2" s="1"/>
  <c r="W142" i="2" s="1"/>
  <c r="W145" i="2" s="1"/>
  <c r="X137" i="2" s="1"/>
  <c r="W130" i="2"/>
  <c r="X101" i="4" l="1"/>
  <c r="AA106" i="4"/>
  <c r="Y187" i="8"/>
  <c r="AB76" i="9"/>
  <c r="AB52" i="9"/>
  <c r="AB192" i="9" s="1"/>
  <c r="AB143" i="9"/>
  <c r="AB138" i="9"/>
  <c r="AB48" i="9" s="1"/>
  <c r="AB46" i="9" s="1"/>
  <c r="AB71" i="9"/>
  <c r="AC155" i="9" s="1"/>
  <c r="Y57" i="8"/>
  <c r="Y112" i="8"/>
  <c r="X30" i="8"/>
  <c r="X29" i="8" s="1"/>
  <c r="X27" i="8" s="1"/>
  <c r="X25" i="8" s="1"/>
  <c r="X99" i="4" s="1"/>
  <c r="Y138" i="8"/>
  <c r="Y71" i="8"/>
  <c r="Y76" i="8"/>
  <c r="Y52" i="8"/>
  <c r="Y192" i="8" s="1"/>
  <c r="W51" i="2"/>
  <c r="W49" i="2" s="1"/>
  <c r="W199" i="2"/>
  <c r="W200" i="2" s="1"/>
  <c r="W116" i="2" s="1"/>
  <c r="X120" i="2"/>
  <c r="W31" i="2"/>
  <c r="X147" i="2"/>
  <c r="X141" i="2"/>
  <c r="Y89" i="8" l="1"/>
  <c r="Z155" i="8"/>
  <c r="X100" i="4"/>
  <c r="AB191" i="9"/>
  <c r="AB89" i="9"/>
  <c r="AB66" i="9"/>
  <c r="AB99" i="9"/>
  <c r="AB15" i="9"/>
  <c r="AB75" i="9"/>
  <c r="Y48" i="8"/>
  <c r="Y46" i="8" s="1"/>
  <c r="Y191" i="8"/>
  <c r="Y99" i="8"/>
  <c r="Y75" i="8"/>
  <c r="Y15" i="8"/>
  <c r="Y66" i="8"/>
  <c r="X143" i="2"/>
  <c r="W201" i="2"/>
  <c r="W207" i="2"/>
  <c r="W53" i="2"/>
  <c r="W45" i="2" s="1"/>
  <c r="W55" i="2" s="1"/>
  <c r="W59" i="2" s="1"/>
  <c r="W117" i="2"/>
  <c r="X138" i="2"/>
  <c r="X124" i="2"/>
  <c r="X132" i="2"/>
  <c r="AB253" i="13" l="1"/>
  <c r="AB252" i="13" s="1"/>
  <c r="AB248" i="13" s="1"/>
  <c r="AB153" i="6"/>
  <c r="AB152" i="6" s="1"/>
  <c r="Y217" i="13"/>
  <c r="Y216" i="13" s="1"/>
  <c r="Y212" i="13" s="1"/>
  <c r="Y119" i="6"/>
  <c r="Y118" i="6" s="1"/>
  <c r="W95" i="4"/>
  <c r="W208" i="2"/>
  <c r="AB98" i="9"/>
  <c r="AB9" i="9" s="1"/>
  <c r="AB7" i="9"/>
  <c r="AB12" i="9"/>
  <c r="AB11" i="9" s="1"/>
  <c r="AC154" i="9"/>
  <c r="AC43" i="9" s="1"/>
  <c r="AC169" i="9"/>
  <c r="AC161" i="6" s="1"/>
  <c r="Y98" i="8"/>
  <c r="Y9" i="8" s="1"/>
  <c r="Z169" i="8"/>
  <c r="Z127" i="6" s="1"/>
  <c r="Y7" i="8"/>
  <c r="Y12" i="8"/>
  <c r="Y11" i="8" s="1"/>
  <c r="Z154" i="8"/>
  <c r="Z43" i="8" s="1"/>
  <c r="X191" i="2"/>
  <c r="X128" i="2"/>
  <c r="X71" i="2"/>
  <c r="Y155" i="2" s="1"/>
  <c r="X121" i="2"/>
  <c r="X112" i="2"/>
  <c r="W30" i="2"/>
  <c r="W29" i="2" s="1"/>
  <c r="W27" i="2" s="1"/>
  <c r="W94" i="4" s="1"/>
  <c r="X57" i="2"/>
  <c r="X52" i="2"/>
  <c r="X192" i="2" s="1"/>
  <c r="X76" i="2"/>
  <c r="X187" i="2"/>
  <c r="Z227" i="13" l="1"/>
  <c r="AB148" i="6"/>
  <c r="Y114" i="6"/>
  <c r="AC263" i="13"/>
  <c r="AB88" i="9"/>
  <c r="AB83" i="9" s="1"/>
  <c r="AB84" i="9" s="1"/>
  <c r="X89" i="2"/>
  <c r="AB6" i="9"/>
  <c r="AB17" i="9" s="1"/>
  <c r="AC170" i="9"/>
  <c r="AC168" i="9" s="1"/>
  <c r="Y88" i="8"/>
  <c r="Y36" i="8" s="1"/>
  <c r="Y6" i="8"/>
  <c r="Y17" i="8" s="1"/>
  <c r="Z170" i="8"/>
  <c r="Z168" i="8" s="1"/>
  <c r="X75" i="2"/>
  <c r="X99" i="2"/>
  <c r="X85" i="6" s="1"/>
  <c r="X15" i="2"/>
  <c r="X48" i="2"/>
  <c r="X46" i="2" s="1"/>
  <c r="X66" i="2"/>
  <c r="W25" i="2"/>
  <c r="W93" i="4" s="1"/>
  <c r="X190" i="2"/>
  <c r="X181" i="13" l="1"/>
  <c r="X37" i="13" s="1"/>
  <c r="AB36" i="9"/>
  <c r="AC104" i="9"/>
  <c r="AC81" i="9"/>
  <c r="AC171" i="9"/>
  <c r="AB19" i="9"/>
  <c r="AB42" i="9" s="1"/>
  <c r="AC65" i="9"/>
  <c r="AB26" i="9"/>
  <c r="Y83" i="8"/>
  <c r="Y84" i="8" s="1"/>
  <c r="Z65" i="8" s="1"/>
  <c r="Z104" i="8"/>
  <c r="Z81" i="8"/>
  <c r="Z171" i="8"/>
  <c r="Y19" i="8"/>
  <c r="Y42" i="8" s="1"/>
  <c r="Y35" i="8" s="1"/>
  <c r="Y61" i="8" s="1"/>
  <c r="X98" i="2"/>
  <c r="X88" i="2" s="1"/>
  <c r="X84" i="6"/>
  <c r="X12" i="2"/>
  <c r="X11" i="2" s="1"/>
  <c r="X7" i="2"/>
  <c r="Y169" i="2"/>
  <c r="Y93" i="6" s="1"/>
  <c r="Y154" i="2"/>
  <c r="Y43" i="2" s="1"/>
  <c r="X80" i="6" l="1"/>
  <c r="Y191" i="13"/>
  <c r="Y45" i="13" s="1"/>
  <c r="X180" i="13"/>
  <c r="X176" i="13" s="1"/>
  <c r="X36" i="13"/>
  <c r="X32" i="13" s="1"/>
  <c r="AB35" i="9"/>
  <c r="AB61" i="9" s="1"/>
  <c r="AB21" i="9"/>
  <c r="AB114" i="9" s="1"/>
  <c r="AC125" i="9"/>
  <c r="AC80" i="9"/>
  <c r="Y26" i="8"/>
  <c r="Y188" i="8"/>
  <c r="Y193" i="8" s="1"/>
  <c r="Y194" i="8" s="1"/>
  <c r="Y21" i="8"/>
  <c r="Y114" i="8" s="1"/>
  <c r="Z125" i="8"/>
  <c r="Z80" i="8"/>
  <c r="Z103" i="8" s="1"/>
  <c r="X9" i="2"/>
  <c r="X6" i="2" s="1"/>
  <c r="X17" i="2" s="1"/>
  <c r="Y170" i="2"/>
  <c r="Y168" i="2" s="1"/>
  <c r="AB188" i="9" l="1"/>
  <c r="AB193" i="9" s="1"/>
  <c r="AB194" i="9" s="1"/>
  <c r="AB195" i="9" s="1"/>
  <c r="AC103" i="9"/>
  <c r="AC102" i="9" s="1"/>
  <c r="AC79" i="9"/>
  <c r="AC78" i="9" s="1"/>
  <c r="Z79" i="8"/>
  <c r="Z78" i="8" s="1"/>
  <c r="Z102" i="8"/>
  <c r="Y104" i="2"/>
  <c r="Y81" i="2"/>
  <c r="Y171" i="2"/>
  <c r="Y80" i="2" s="1"/>
  <c r="Y103" i="2" s="1"/>
  <c r="X19" i="2"/>
  <c r="X42" i="2" s="1"/>
  <c r="AC243" i="13" l="1"/>
  <c r="AC143" i="6"/>
  <c r="Z207" i="13"/>
  <c r="Z109" i="6"/>
  <c r="AB196" i="9"/>
  <c r="AB129" i="9" s="1"/>
  <c r="AB126" i="9" s="1"/>
  <c r="AB50" i="9"/>
  <c r="AB206" i="9"/>
  <c r="AB115" i="9"/>
  <c r="AC101" i="9"/>
  <c r="Z101" i="8"/>
  <c r="Y206" i="8"/>
  <c r="Y115" i="8"/>
  <c r="Y50" i="8"/>
  <c r="Y195" i="8"/>
  <c r="Y79" i="2"/>
  <c r="Y78" i="2" s="1"/>
  <c r="Y102" i="2"/>
  <c r="Y75" i="6" s="1"/>
  <c r="Y125" i="2"/>
  <c r="X21" i="2"/>
  <c r="X114" i="2" s="1"/>
  <c r="Y171" i="13" l="1"/>
  <c r="Y27" i="13" s="1"/>
  <c r="AB130" i="9"/>
  <c r="AB197" i="9"/>
  <c r="Y196" i="8"/>
  <c r="Y129" i="8" s="1"/>
  <c r="Y126" i="8" s="1"/>
  <c r="Y101" i="2"/>
  <c r="AB198" i="9" l="1"/>
  <c r="AB144" i="9" s="1"/>
  <c r="AB142" i="9" s="1"/>
  <c r="AC120" i="9"/>
  <c r="Y130" i="8"/>
  <c r="Y197" i="8"/>
  <c r="X36" i="2"/>
  <c r="X83" i="2"/>
  <c r="X84" i="2" s="1"/>
  <c r="AB199" i="9" l="1"/>
  <c r="AB200" i="9" s="1"/>
  <c r="AB116" i="9" s="1"/>
  <c r="AC124" i="9"/>
  <c r="AC132" i="9"/>
  <c r="AB145" i="9"/>
  <c r="AB51" i="9"/>
  <c r="AB49" i="9" s="1"/>
  <c r="Z120" i="8"/>
  <c r="Y198" i="8"/>
  <c r="Y144" i="8" s="1"/>
  <c r="Y142" i="8" s="1"/>
  <c r="X35" i="2"/>
  <c r="AB201" i="9" l="1"/>
  <c r="AC187" i="9" s="1"/>
  <c r="AC137" i="9"/>
  <c r="AB31" i="9"/>
  <c r="AB207" i="9"/>
  <c r="AB208" i="9" s="1"/>
  <c r="AB53" i="9"/>
  <c r="AB45" i="9" s="1"/>
  <c r="AB55" i="9" s="1"/>
  <c r="AB59" i="9" s="1"/>
  <c r="AB117" i="9"/>
  <c r="AC128" i="9"/>
  <c r="AC121" i="9"/>
  <c r="Z124" i="8"/>
  <c r="Z128" i="8" s="1"/>
  <c r="Z132" i="8"/>
  <c r="Y199" i="8"/>
  <c r="Y200" i="8" s="1"/>
  <c r="Y116" i="8" s="1"/>
  <c r="Y145" i="8"/>
  <c r="Y51" i="8"/>
  <c r="Y49" i="8" s="1"/>
  <c r="X61" i="2"/>
  <c r="X188" i="2"/>
  <c r="Y65" i="2"/>
  <c r="X26" i="2"/>
  <c r="AC190" i="9" l="1"/>
  <c r="AB107" i="4"/>
  <c r="AC112" i="9"/>
  <c r="AB30" i="9"/>
  <c r="AB29" i="9" s="1"/>
  <c r="AB27" i="9" s="1"/>
  <c r="AB25" i="9" s="1"/>
  <c r="AB105" i="4" s="1"/>
  <c r="AC57" i="9"/>
  <c r="AC141" i="9"/>
  <c r="AC147" i="9"/>
  <c r="Y201" i="8"/>
  <c r="Z121" i="8"/>
  <c r="Z137" i="8"/>
  <c r="Y31" i="8"/>
  <c r="Y207" i="8"/>
  <c r="Y208" i="8" s="1"/>
  <c r="Y53" i="8"/>
  <c r="Y45" i="8" s="1"/>
  <c r="Y55" i="8" s="1"/>
  <c r="Y59" i="8" s="1"/>
  <c r="Y117" i="8"/>
  <c r="X193" i="2"/>
  <c r="Y101" i="4" l="1"/>
  <c r="AB106" i="4"/>
  <c r="Z187" i="8"/>
  <c r="AC143" i="9"/>
  <c r="AC138" i="9"/>
  <c r="AC71" i="9"/>
  <c r="AD155" i="9" s="1"/>
  <c r="AC52" i="9"/>
  <c r="AC192" i="9" s="1"/>
  <c r="AC76" i="9"/>
  <c r="Z141" i="8"/>
  <c r="Z143" i="8" s="1"/>
  <c r="Z147" i="8"/>
  <c r="Z190" i="8"/>
  <c r="Z57" i="8"/>
  <c r="Z112" i="8"/>
  <c r="Y30" i="8"/>
  <c r="Y29" i="8" s="1"/>
  <c r="Y27" i="8" s="1"/>
  <c r="Y25" i="8" s="1"/>
  <c r="Y99" i="4" s="1"/>
  <c r="X194" i="2"/>
  <c r="X195" i="2" s="1"/>
  <c r="AC191" i="9" l="1"/>
  <c r="Y100" i="4"/>
  <c r="AC99" i="9"/>
  <c r="AC75" i="9"/>
  <c r="AC15" i="9"/>
  <c r="AC89" i="9"/>
  <c r="AC66" i="9"/>
  <c r="AC48" i="9"/>
  <c r="AC46" i="9" s="1"/>
  <c r="Z52" i="8"/>
  <c r="Z192" i="8" s="1"/>
  <c r="Z76" i="8"/>
  <c r="Z138" i="8"/>
  <c r="Z71" i="8"/>
  <c r="X196" i="2"/>
  <c r="X50" i="2"/>
  <c r="X206" i="2"/>
  <c r="X115" i="2"/>
  <c r="AC253" i="13" l="1"/>
  <c r="AC252" i="13" s="1"/>
  <c r="AC248" i="13" s="1"/>
  <c r="AC153" i="6"/>
  <c r="AC152" i="6" s="1"/>
  <c r="Z89" i="8"/>
  <c r="AA155" i="8"/>
  <c r="AD169" i="9"/>
  <c r="AD161" i="6" s="1"/>
  <c r="AD154" i="9"/>
  <c r="AD43" i="9" s="1"/>
  <c r="AC7" i="9"/>
  <c r="AC12" i="9"/>
  <c r="AC11" i="9" s="1"/>
  <c r="AC98" i="9"/>
  <c r="AC9" i="9" s="1"/>
  <c r="Z66" i="8"/>
  <c r="Z48" i="8"/>
  <c r="Z46" i="8" s="1"/>
  <c r="Z191" i="8"/>
  <c r="Z75" i="8"/>
  <c r="Z99" i="8"/>
  <c r="Z15" i="8"/>
  <c r="X129" i="2"/>
  <c r="X197" i="2"/>
  <c r="Z217" i="13" l="1"/>
  <c r="Z216" i="13" s="1"/>
  <c r="Z212" i="13" s="1"/>
  <c r="Z119" i="6"/>
  <c r="Z118" i="6" s="1"/>
  <c r="AC148" i="6"/>
  <c r="AD263" i="13"/>
  <c r="AD170" i="9"/>
  <c r="AD168" i="9" s="1"/>
  <c r="AD171" i="9" s="1"/>
  <c r="AD125" i="9" s="1"/>
  <c r="AC88" i="9"/>
  <c r="AC36" i="9" s="1"/>
  <c r="AC6" i="9"/>
  <c r="AC17" i="9" s="1"/>
  <c r="Z98" i="8"/>
  <c r="Z9" i="8" s="1"/>
  <c r="AA169" i="8"/>
  <c r="AA127" i="6" s="1"/>
  <c r="Z7" i="8"/>
  <c r="Z12" i="8"/>
  <c r="Z11" i="8" s="1"/>
  <c r="AA154" i="8"/>
  <c r="AA43" i="8" s="1"/>
  <c r="X198" i="2"/>
  <c r="X126" i="2"/>
  <c r="AA227" i="13" l="1"/>
  <c r="Z114" i="6"/>
  <c r="AD81" i="9"/>
  <c r="AD104" i="9"/>
  <c r="AD80" i="9"/>
  <c r="AD103" i="9" s="1"/>
  <c r="AC83" i="9"/>
  <c r="AC84" i="9" s="1"/>
  <c r="AD65" i="9" s="1"/>
  <c r="AC19" i="9"/>
  <c r="AC42" i="9" s="1"/>
  <c r="AC35" i="9" s="1"/>
  <c r="Z6" i="8"/>
  <c r="Z17" i="8" s="1"/>
  <c r="Z88" i="8"/>
  <c r="Z83" i="8" s="1"/>
  <c r="Z84" i="8" s="1"/>
  <c r="AA65" i="8" s="1"/>
  <c r="AA170" i="8"/>
  <c r="AA168" i="8" s="1"/>
  <c r="X130" i="2"/>
  <c r="X144" i="2"/>
  <c r="X199" i="2"/>
  <c r="AD79" i="9" l="1"/>
  <c r="AD78" i="9" s="1"/>
  <c r="AD102" i="9"/>
  <c r="AD143" i="6" s="1"/>
  <c r="AC26" i="9"/>
  <c r="AC61" i="9"/>
  <c r="AC188" i="9"/>
  <c r="AC193" i="9" s="1"/>
  <c r="AC194" i="9" s="1"/>
  <c r="AC21" i="9"/>
  <c r="AC114" i="9" s="1"/>
  <c r="Z36" i="8"/>
  <c r="Z26" i="8"/>
  <c r="AA104" i="8"/>
  <c r="AA81" i="8"/>
  <c r="AA171" i="8"/>
  <c r="Z19" i="8"/>
  <c r="Z42" i="8" s="1"/>
  <c r="X142" i="2"/>
  <c r="X200" i="2"/>
  <c r="Y120" i="2"/>
  <c r="AD243" i="13" l="1"/>
  <c r="AD101" i="9"/>
  <c r="AC195" i="9"/>
  <c r="AC206" i="9"/>
  <c r="AC115" i="9"/>
  <c r="AC50" i="9"/>
  <c r="Z35" i="8"/>
  <c r="Z61" i="8" s="1"/>
  <c r="Z21" i="8"/>
  <c r="Z114" i="8" s="1"/>
  <c r="AA125" i="8"/>
  <c r="AA80" i="8"/>
  <c r="AA103" i="8" s="1"/>
  <c r="Y132" i="2"/>
  <c r="Y124" i="2"/>
  <c r="Y128" i="2" s="1"/>
  <c r="X116" i="2"/>
  <c r="X201" i="2"/>
  <c r="X145" i="2"/>
  <c r="X51" i="2"/>
  <c r="AC196" i="9" l="1"/>
  <c r="AC129" i="9" s="1"/>
  <c r="AC126" i="9" s="1"/>
  <c r="Z188" i="8"/>
  <c r="Z193" i="8" s="1"/>
  <c r="Z194" i="8" s="1"/>
  <c r="AA79" i="8"/>
  <c r="AA78" i="8" s="1"/>
  <c r="AA102" i="8"/>
  <c r="X53" i="2"/>
  <c r="X207" i="2"/>
  <c r="X117" i="2"/>
  <c r="Y187" i="2"/>
  <c r="Y137" i="2"/>
  <c r="X31" i="2"/>
  <c r="Y121" i="2"/>
  <c r="X49" i="2"/>
  <c r="AA207" i="13" l="1"/>
  <c r="AA109" i="6"/>
  <c r="AC130" i="9"/>
  <c r="AC197" i="9"/>
  <c r="AA101" i="8"/>
  <c r="Z206" i="8"/>
  <c r="Z115" i="8"/>
  <c r="Z50" i="8"/>
  <c r="Z195" i="8"/>
  <c r="Y190" i="2"/>
  <c r="X30" i="2"/>
  <c r="X29" i="2" s="1"/>
  <c r="X27" i="2" s="1"/>
  <c r="Y112" i="2"/>
  <c r="X45" i="2"/>
  <c r="X208" i="2"/>
  <c r="Y147" i="2"/>
  <c r="Y141" i="2"/>
  <c r="Y143" i="2" s="1"/>
  <c r="AC198" i="9" l="1"/>
  <c r="AC144" i="9" s="1"/>
  <c r="AC142" i="9" s="1"/>
  <c r="AD120" i="9"/>
  <c r="Z196" i="8"/>
  <c r="Z129" i="8" s="1"/>
  <c r="Z126" i="8" s="1"/>
  <c r="X25" i="2"/>
  <c r="X93" i="4" s="1"/>
  <c r="Y52" i="2"/>
  <c r="Y76" i="2"/>
  <c r="Y99" i="2" s="1"/>
  <c r="Y85" i="6" s="1"/>
  <c r="X55" i="2"/>
  <c r="Y138" i="2"/>
  <c r="Y71" i="2"/>
  <c r="Z155" i="2" s="1"/>
  <c r="Y181" i="13" l="1"/>
  <c r="Y37" i="13" s="1"/>
  <c r="Y89" i="2"/>
  <c r="AD132" i="9"/>
  <c r="AD124" i="9"/>
  <c r="AC145" i="9"/>
  <c r="AC51" i="9"/>
  <c r="AC49" i="9" s="1"/>
  <c r="AC199" i="9"/>
  <c r="Z130" i="8"/>
  <c r="Z197" i="8"/>
  <c r="Y98" i="2"/>
  <c r="Y191" i="2"/>
  <c r="Y15" i="2"/>
  <c r="Y75" i="2"/>
  <c r="Y48" i="2"/>
  <c r="Y192" i="2"/>
  <c r="Y66" i="2"/>
  <c r="X59" i="2"/>
  <c r="Y84" i="6" l="1"/>
  <c r="Y180" i="13"/>
  <c r="Y176" i="13" s="1"/>
  <c r="Y36" i="13"/>
  <c r="Y32" i="13" s="1"/>
  <c r="X94" i="4"/>
  <c r="X95" i="4"/>
  <c r="AC200" i="9"/>
  <c r="AC116" i="9" s="1"/>
  <c r="AD137" i="9"/>
  <c r="AC31" i="9"/>
  <c r="AD128" i="9"/>
  <c r="AD121" i="9"/>
  <c r="Z198" i="8"/>
  <c r="Z144" i="8" s="1"/>
  <c r="Z142" i="8" s="1"/>
  <c r="AA120" i="8"/>
  <c r="Y46" i="2"/>
  <c r="Z154" i="2"/>
  <c r="Z169" i="2"/>
  <c r="Z93" i="6" s="1"/>
  <c r="Y88" i="2"/>
  <c r="Y57" i="2"/>
  <c r="Y12" i="2"/>
  <c r="Y7" i="2"/>
  <c r="Y80" i="6" l="1"/>
  <c r="Z191" i="13"/>
  <c r="Z45" i="13" s="1"/>
  <c r="AC201" i="9"/>
  <c r="AD190" i="9"/>
  <c r="AD147" i="9"/>
  <c r="AD141" i="9"/>
  <c r="AC207" i="9"/>
  <c r="AC208" i="9" s="1"/>
  <c r="AC53" i="9"/>
  <c r="AC45" i="9" s="1"/>
  <c r="AC55" i="9" s="1"/>
  <c r="AC59" i="9" s="1"/>
  <c r="AC117" i="9"/>
  <c r="AA124" i="8"/>
  <c r="AA128" i="8" s="1"/>
  <c r="AA132" i="8"/>
  <c r="Z199" i="8"/>
  <c r="Z145" i="8"/>
  <c r="Z51" i="8"/>
  <c r="Z49" i="8" s="1"/>
  <c r="Y9" i="2"/>
  <c r="Y6" i="2" s="1"/>
  <c r="Z170" i="2"/>
  <c r="Z168" i="2" s="1"/>
  <c r="Z43" i="2"/>
  <c r="Y11" i="2"/>
  <c r="Y36" i="2"/>
  <c r="Y83" i="2"/>
  <c r="Y84" i="2" s="1"/>
  <c r="AC107" i="4" l="1"/>
  <c r="AD187" i="9"/>
  <c r="AD143" i="9"/>
  <c r="AD138" i="9"/>
  <c r="AD71" i="9"/>
  <c r="AE155" i="9" s="1"/>
  <c r="AD52" i="9"/>
  <c r="AD192" i="9" s="1"/>
  <c r="AD76" i="9"/>
  <c r="AD57" i="9"/>
  <c r="AC30" i="9"/>
  <c r="AC29" i="9" s="1"/>
  <c r="AC27" i="9" s="1"/>
  <c r="AC25" i="9" s="1"/>
  <c r="AC105" i="4" s="1"/>
  <c r="AD112" i="9"/>
  <c r="Z200" i="8"/>
  <c r="Z116" i="8" s="1"/>
  <c r="AA121" i="8"/>
  <c r="AA137" i="8"/>
  <c r="Z31" i="8"/>
  <c r="Z104" i="2"/>
  <c r="Z81" i="2"/>
  <c r="Z171" i="2"/>
  <c r="Z80" i="2" s="1"/>
  <c r="Z103" i="2" s="1"/>
  <c r="Y17" i="2"/>
  <c r="AC106" i="4" l="1"/>
  <c r="AD191" i="9"/>
  <c r="AD15" i="9"/>
  <c r="AD75" i="9"/>
  <c r="AD99" i="9"/>
  <c r="AD89" i="9"/>
  <c r="AD66" i="9"/>
  <c r="AD48" i="9"/>
  <c r="AD46" i="9" s="1"/>
  <c r="AA141" i="8"/>
  <c r="AA143" i="8" s="1"/>
  <c r="AA147" i="8"/>
  <c r="AA190" i="8"/>
  <c r="Z207" i="8"/>
  <c r="Z208" i="8" s="1"/>
  <c r="Z53" i="8"/>
  <c r="Z45" i="8" s="1"/>
  <c r="Z55" i="8" s="1"/>
  <c r="Z59" i="8" s="1"/>
  <c r="Z117" i="8"/>
  <c r="Z201" i="8"/>
  <c r="Z79" i="2"/>
  <c r="Z78" i="2" s="1"/>
  <c r="Z102" i="2"/>
  <c r="Z75" i="6" s="1"/>
  <c r="Y26" i="2"/>
  <c r="Z65" i="2"/>
  <c r="Z125" i="2"/>
  <c r="Y19" i="2"/>
  <c r="AD253" i="13" l="1"/>
  <c r="AD252" i="13" s="1"/>
  <c r="AD248" i="13" s="1"/>
  <c r="AD153" i="6"/>
  <c r="AD152" i="6" s="1"/>
  <c r="Z171" i="13"/>
  <c r="Z27" i="13" s="1"/>
  <c r="Z101" i="4"/>
  <c r="AE169" i="9"/>
  <c r="AE161" i="6" s="1"/>
  <c r="AE154" i="9"/>
  <c r="AE43" i="9" s="1"/>
  <c r="AD7" i="9"/>
  <c r="AD12" i="9"/>
  <c r="AD11" i="9" s="1"/>
  <c r="AD98" i="9"/>
  <c r="AD9" i="9" s="1"/>
  <c r="AA57" i="8"/>
  <c r="AA138" i="8"/>
  <c r="AA71" i="8"/>
  <c r="AA52" i="8"/>
  <c r="AA192" i="8" s="1"/>
  <c r="AA76" i="8"/>
  <c r="AA187" i="8"/>
  <c r="AA112" i="8"/>
  <c r="Z30" i="8"/>
  <c r="Z29" i="8" s="1"/>
  <c r="Z27" i="8" s="1"/>
  <c r="Z25" i="8" s="1"/>
  <c r="Z99" i="4" s="1"/>
  <c r="Z101" i="2"/>
  <c r="Y42" i="2"/>
  <c r="Y21" i="2"/>
  <c r="AD148" i="6" l="1"/>
  <c r="AE263" i="13"/>
  <c r="AA89" i="8"/>
  <c r="AB155" i="8"/>
  <c r="Z100" i="4"/>
  <c r="AD6" i="9"/>
  <c r="AD17" i="9" s="1"/>
  <c r="AE170" i="9"/>
  <c r="AE168" i="9" s="1"/>
  <c r="AE171" i="9" s="1"/>
  <c r="AE125" i="9" s="1"/>
  <c r="AD88" i="9"/>
  <c r="AA75" i="8"/>
  <c r="AA99" i="8"/>
  <c r="AA15" i="8"/>
  <c r="AA66" i="8"/>
  <c r="AA48" i="8"/>
  <c r="AA46" i="8" s="1"/>
  <c r="AA191" i="8"/>
  <c r="Y35" i="2"/>
  <c r="Y114" i="2"/>
  <c r="AA217" i="13" l="1"/>
  <c r="AA216" i="13" s="1"/>
  <c r="AA212" i="13" s="1"/>
  <c r="AA119" i="6"/>
  <c r="AA118" i="6" s="1"/>
  <c r="AE81" i="9"/>
  <c r="AE104" i="9"/>
  <c r="AE80" i="9"/>
  <c r="AE103" i="9" s="1"/>
  <c r="AD36" i="9"/>
  <c r="AD83" i="9"/>
  <c r="AD84" i="9" s="1"/>
  <c r="AD19" i="9"/>
  <c r="AD42" i="9" s="1"/>
  <c r="AA98" i="8"/>
  <c r="AA9" i="8" s="1"/>
  <c r="AB169" i="8"/>
  <c r="AB127" i="6" s="1"/>
  <c r="AA7" i="8"/>
  <c r="AA12" i="8"/>
  <c r="AA11" i="8" s="1"/>
  <c r="AB154" i="8"/>
  <c r="AB43" i="8" s="1"/>
  <c r="Y188" i="2"/>
  <c r="Y61" i="2"/>
  <c r="AB227" i="13" l="1"/>
  <c r="AA114" i="6"/>
  <c r="AE102" i="9"/>
  <c r="AE143" i="6" s="1"/>
  <c r="AE79" i="9"/>
  <c r="AE78" i="9" s="1"/>
  <c r="AA6" i="8"/>
  <c r="AA17" i="8" s="1"/>
  <c r="AA19" i="8" s="1"/>
  <c r="AA42" i="8" s="1"/>
  <c r="AD21" i="9"/>
  <c r="AD114" i="9" s="1"/>
  <c r="AE65" i="9"/>
  <c r="AD26" i="9"/>
  <c r="AD35" i="9"/>
  <c r="AA88" i="8"/>
  <c r="AA36" i="8" s="1"/>
  <c r="AB170" i="8"/>
  <c r="AB168" i="8" s="1"/>
  <c r="Y193" i="2"/>
  <c r="AE243" i="13" l="1"/>
  <c r="AE101" i="9"/>
  <c r="AD61" i="9"/>
  <c r="AD188" i="9"/>
  <c r="AD193" i="9" s="1"/>
  <c r="AA35" i="8"/>
  <c r="AA61" i="8" s="1"/>
  <c r="AA83" i="8"/>
  <c r="AA84" i="8" s="1"/>
  <c r="AB65" i="8" s="1"/>
  <c r="AB81" i="8"/>
  <c r="AB104" i="8"/>
  <c r="AB171" i="8"/>
  <c r="AA21" i="8"/>
  <c r="AA114" i="8" s="1"/>
  <c r="Y194" i="2"/>
  <c r="AD194" i="9" l="1"/>
  <c r="AD195" i="9" s="1"/>
  <c r="AA188" i="8"/>
  <c r="AA193" i="8" s="1"/>
  <c r="AA194" i="8" s="1"/>
  <c r="AA26" i="8"/>
  <c r="AB125" i="8"/>
  <c r="AB80" i="8"/>
  <c r="AB103" i="8" s="1"/>
  <c r="Y206" i="2"/>
  <c r="Y50" i="2"/>
  <c r="Y115" i="2"/>
  <c r="Y195" i="2"/>
  <c r="AD196" i="9" l="1"/>
  <c r="AD129" i="9" s="1"/>
  <c r="AD126" i="9" s="1"/>
  <c r="AD206" i="9"/>
  <c r="AD115" i="9"/>
  <c r="AD50" i="9"/>
  <c r="AA206" i="8"/>
  <c r="AA115" i="8"/>
  <c r="AA50" i="8"/>
  <c r="AA195" i="8"/>
  <c r="AB79" i="8"/>
  <c r="AB78" i="8" s="1"/>
  <c r="AB102" i="8"/>
  <c r="Y196" i="2"/>
  <c r="AB207" i="13" l="1"/>
  <c r="AB109" i="6"/>
  <c r="AD130" i="9"/>
  <c r="AD197" i="9"/>
  <c r="AB101" i="8"/>
  <c r="AA196" i="8"/>
  <c r="AA129" i="8" s="1"/>
  <c r="AA126" i="8" s="1"/>
  <c r="Y129" i="2"/>
  <c r="Y197" i="2"/>
  <c r="AD198" i="9" l="1"/>
  <c r="AD144" i="9" s="1"/>
  <c r="AD142" i="9" s="1"/>
  <c r="AE120" i="9"/>
  <c r="AA197" i="8"/>
  <c r="AA130" i="8"/>
  <c r="Y198" i="2"/>
  <c r="Y126" i="2"/>
  <c r="AE124" i="9" l="1"/>
  <c r="AE132" i="9"/>
  <c r="AD145" i="9"/>
  <c r="AD51" i="9"/>
  <c r="AD49" i="9" s="1"/>
  <c r="AD199" i="9"/>
  <c r="AB120" i="8"/>
  <c r="AA198" i="8"/>
  <c r="AA144" i="8" s="1"/>
  <c r="AA142" i="8" s="1"/>
  <c r="Y144" i="2"/>
  <c r="Y130" i="2"/>
  <c r="Y199" i="2"/>
  <c r="AD200" i="9" l="1"/>
  <c r="AD116" i="9" s="1"/>
  <c r="AE137" i="9"/>
  <c r="AD31" i="9"/>
  <c r="AE128" i="9"/>
  <c r="AE121" i="9"/>
  <c r="AB124" i="8"/>
  <c r="AB128" i="8" s="1"/>
  <c r="AB132" i="8"/>
  <c r="AA145" i="8"/>
  <c r="AA51" i="8"/>
  <c r="AA49" i="8" s="1"/>
  <c r="AA199" i="8"/>
  <c r="Z120" i="2"/>
  <c r="Y200" i="2"/>
  <c r="Y201" i="2" s="1"/>
  <c r="Y142" i="2"/>
  <c r="AD201" i="9" l="1"/>
  <c r="AE147" i="9"/>
  <c r="AE141" i="9"/>
  <c r="AE190" i="9"/>
  <c r="AD207" i="9"/>
  <c r="AD208" i="9" s="1"/>
  <c r="AD53" i="9"/>
  <c r="AD45" i="9" s="1"/>
  <c r="AD55" i="9" s="1"/>
  <c r="AD59" i="9" s="1"/>
  <c r="AD117" i="9"/>
  <c r="AB121" i="8"/>
  <c r="AA200" i="8"/>
  <c r="AA116" i="8" s="1"/>
  <c r="AB137" i="8"/>
  <c r="AA31" i="8"/>
  <c r="Z187" i="2"/>
  <c r="Y145" i="2"/>
  <c r="Y51" i="2"/>
  <c r="Y116" i="2"/>
  <c r="Z124" i="2"/>
  <c r="Z128" i="2" s="1"/>
  <c r="Z132" i="2"/>
  <c r="AD107" i="4" l="1"/>
  <c r="AE187" i="9"/>
  <c r="AE112" i="9"/>
  <c r="AD30" i="9"/>
  <c r="AD29" i="9" s="1"/>
  <c r="AD27" i="9" s="1"/>
  <c r="AD25" i="9" s="1"/>
  <c r="AD105" i="4" s="1"/>
  <c r="AE143" i="9"/>
  <c r="AE138" i="9"/>
  <c r="AE71" i="9"/>
  <c r="AF155" i="9" s="1"/>
  <c r="AE57" i="9"/>
  <c r="AE52" i="9"/>
  <c r="AE192" i="9" s="1"/>
  <c r="AE76" i="9"/>
  <c r="AB141" i="8"/>
  <c r="AB143" i="8" s="1"/>
  <c r="AB147" i="8"/>
  <c r="AA201" i="8"/>
  <c r="AB190" i="8"/>
  <c r="AA207" i="8"/>
  <c r="AA208" i="8" s="1"/>
  <c r="AA53" i="8"/>
  <c r="AA45" i="8" s="1"/>
  <c r="AA55" i="8" s="1"/>
  <c r="AA59" i="8" s="1"/>
  <c r="AA117" i="8"/>
  <c r="Y207" i="2"/>
  <c r="Y53" i="2"/>
  <c r="Y117" i="2"/>
  <c r="Y49" i="2"/>
  <c r="Z137" i="2"/>
  <c r="Y31" i="2"/>
  <c r="Z121" i="2"/>
  <c r="Z190" i="2" s="1"/>
  <c r="AA101" i="4" l="1"/>
  <c r="AD106" i="4"/>
  <c r="AB187" i="8"/>
  <c r="AE89" i="9"/>
  <c r="AE66" i="9"/>
  <c r="AE191" i="9"/>
  <c r="AE48" i="9"/>
  <c r="AE46" i="9" s="1"/>
  <c r="AE99" i="9"/>
  <c r="AE75" i="9"/>
  <c r="AE15" i="9"/>
  <c r="AB138" i="8"/>
  <c r="AB71" i="8"/>
  <c r="AB112" i="8"/>
  <c r="AA30" i="8"/>
  <c r="AA29" i="8" s="1"/>
  <c r="AA27" i="8" s="1"/>
  <c r="AA25" i="8" s="1"/>
  <c r="AA99" i="4" s="1"/>
  <c r="AB57" i="8"/>
  <c r="AB76" i="8"/>
  <c r="AB52" i="8"/>
  <c r="AB192" i="8" s="1"/>
  <c r="Z141" i="2"/>
  <c r="Z143" i="2" s="1"/>
  <c r="Z147" i="2"/>
  <c r="Y45" i="2"/>
  <c r="Y30" i="2"/>
  <c r="Y29" i="2" s="1"/>
  <c r="Y27" i="2" s="1"/>
  <c r="Z112" i="2"/>
  <c r="Y208" i="2"/>
  <c r="AE253" i="13" l="1"/>
  <c r="AE252" i="13" s="1"/>
  <c r="AE248" i="13" s="1"/>
  <c r="AE153" i="6"/>
  <c r="AE152" i="6" s="1"/>
  <c r="AB89" i="8"/>
  <c r="AC155" i="8"/>
  <c r="AA100" i="4"/>
  <c r="AF154" i="9"/>
  <c r="AF43" i="9" s="1"/>
  <c r="AF169" i="9"/>
  <c r="AF161" i="6" s="1"/>
  <c r="AE7" i="9"/>
  <c r="AE12" i="9"/>
  <c r="AE11" i="9" s="1"/>
  <c r="AE98" i="9"/>
  <c r="AE9" i="9" s="1"/>
  <c r="AB66" i="8"/>
  <c r="AB48" i="8"/>
  <c r="AB46" i="8" s="1"/>
  <c r="AB75" i="8"/>
  <c r="AB99" i="8"/>
  <c r="AB15" i="8"/>
  <c r="AB191" i="8"/>
  <c r="Y55" i="2"/>
  <c r="Z52" i="2"/>
  <c r="Z76" i="2"/>
  <c r="Z99" i="2" s="1"/>
  <c r="Z85" i="6" s="1"/>
  <c r="Z138" i="2"/>
  <c r="Z71" i="2"/>
  <c r="AA155" i="2" s="1"/>
  <c r="Y25" i="2"/>
  <c r="Y93" i="4" s="1"/>
  <c r="AB217" i="13" l="1"/>
  <c r="AB216" i="13" s="1"/>
  <c r="AB212" i="13" s="1"/>
  <c r="AB119" i="6"/>
  <c r="AB118" i="6" s="1"/>
  <c r="AE148" i="6"/>
  <c r="AF263" i="13"/>
  <c r="Z181" i="13"/>
  <c r="Z37" i="13" s="1"/>
  <c r="Z89" i="2"/>
  <c r="AE88" i="9"/>
  <c r="AE36" i="9" s="1"/>
  <c r="AE6" i="9"/>
  <c r="AE17" i="9" s="1"/>
  <c r="AF170" i="9"/>
  <c r="AF168" i="9" s="1"/>
  <c r="AB98" i="8"/>
  <c r="AB9" i="8" s="1"/>
  <c r="AC169" i="8"/>
  <c r="AC127" i="6" s="1"/>
  <c r="AB7" i="8"/>
  <c r="AB12" i="8"/>
  <c r="AB11" i="8" s="1"/>
  <c r="AC154" i="8"/>
  <c r="AC43" i="8" s="1"/>
  <c r="Z98" i="2"/>
  <c r="Z48" i="2"/>
  <c r="Z191" i="2"/>
  <c r="Z66" i="2"/>
  <c r="Z75" i="2"/>
  <c r="Z15" i="2"/>
  <c r="Z192" i="2"/>
  <c r="Y59" i="2"/>
  <c r="AC227" i="13" l="1"/>
  <c r="AB114" i="6"/>
  <c r="Z84" i="6"/>
  <c r="Z180" i="13"/>
  <c r="Z176" i="13" s="1"/>
  <c r="Z36" i="13"/>
  <c r="Z32" i="13" s="1"/>
  <c r="Y94" i="4"/>
  <c r="Y95" i="4"/>
  <c r="AE83" i="9"/>
  <c r="AE84" i="9" s="1"/>
  <c r="AE26" i="9" s="1"/>
  <c r="AF104" i="9"/>
  <c r="AF81" i="9"/>
  <c r="AF171" i="9"/>
  <c r="AE19" i="9"/>
  <c r="AE42" i="9" s="1"/>
  <c r="AE35" i="9" s="1"/>
  <c r="AB6" i="8"/>
  <c r="AB17" i="8" s="1"/>
  <c r="AB19" i="8" s="1"/>
  <c r="AB42" i="8" s="1"/>
  <c r="AB88" i="8"/>
  <c r="AB83" i="8" s="1"/>
  <c r="AB84" i="8" s="1"/>
  <c r="AC65" i="8" s="1"/>
  <c r="AC170" i="8"/>
  <c r="AC168" i="8" s="1"/>
  <c r="Z57" i="2"/>
  <c r="Z7" i="2"/>
  <c r="Z12" i="2"/>
  <c r="AA169" i="2"/>
  <c r="AA93" i="6" s="1"/>
  <c r="AA154" i="2"/>
  <c r="Z88" i="2"/>
  <c r="Z46" i="2"/>
  <c r="Z80" i="6" l="1"/>
  <c r="AA191" i="13"/>
  <c r="AA45" i="13" s="1"/>
  <c r="AF65" i="9"/>
  <c r="AE21" i="9"/>
  <c r="AE114" i="9" s="1"/>
  <c r="AE61" i="9"/>
  <c r="AE188" i="9"/>
  <c r="AE193" i="9" s="1"/>
  <c r="AF125" i="9"/>
  <c r="AF80" i="9"/>
  <c r="AB26" i="8"/>
  <c r="AB36" i="8"/>
  <c r="AB35" i="8" s="1"/>
  <c r="AB61" i="8" s="1"/>
  <c r="AB21" i="8"/>
  <c r="AB114" i="8" s="1"/>
  <c r="AC104" i="8"/>
  <c r="AC81" i="8"/>
  <c r="AC171" i="8"/>
  <c r="Z9" i="2"/>
  <c r="Z6" i="2" s="1"/>
  <c r="AA43" i="2"/>
  <c r="Z11" i="2"/>
  <c r="Z36" i="2"/>
  <c r="Z83" i="2"/>
  <c r="Z84" i="2" s="1"/>
  <c r="AA170" i="2"/>
  <c r="AA168" i="2" s="1"/>
  <c r="AF103" i="9" l="1"/>
  <c r="AF102" i="9" s="1"/>
  <c r="AF79" i="9"/>
  <c r="AF78" i="9" s="1"/>
  <c r="AE194" i="9"/>
  <c r="AE195" i="9" s="1"/>
  <c r="AB188" i="8"/>
  <c r="AB193" i="8" s="1"/>
  <c r="AB194" i="8" s="1"/>
  <c r="AC125" i="8"/>
  <c r="AC80" i="8"/>
  <c r="AC103" i="8" s="1"/>
  <c r="AA104" i="2"/>
  <c r="AA81" i="2"/>
  <c r="AA171" i="2"/>
  <c r="AA80" i="2" s="1"/>
  <c r="AA103" i="2" s="1"/>
  <c r="Z17" i="2"/>
  <c r="AF243" i="13" l="1"/>
  <c r="AF143" i="6"/>
  <c r="AE196" i="9"/>
  <c r="AE129" i="9" s="1"/>
  <c r="AE126" i="9" s="1"/>
  <c r="AE206" i="9"/>
  <c r="AE115" i="9"/>
  <c r="AE50" i="9"/>
  <c r="AF101" i="9"/>
  <c r="AB206" i="8"/>
  <c r="AB115" i="8"/>
  <c r="AB50" i="8"/>
  <c r="AB195" i="8"/>
  <c r="AC79" i="8"/>
  <c r="AC78" i="8" s="1"/>
  <c r="AC102" i="8"/>
  <c r="AA79" i="2"/>
  <c r="AA78" i="2" s="1"/>
  <c r="AA102" i="2"/>
  <c r="AA75" i="6" s="1"/>
  <c r="AA65" i="2"/>
  <c r="Z26" i="2"/>
  <c r="Z19" i="2"/>
  <c r="AA125" i="2"/>
  <c r="AC207" i="13" l="1"/>
  <c r="AC109" i="6"/>
  <c r="AA171" i="13"/>
  <c r="AA27" i="13" s="1"/>
  <c r="AE130" i="9"/>
  <c r="AE197" i="9"/>
  <c r="AC101" i="8"/>
  <c r="AB196" i="8"/>
  <c r="AB129" i="8" s="1"/>
  <c r="AB126" i="8" s="1"/>
  <c r="AA101" i="2"/>
  <c r="Z42" i="2"/>
  <c r="Z21" i="2"/>
  <c r="AE198" i="9" l="1"/>
  <c r="AE144" i="9" s="1"/>
  <c r="AE142" i="9" s="1"/>
  <c r="AF120" i="9"/>
  <c r="AB197" i="8"/>
  <c r="AB198" i="8" s="1"/>
  <c r="AB144" i="8" s="1"/>
  <c r="AB142" i="8" s="1"/>
  <c r="AB145" i="8" s="1"/>
  <c r="AC137" i="8" s="1"/>
  <c r="AB130" i="8"/>
  <c r="Z35" i="2"/>
  <c r="Z114" i="2"/>
  <c r="AF132" i="9" l="1"/>
  <c r="AF124" i="9"/>
  <c r="AE145" i="9"/>
  <c r="AE51" i="9"/>
  <c r="AE49" i="9" s="1"/>
  <c r="AE199" i="9"/>
  <c r="AC141" i="8"/>
  <c r="AC143" i="8" s="1"/>
  <c r="AC147" i="8"/>
  <c r="AB51" i="8"/>
  <c r="AB49" i="8" s="1"/>
  <c r="AC120" i="8"/>
  <c r="AB31" i="8"/>
  <c r="AB199" i="8"/>
  <c r="Z188" i="2"/>
  <c r="Z61" i="2"/>
  <c r="AE200" i="9" l="1"/>
  <c r="AE116" i="9" s="1"/>
  <c r="AF137" i="9"/>
  <c r="AE31" i="9"/>
  <c r="AF128" i="9"/>
  <c r="AF121" i="9"/>
  <c r="AC124" i="8"/>
  <c r="AC128" i="8" s="1"/>
  <c r="AC132" i="8"/>
  <c r="AB200" i="8"/>
  <c r="AB116" i="8" s="1"/>
  <c r="AC138" i="8"/>
  <c r="Z193" i="2"/>
  <c r="AF190" i="9" l="1"/>
  <c r="AF147" i="9"/>
  <c r="AF141" i="9"/>
  <c r="AE201" i="9"/>
  <c r="AE207" i="9"/>
  <c r="AE208" i="9" s="1"/>
  <c r="AE53" i="9"/>
  <c r="AE45" i="9" s="1"/>
  <c r="AE55" i="9" s="1"/>
  <c r="AE59" i="9" s="1"/>
  <c r="AE117" i="9"/>
  <c r="AC191" i="8"/>
  <c r="AC71" i="8"/>
  <c r="AC121" i="8"/>
  <c r="AB207" i="8"/>
  <c r="AB208" i="8" s="1"/>
  <c r="AB53" i="8"/>
  <c r="AB45" i="8" s="1"/>
  <c r="AB55" i="8" s="1"/>
  <c r="AB59" i="8" s="1"/>
  <c r="AB117" i="8"/>
  <c r="AC76" i="8"/>
  <c r="AC52" i="8"/>
  <c r="AC192" i="8" s="1"/>
  <c r="AB201" i="8"/>
  <c r="Z194" i="2"/>
  <c r="AC89" i="8" l="1"/>
  <c r="AD155" i="8"/>
  <c r="AB101" i="4"/>
  <c r="AE107" i="4"/>
  <c r="AF143" i="9"/>
  <c r="AF138" i="9"/>
  <c r="AF71" i="9"/>
  <c r="AG155" i="9" s="1"/>
  <c r="AF52" i="9"/>
  <c r="AF192" i="9" s="1"/>
  <c r="AF76" i="9"/>
  <c r="AF112" i="9"/>
  <c r="AE30" i="9"/>
  <c r="AE29" i="9" s="1"/>
  <c r="AE27" i="9" s="1"/>
  <c r="AE25" i="9" s="1"/>
  <c r="AE105" i="4" s="1"/>
  <c r="AF57" i="9"/>
  <c r="AF187" i="9"/>
  <c r="AC48" i="8"/>
  <c r="AC46" i="8" s="1"/>
  <c r="AC57" i="8"/>
  <c r="AC187" i="8"/>
  <c r="AC190" i="8"/>
  <c r="AC75" i="8"/>
  <c r="AC99" i="8"/>
  <c r="AC15" i="8"/>
  <c r="AC112" i="8"/>
  <c r="AB30" i="8"/>
  <c r="AB29" i="8" s="1"/>
  <c r="AB27" i="8" s="1"/>
  <c r="AB25" i="8" s="1"/>
  <c r="AB99" i="4" s="1"/>
  <c r="AC66" i="8"/>
  <c r="Z115" i="2"/>
  <c r="Z206" i="2"/>
  <c r="Z50" i="2"/>
  <c r="Z195" i="2"/>
  <c r="AC217" i="13" l="1"/>
  <c r="AC216" i="13" s="1"/>
  <c r="AC212" i="13" s="1"/>
  <c r="AC119" i="6"/>
  <c r="AC118" i="6" s="1"/>
  <c r="AB100" i="4"/>
  <c r="AE106" i="4"/>
  <c r="AF191" i="9"/>
  <c r="AF75" i="9"/>
  <c r="AF15" i="9"/>
  <c r="AF99" i="9"/>
  <c r="AF89" i="9"/>
  <c r="AF66" i="9"/>
  <c r="AF48" i="9"/>
  <c r="AF46" i="9" s="1"/>
  <c r="AC98" i="8"/>
  <c r="AC9" i="8" s="1"/>
  <c r="AD169" i="8"/>
  <c r="AD127" i="6" s="1"/>
  <c r="AC7" i="8"/>
  <c r="AC12" i="8"/>
  <c r="AC11" i="8" s="1"/>
  <c r="AD154" i="8"/>
  <c r="AD43" i="8" s="1"/>
  <c r="Z196" i="2"/>
  <c r="AF253" i="13" l="1"/>
  <c r="AF252" i="13" s="1"/>
  <c r="AF248" i="13" s="1"/>
  <c r="AF153" i="6"/>
  <c r="AF152" i="6" s="1"/>
  <c r="AD227" i="13"/>
  <c r="AC114" i="6"/>
  <c r="AF7" i="9"/>
  <c r="AF12" i="9"/>
  <c r="AF11" i="9" s="1"/>
  <c r="AF98" i="9"/>
  <c r="AF9" i="9" s="1"/>
  <c r="AG154" i="9"/>
  <c r="AG43" i="9" s="1"/>
  <c r="AG169" i="9"/>
  <c r="AG161" i="6" s="1"/>
  <c r="AC6" i="8"/>
  <c r="AC17" i="8" s="1"/>
  <c r="AC19" i="8" s="1"/>
  <c r="AC42" i="8" s="1"/>
  <c r="AC88" i="8"/>
  <c r="AC36" i="8" s="1"/>
  <c r="AD170" i="8"/>
  <c r="AD168" i="8" s="1"/>
  <c r="Z129" i="2"/>
  <c r="Z197" i="2"/>
  <c r="AF148" i="6" l="1"/>
  <c r="AG263" i="13"/>
  <c r="AF88" i="9"/>
  <c r="AG170" i="9"/>
  <c r="AG168" i="9" s="1"/>
  <c r="AF6" i="9"/>
  <c r="AF17" i="9" s="1"/>
  <c r="AC35" i="8"/>
  <c r="AC61" i="8" s="1"/>
  <c r="AC83" i="8"/>
  <c r="AC84" i="8" s="1"/>
  <c r="AD65" i="8" s="1"/>
  <c r="AD104" i="8"/>
  <c r="AD81" i="8"/>
  <c r="AD171" i="8"/>
  <c r="AC21" i="8"/>
  <c r="AC114" i="8" s="1"/>
  <c r="Z198" i="2"/>
  <c r="Z126" i="2"/>
  <c r="AF19" i="9" l="1"/>
  <c r="AF42" i="9" s="1"/>
  <c r="AG104" i="9"/>
  <c r="AG81" i="9"/>
  <c r="AG171" i="9"/>
  <c r="AF83" i="9"/>
  <c r="AF84" i="9" s="1"/>
  <c r="AF36" i="9"/>
  <c r="AC188" i="8"/>
  <c r="AC193" i="8" s="1"/>
  <c r="AC194" i="8" s="1"/>
  <c r="AC26" i="8"/>
  <c r="AD125" i="8"/>
  <c r="AD80" i="8"/>
  <c r="AD103" i="8" s="1"/>
  <c r="Z130" i="2"/>
  <c r="Z144" i="2"/>
  <c r="Z199" i="2"/>
  <c r="AF35" i="9" l="1"/>
  <c r="AF61" i="9" s="1"/>
  <c r="AG125" i="9"/>
  <c r="AG80" i="9"/>
  <c r="AG65" i="9"/>
  <c r="AF26" i="9"/>
  <c r="AF21" i="9"/>
  <c r="AF114" i="9" s="1"/>
  <c r="AC206" i="8"/>
  <c r="AC115" i="8"/>
  <c r="AC50" i="8"/>
  <c r="AC195" i="8"/>
  <c r="AD79" i="8"/>
  <c r="AD78" i="8" s="1"/>
  <c r="AD102" i="8"/>
  <c r="Z142" i="2"/>
  <c r="Z200" i="2"/>
  <c r="Z201" i="2" s="1"/>
  <c r="AA120" i="2"/>
  <c r="AD207" i="13" l="1"/>
  <c r="AD109" i="6"/>
  <c r="AF188" i="9"/>
  <c r="AF193" i="9" s="1"/>
  <c r="AF194" i="9" s="1"/>
  <c r="AF195" i="9" s="1"/>
  <c r="AG103" i="9"/>
  <c r="AG102" i="9" s="1"/>
  <c r="AG79" i="9"/>
  <c r="AG78" i="9" s="1"/>
  <c r="AD101" i="8"/>
  <c r="AC196" i="8"/>
  <c r="AC129" i="8" s="1"/>
  <c r="AC126" i="8" s="1"/>
  <c r="AA187" i="2"/>
  <c r="AA124" i="2"/>
  <c r="AA128" i="2" s="1"/>
  <c r="AA132" i="2"/>
  <c r="Z116" i="2"/>
  <c r="Z145" i="2"/>
  <c r="Z51" i="2"/>
  <c r="AG243" i="13" l="1"/>
  <c r="AG143" i="6"/>
  <c r="AF196" i="9"/>
  <c r="AF129" i="9" s="1"/>
  <c r="AF126" i="9" s="1"/>
  <c r="AF50" i="9"/>
  <c r="AF206" i="9"/>
  <c r="AF115" i="9"/>
  <c r="AG101" i="9"/>
  <c r="AC197" i="8"/>
  <c r="AC130" i="8"/>
  <c r="AA121" i="2"/>
  <c r="Z53" i="2"/>
  <c r="Z207" i="2"/>
  <c r="Z117" i="2"/>
  <c r="AA137" i="2"/>
  <c r="Z31" i="2"/>
  <c r="Z49" i="2"/>
  <c r="AF130" i="9" l="1"/>
  <c r="AF197" i="9"/>
  <c r="AD120" i="8"/>
  <c r="AC198" i="8"/>
  <c r="AC144" i="8" s="1"/>
  <c r="AC142" i="8" s="1"/>
  <c r="AA141" i="2"/>
  <c r="AA143" i="2" s="1"/>
  <c r="AA147" i="2"/>
  <c r="AA190" i="2"/>
  <c r="Z45" i="2"/>
  <c r="AA112" i="2"/>
  <c r="Z30" i="2"/>
  <c r="Z29" i="2" s="1"/>
  <c r="Z27" i="2" s="1"/>
  <c r="Z208" i="2"/>
  <c r="AF198" i="9" l="1"/>
  <c r="AF144" i="9" s="1"/>
  <c r="AF142" i="9" s="1"/>
  <c r="AG120" i="9"/>
  <c r="AD124" i="8"/>
  <c r="AD128" i="8" s="1"/>
  <c r="AD132" i="8"/>
  <c r="AC145" i="8"/>
  <c r="AC51" i="8"/>
  <c r="AC49" i="8" s="1"/>
  <c r="AC199" i="8"/>
  <c r="AA138" i="2"/>
  <c r="AA71" i="2"/>
  <c r="AB155" i="2" s="1"/>
  <c r="Z25" i="2"/>
  <c r="Z93" i="4" s="1"/>
  <c r="Z55" i="2"/>
  <c r="AA76" i="2"/>
  <c r="AA99" i="2" s="1"/>
  <c r="AA85" i="6" s="1"/>
  <c r="AA52" i="2"/>
  <c r="AA181" i="13" l="1"/>
  <c r="AA37" i="13" s="1"/>
  <c r="AA89" i="2"/>
  <c r="AG124" i="9"/>
  <c r="AG132" i="9"/>
  <c r="AF145" i="9"/>
  <c r="AF51" i="9"/>
  <c r="AF49" i="9" s="1"/>
  <c r="AF199" i="9"/>
  <c r="AD121" i="8"/>
  <c r="AC200" i="8"/>
  <c r="AC116" i="8" s="1"/>
  <c r="AD137" i="8"/>
  <c r="AC31" i="8"/>
  <c r="AA98" i="2"/>
  <c r="AA66" i="2"/>
  <c r="Z59" i="2"/>
  <c r="AA191" i="2"/>
  <c r="AA75" i="2"/>
  <c r="AA15" i="2"/>
  <c r="AA192" i="2"/>
  <c r="AA48" i="2"/>
  <c r="AA84" i="6" l="1"/>
  <c r="AA36" i="13"/>
  <c r="AA32" i="13" s="1"/>
  <c r="AA180" i="13"/>
  <c r="AA176" i="13" s="1"/>
  <c r="Z94" i="4"/>
  <c r="Z95" i="4"/>
  <c r="AF200" i="9"/>
  <c r="AF116" i="9" s="1"/>
  <c r="AG137" i="9"/>
  <c r="AF31" i="9"/>
  <c r="AG128" i="9"/>
  <c r="AG121" i="9"/>
  <c r="AD141" i="8"/>
  <c r="AD143" i="8" s="1"/>
  <c r="AD147" i="8"/>
  <c r="AD190" i="8"/>
  <c r="AC207" i="8"/>
  <c r="AC208" i="8" s="1"/>
  <c r="AC53" i="8"/>
  <c r="AC45" i="8" s="1"/>
  <c r="AC55" i="8" s="1"/>
  <c r="AC59" i="8" s="1"/>
  <c r="AC117" i="8"/>
  <c r="AC201" i="8"/>
  <c r="AA46" i="2"/>
  <c r="AA57" i="2"/>
  <c r="AB169" i="2"/>
  <c r="AB93" i="6" s="1"/>
  <c r="AB154" i="2"/>
  <c r="AA88" i="2"/>
  <c r="AA12" i="2"/>
  <c r="AA7" i="2"/>
  <c r="AA80" i="6" l="1"/>
  <c r="AB191" i="13"/>
  <c r="AB45" i="13" s="1"/>
  <c r="AC101" i="4"/>
  <c r="AF201" i="9"/>
  <c r="AG147" i="9"/>
  <c r="AG141" i="9"/>
  <c r="AG190" i="9"/>
  <c r="AF207" i="9"/>
  <c r="AF208" i="9" s="1"/>
  <c r="AF53" i="9"/>
  <c r="AF45" i="9" s="1"/>
  <c r="AF55" i="9" s="1"/>
  <c r="AF59" i="9" s="1"/>
  <c r="AF117" i="9"/>
  <c r="AD76" i="8"/>
  <c r="AD52" i="8"/>
  <c r="AD192" i="8" s="1"/>
  <c r="AD112" i="8"/>
  <c r="AC30" i="8"/>
  <c r="AC29" i="8" s="1"/>
  <c r="AC27" i="8" s="1"/>
  <c r="AC25" i="8" s="1"/>
  <c r="AC99" i="4" s="1"/>
  <c r="AD138" i="8"/>
  <c r="AD71" i="8"/>
  <c r="AD57" i="8"/>
  <c r="AD187" i="8"/>
  <c r="AB170" i="2"/>
  <c r="AB168" i="2" s="1"/>
  <c r="AB43" i="2"/>
  <c r="AA9" i="2"/>
  <c r="AA11" i="2"/>
  <c r="AD89" i="8" l="1"/>
  <c r="AE155" i="8"/>
  <c r="AF107" i="4"/>
  <c r="AC100" i="4"/>
  <c r="AG187" i="9"/>
  <c r="AG112" i="9"/>
  <c r="AF30" i="9"/>
  <c r="AF29" i="9" s="1"/>
  <c r="AF27" i="9" s="1"/>
  <c r="AF25" i="9" s="1"/>
  <c r="AF105" i="4" s="1"/>
  <c r="AG143" i="9"/>
  <c r="AG138" i="9"/>
  <c r="AG71" i="9"/>
  <c r="AH155" i="9" s="1"/>
  <c r="AG57" i="9"/>
  <c r="AG76" i="9"/>
  <c r="AG52" i="9"/>
  <c r="AG192" i="9" s="1"/>
  <c r="AD48" i="8"/>
  <c r="AD46" i="8" s="1"/>
  <c r="AD191" i="8"/>
  <c r="AD66" i="8"/>
  <c r="AD75" i="8"/>
  <c r="AD99" i="8"/>
  <c r="AD15" i="8"/>
  <c r="AB104" i="2"/>
  <c r="AB81" i="2"/>
  <c r="AA36" i="2"/>
  <c r="AA83" i="2"/>
  <c r="AA84" i="2" s="1"/>
  <c r="AB171" i="2"/>
  <c r="AB80" i="2" s="1"/>
  <c r="AB103" i="2" s="1"/>
  <c r="AA6" i="2"/>
  <c r="AD217" i="13" l="1"/>
  <c r="AD216" i="13" s="1"/>
  <c r="AD212" i="13" s="1"/>
  <c r="AD119" i="6"/>
  <c r="AD118" i="6" s="1"/>
  <c r="AF106" i="4"/>
  <c r="AG191" i="9"/>
  <c r="AG89" i="9"/>
  <c r="AG66" i="9"/>
  <c r="AG48" i="9"/>
  <c r="AG46" i="9" s="1"/>
  <c r="AG75" i="9"/>
  <c r="AG15" i="9"/>
  <c r="AG99" i="9"/>
  <c r="AD98" i="8"/>
  <c r="AD9" i="8" s="1"/>
  <c r="AE169" i="8"/>
  <c r="AE127" i="6" s="1"/>
  <c r="AD7" i="8"/>
  <c r="AD12" i="8"/>
  <c r="AD11" i="8" s="1"/>
  <c r="AE154" i="8"/>
  <c r="AE43" i="8" s="1"/>
  <c r="AB79" i="2"/>
  <c r="AB78" i="2" s="1"/>
  <c r="AB102" i="2"/>
  <c r="AB75" i="6" s="1"/>
  <c r="AB125" i="2"/>
  <c r="AA17" i="2"/>
  <c r="AG253" i="13" l="1"/>
  <c r="AG252" i="13" s="1"/>
  <c r="AG248" i="13" s="1"/>
  <c r="AG153" i="6"/>
  <c r="AG152" i="6" s="1"/>
  <c r="AE227" i="13"/>
  <c r="AD114" i="6"/>
  <c r="AB171" i="13"/>
  <c r="AB27" i="13" s="1"/>
  <c r="AH154" i="9"/>
  <c r="AH43" i="9" s="1"/>
  <c r="AH169" i="9"/>
  <c r="AH161" i="6" s="1"/>
  <c r="AG12" i="9"/>
  <c r="AG11" i="9" s="1"/>
  <c r="AG7" i="9"/>
  <c r="AG98" i="9"/>
  <c r="AG9" i="9" s="1"/>
  <c r="AD6" i="8"/>
  <c r="AD17" i="8" s="1"/>
  <c r="AD19" i="8" s="1"/>
  <c r="AD42" i="8" s="1"/>
  <c r="AD88" i="8"/>
  <c r="AD83" i="8" s="1"/>
  <c r="AD84" i="8" s="1"/>
  <c r="AE65" i="8" s="1"/>
  <c r="AE170" i="8"/>
  <c r="AE168" i="8" s="1"/>
  <c r="AB101" i="2"/>
  <c r="AA19" i="2"/>
  <c r="AA26" i="2"/>
  <c r="AB65" i="2"/>
  <c r="AG148" i="6" l="1"/>
  <c r="AH263" i="13"/>
  <c r="AH170" i="9"/>
  <c r="AH168" i="9" s="1"/>
  <c r="AH171" i="9" s="1"/>
  <c r="AH125" i="9" s="1"/>
  <c r="AG6" i="9"/>
  <c r="AG17" i="9" s="1"/>
  <c r="AG19" i="9" s="1"/>
  <c r="AG42" i="9" s="1"/>
  <c r="AG88" i="9"/>
  <c r="AD36" i="8"/>
  <c r="AD35" i="8" s="1"/>
  <c r="AD61" i="8" s="1"/>
  <c r="AD26" i="8"/>
  <c r="AE104" i="8"/>
  <c r="AE81" i="8"/>
  <c r="AE171" i="8"/>
  <c r="AD21" i="8"/>
  <c r="AD114" i="8" s="1"/>
  <c r="AA42" i="2"/>
  <c r="AA21" i="2"/>
  <c r="AH104" i="9" l="1"/>
  <c r="AH81" i="9"/>
  <c r="AH80" i="9"/>
  <c r="AH103" i="9" s="1"/>
  <c r="AG36" i="9"/>
  <c r="AG35" i="9" s="1"/>
  <c r="AG83" i="9"/>
  <c r="AG84" i="9" s="1"/>
  <c r="AG21" i="9"/>
  <c r="AG114" i="9" s="1"/>
  <c r="AD188" i="8"/>
  <c r="AD193" i="8" s="1"/>
  <c r="AD194" i="8" s="1"/>
  <c r="AE125" i="8"/>
  <c r="AE80" i="8"/>
  <c r="AE103" i="8" s="1"/>
  <c r="AA114" i="2"/>
  <c r="AA35" i="2"/>
  <c r="AH102" i="9" l="1"/>
  <c r="AH243" i="13" s="1"/>
  <c r="AH79" i="9"/>
  <c r="AH78" i="9" s="1"/>
  <c r="AG26" i="9"/>
  <c r="AH65" i="9"/>
  <c r="AG61" i="9"/>
  <c r="AG188" i="9"/>
  <c r="AG193" i="9" s="1"/>
  <c r="AE79" i="8"/>
  <c r="AE78" i="8" s="1"/>
  <c r="AE102" i="8"/>
  <c r="AD206" i="8"/>
  <c r="AD115" i="8"/>
  <c r="AD50" i="8"/>
  <c r="AD195" i="8"/>
  <c r="AA188" i="2"/>
  <c r="AA61" i="2"/>
  <c r="AH101" i="9" l="1"/>
  <c r="AH143" i="6"/>
  <c r="AE207" i="13"/>
  <c r="AE109" i="6"/>
  <c r="AG194" i="9"/>
  <c r="AG195" i="9" s="1"/>
  <c r="AE101" i="8"/>
  <c r="AD196" i="8"/>
  <c r="AD129" i="8" s="1"/>
  <c r="AD126" i="8" s="1"/>
  <c r="AA193" i="2"/>
  <c r="AG196" i="9" l="1"/>
  <c r="AG129" i="9" s="1"/>
  <c r="AG126" i="9" s="1"/>
  <c r="AG206" i="9"/>
  <c r="AG115" i="9"/>
  <c r="AG50" i="9"/>
  <c r="AD130" i="8"/>
  <c r="AD197" i="8"/>
  <c r="AA194" i="2"/>
  <c r="AG130" i="9" l="1"/>
  <c r="AG197" i="9"/>
  <c r="AD198" i="8"/>
  <c r="AD144" i="8" s="1"/>
  <c r="AD142" i="8" s="1"/>
  <c r="AE120" i="8"/>
  <c r="AA115" i="2"/>
  <c r="AA206" i="2"/>
  <c r="AA50" i="2"/>
  <c r="AA195" i="2"/>
  <c r="AG198" i="9" l="1"/>
  <c r="AG144" i="9" s="1"/>
  <c r="AG142" i="9" s="1"/>
  <c r="AH120" i="9"/>
  <c r="AE124" i="8"/>
  <c r="AE128" i="8" s="1"/>
  <c r="AE132" i="8"/>
  <c r="AD145" i="8"/>
  <c r="AD51" i="8"/>
  <c r="AD49" i="8" s="1"/>
  <c r="AD199" i="8"/>
  <c r="AA196" i="2"/>
  <c r="AH124" i="9" l="1"/>
  <c r="AH132" i="9"/>
  <c r="AG145" i="9"/>
  <c r="AG51" i="9"/>
  <c r="AG49" i="9" s="1"/>
  <c r="AG199" i="9"/>
  <c r="AD200" i="8"/>
  <c r="AD116" i="8" s="1"/>
  <c r="AE121" i="8"/>
  <c r="AE137" i="8"/>
  <c r="AD31" i="8"/>
  <c r="AA129" i="2"/>
  <c r="AA197" i="2"/>
  <c r="AG200" i="9" l="1"/>
  <c r="AG116" i="9" s="1"/>
  <c r="AH137" i="9"/>
  <c r="AG31" i="9"/>
  <c r="AH128" i="9"/>
  <c r="AH121" i="9"/>
  <c r="AE141" i="8"/>
  <c r="AE143" i="8" s="1"/>
  <c r="AE147" i="8"/>
  <c r="AD201" i="8"/>
  <c r="AE190" i="8"/>
  <c r="AD207" i="8"/>
  <c r="AD208" i="8" s="1"/>
  <c r="AD53" i="8"/>
  <c r="AD45" i="8" s="1"/>
  <c r="AD55" i="8" s="1"/>
  <c r="AD59" i="8" s="1"/>
  <c r="AD117" i="8"/>
  <c r="AA198" i="2"/>
  <c r="AA126" i="2"/>
  <c r="AD101" i="4" l="1"/>
  <c r="AE187" i="8"/>
  <c r="AG201" i="9"/>
  <c r="AH141" i="9"/>
  <c r="AH147" i="9"/>
  <c r="AH190" i="9"/>
  <c r="AG207" i="9"/>
  <c r="AG208" i="9" s="1"/>
  <c r="AG53" i="9"/>
  <c r="AG45" i="9" s="1"/>
  <c r="AG55" i="9" s="1"/>
  <c r="AG59" i="9" s="1"/>
  <c r="AG117" i="9"/>
  <c r="AE76" i="8"/>
  <c r="AE52" i="8"/>
  <c r="AE192" i="8" s="1"/>
  <c r="AE57" i="8"/>
  <c r="AE138" i="8"/>
  <c r="AE71" i="8"/>
  <c r="AE112" i="8"/>
  <c r="AD30" i="8"/>
  <c r="AD29" i="8" s="1"/>
  <c r="AD27" i="8" s="1"/>
  <c r="AD25" i="8" s="1"/>
  <c r="AD99" i="4" s="1"/>
  <c r="AA130" i="2"/>
  <c r="AA144" i="2"/>
  <c r="AA199" i="2"/>
  <c r="AE89" i="8" l="1"/>
  <c r="AF155" i="8"/>
  <c r="AG107" i="4"/>
  <c r="AD100" i="4"/>
  <c r="AH187" i="9"/>
  <c r="AH52" i="9"/>
  <c r="AH192" i="9" s="1"/>
  <c r="AH76" i="9"/>
  <c r="AH143" i="9"/>
  <c r="AH138" i="9"/>
  <c r="AH48" i="9" s="1"/>
  <c r="AH46" i="9" s="1"/>
  <c r="AH71" i="9"/>
  <c r="AI155" i="9" s="1"/>
  <c r="AH112" i="9"/>
  <c r="AG30" i="9"/>
  <c r="AG29" i="9" s="1"/>
  <c r="AG27" i="9" s="1"/>
  <c r="AG25" i="9" s="1"/>
  <c r="AG105" i="4" s="1"/>
  <c r="AH57" i="9"/>
  <c r="AE48" i="8"/>
  <c r="AE46" i="8" s="1"/>
  <c r="AE191" i="8"/>
  <c r="AE66" i="8"/>
  <c r="AE75" i="8"/>
  <c r="AE99" i="8"/>
  <c r="AE15" i="8"/>
  <c r="AA142" i="2"/>
  <c r="AA200" i="2"/>
  <c r="AA201" i="2" s="1"/>
  <c r="AB120" i="2"/>
  <c r="AE217" i="13" l="1"/>
  <c r="AE216" i="13" s="1"/>
  <c r="AE212" i="13" s="1"/>
  <c r="AE119" i="6"/>
  <c r="AE118" i="6" s="1"/>
  <c r="AG106" i="4"/>
  <c r="AH191" i="9"/>
  <c r="AH89" i="9"/>
  <c r="AH66" i="9"/>
  <c r="AH75" i="9"/>
  <c r="AH99" i="9"/>
  <c r="AH15" i="9"/>
  <c r="AE98" i="8"/>
  <c r="AE9" i="8" s="1"/>
  <c r="AF169" i="8"/>
  <c r="AF127" i="6" s="1"/>
  <c r="AE7" i="8"/>
  <c r="AE12" i="8"/>
  <c r="AE11" i="8" s="1"/>
  <c r="AF154" i="8"/>
  <c r="AF43" i="8" s="1"/>
  <c r="AB187" i="2"/>
  <c r="AB124" i="2"/>
  <c r="AB128" i="2" s="1"/>
  <c r="AB132" i="2"/>
  <c r="AA116" i="2"/>
  <c r="AA145" i="2"/>
  <c r="AA51" i="2"/>
  <c r="AH253" i="13" l="1"/>
  <c r="AH252" i="13" s="1"/>
  <c r="AH248" i="13" s="1"/>
  <c r="AH153" i="6"/>
  <c r="AH152" i="6" s="1"/>
  <c r="AF227" i="13"/>
  <c r="AE114" i="6"/>
  <c r="AH98" i="9"/>
  <c r="AH9" i="9" s="1"/>
  <c r="AH12" i="9"/>
  <c r="AH11" i="9" s="1"/>
  <c r="AH7" i="9"/>
  <c r="AI154" i="9"/>
  <c r="AI43" i="9" s="1"/>
  <c r="AI169" i="9"/>
  <c r="AI161" i="6" s="1"/>
  <c r="AE6" i="8"/>
  <c r="AE17" i="8" s="1"/>
  <c r="AE19" i="8" s="1"/>
  <c r="AE42" i="8" s="1"/>
  <c r="AE88" i="8"/>
  <c r="AE83" i="8" s="1"/>
  <c r="AE84" i="8" s="1"/>
  <c r="AE26" i="8" s="1"/>
  <c r="AF170" i="8"/>
  <c r="AF168" i="8" s="1"/>
  <c r="AB121" i="2"/>
  <c r="AB190" i="2" s="1"/>
  <c r="AA49" i="2"/>
  <c r="AA53" i="2"/>
  <c r="AA207" i="2"/>
  <c r="AA117" i="2"/>
  <c r="AB137" i="2"/>
  <c r="AA31" i="2"/>
  <c r="AH148" i="6" l="1"/>
  <c r="AI263" i="13"/>
  <c r="AH88" i="9"/>
  <c r="AH36" i="9" s="1"/>
  <c r="AH6" i="9"/>
  <c r="AH17" i="9" s="1"/>
  <c r="AH19" i="9" s="1"/>
  <c r="AH42" i="9" s="1"/>
  <c r="AI170" i="9"/>
  <c r="AI168" i="9" s="1"/>
  <c r="AE36" i="8"/>
  <c r="AE35" i="8" s="1"/>
  <c r="AE61" i="8" s="1"/>
  <c r="AF65" i="8"/>
  <c r="AF104" i="8"/>
  <c r="AF81" i="8"/>
  <c r="AF171" i="8"/>
  <c r="AE21" i="8"/>
  <c r="AE114" i="8" s="1"/>
  <c r="AB112" i="2"/>
  <c r="AA30" i="2"/>
  <c r="AA29" i="2" s="1"/>
  <c r="AA27" i="2" s="1"/>
  <c r="AA45" i="2"/>
  <c r="AA208" i="2"/>
  <c r="AB147" i="2"/>
  <c r="AB141" i="2"/>
  <c r="AB143" i="2" s="1"/>
  <c r="AH83" i="9" l="1"/>
  <c r="AH84" i="9" s="1"/>
  <c r="AH26" i="9" s="1"/>
  <c r="AH35" i="9"/>
  <c r="AH61" i="9" s="1"/>
  <c r="AH21" i="9"/>
  <c r="AH114" i="9" s="1"/>
  <c r="AI104" i="9"/>
  <c r="AI81" i="9"/>
  <c r="AI171" i="9"/>
  <c r="AE188" i="8"/>
  <c r="AE193" i="8" s="1"/>
  <c r="AE194" i="8" s="1"/>
  <c r="AF125" i="8"/>
  <c r="AF80" i="8"/>
  <c r="AF103" i="8" s="1"/>
  <c r="AB138" i="2"/>
  <c r="AB71" i="2"/>
  <c r="AC155" i="2" s="1"/>
  <c r="AA55" i="2"/>
  <c r="AB76" i="2"/>
  <c r="AB99" i="2" s="1"/>
  <c r="AB85" i="6" s="1"/>
  <c r="AB52" i="2"/>
  <c r="AA25" i="2"/>
  <c r="AA93" i="4" s="1"/>
  <c r="AB181" i="13" l="1"/>
  <c r="AB37" i="13" s="1"/>
  <c r="AI65" i="9"/>
  <c r="AH188" i="9"/>
  <c r="AH193" i="9" s="1"/>
  <c r="AH194" i="9" s="1"/>
  <c r="AH195" i="9" s="1"/>
  <c r="AB89" i="2"/>
  <c r="AI125" i="9"/>
  <c r="AI80" i="9"/>
  <c r="AF79" i="8"/>
  <c r="AF78" i="8" s="1"/>
  <c r="AF102" i="8"/>
  <c r="AE206" i="8"/>
  <c r="AE115" i="8"/>
  <c r="AE50" i="8"/>
  <c r="AE195" i="8"/>
  <c r="AB98" i="2"/>
  <c r="AA59" i="2"/>
  <c r="AB192" i="2"/>
  <c r="AB66" i="2"/>
  <c r="AB15" i="2"/>
  <c r="AB75" i="2"/>
  <c r="AB48" i="2"/>
  <c r="AB191" i="2"/>
  <c r="AF207" i="13" l="1"/>
  <c r="AF109" i="6"/>
  <c r="AB84" i="6"/>
  <c r="AB180" i="13"/>
  <c r="AB176" i="13" s="1"/>
  <c r="AB36" i="13"/>
  <c r="AB32" i="13" s="1"/>
  <c r="AA94" i="4"/>
  <c r="AA95" i="4"/>
  <c r="AH196" i="9"/>
  <c r="AH129" i="9" s="1"/>
  <c r="AH126" i="9" s="1"/>
  <c r="AI103" i="9"/>
  <c r="AI102" i="9" s="1"/>
  <c r="AI79" i="9"/>
  <c r="AI78" i="9" s="1"/>
  <c r="AH115" i="9"/>
  <c r="AH50" i="9"/>
  <c r="AH206" i="9"/>
  <c r="AF101" i="8"/>
  <c r="AE196" i="8"/>
  <c r="AE129" i="8" s="1"/>
  <c r="AE126" i="8" s="1"/>
  <c r="AB46" i="2"/>
  <c r="AB88" i="2"/>
  <c r="AB12" i="2"/>
  <c r="AB7" i="2"/>
  <c r="AC154" i="2"/>
  <c r="AC169" i="2"/>
  <c r="AC93" i="6" s="1"/>
  <c r="AB57" i="2"/>
  <c r="AI243" i="13" l="1"/>
  <c r="AI143" i="6"/>
  <c r="AB80" i="6"/>
  <c r="AC191" i="13"/>
  <c r="AC45" i="13" s="1"/>
  <c r="AI101" i="9"/>
  <c r="AH130" i="9"/>
  <c r="AH197" i="9"/>
  <c r="AE197" i="8"/>
  <c r="AE198" i="8" s="1"/>
  <c r="AE144" i="8" s="1"/>
  <c r="AE142" i="8" s="1"/>
  <c r="AE145" i="8" s="1"/>
  <c r="AF137" i="8" s="1"/>
  <c r="AE130" i="8"/>
  <c r="AC170" i="2"/>
  <c r="AC168" i="2" s="1"/>
  <c r="AC43" i="2"/>
  <c r="AB36" i="2"/>
  <c r="AB83" i="2"/>
  <c r="AB84" i="2" s="1"/>
  <c r="AB9" i="2"/>
  <c r="AB6" i="2" s="1"/>
  <c r="AB11" i="2"/>
  <c r="AH198" i="9" l="1"/>
  <c r="AH144" i="9" s="1"/>
  <c r="AH142" i="9" s="1"/>
  <c r="AI120" i="9"/>
  <c r="AF141" i="8"/>
  <c r="AF143" i="8" s="1"/>
  <c r="AF147" i="8"/>
  <c r="AF120" i="8"/>
  <c r="AE31" i="8"/>
  <c r="AE51" i="8"/>
  <c r="AE49" i="8" s="1"/>
  <c r="AE199" i="8"/>
  <c r="AC104" i="2"/>
  <c r="AC81" i="2"/>
  <c r="AB17" i="2"/>
  <c r="AC171" i="2"/>
  <c r="AC80" i="2" s="1"/>
  <c r="AC103" i="2" s="1"/>
  <c r="AH199" i="9" l="1"/>
  <c r="AH200" i="9" s="1"/>
  <c r="AH116" i="9" s="1"/>
  <c r="AI124" i="9"/>
  <c r="AI132" i="9"/>
  <c r="AH145" i="9"/>
  <c r="AH51" i="9"/>
  <c r="AH49" i="9" s="1"/>
  <c r="AF124" i="8"/>
  <c r="AF128" i="8" s="1"/>
  <c r="AF132" i="8"/>
  <c r="AE200" i="8"/>
  <c r="AE116" i="8" s="1"/>
  <c r="AF138" i="8"/>
  <c r="AC79" i="2"/>
  <c r="AC78" i="2" s="1"/>
  <c r="AC102" i="2"/>
  <c r="AC75" i="6" s="1"/>
  <c r="AB26" i="2"/>
  <c r="AC65" i="2"/>
  <c r="AC125" i="2"/>
  <c r="AB19" i="2"/>
  <c r="AC171" i="13" l="1"/>
  <c r="AC27" i="13" s="1"/>
  <c r="AI137" i="9"/>
  <c r="AH31" i="9"/>
  <c r="AH201" i="9"/>
  <c r="AH207" i="9"/>
  <c r="AH208" i="9" s="1"/>
  <c r="AH53" i="9"/>
  <c r="AH45" i="9" s="1"/>
  <c r="AH55" i="9" s="1"/>
  <c r="AH59" i="9" s="1"/>
  <c r="AH117" i="9"/>
  <c r="AI128" i="9"/>
  <c r="AI121" i="9"/>
  <c r="AE201" i="8"/>
  <c r="AF76" i="8"/>
  <c r="AF52" i="8"/>
  <c r="AF192" i="8" s="1"/>
  <c r="AF191" i="8"/>
  <c r="AF71" i="8"/>
  <c r="AF121" i="8"/>
  <c r="AE207" i="8"/>
  <c r="AE208" i="8" s="1"/>
  <c r="AE53" i="8"/>
  <c r="AE45" i="8" s="1"/>
  <c r="AE55" i="8" s="1"/>
  <c r="AE59" i="8" s="1"/>
  <c r="AE117" i="8"/>
  <c r="AC101" i="2"/>
  <c r="AB42" i="2"/>
  <c r="AB21" i="2"/>
  <c r="AF89" i="8" l="1"/>
  <c r="AG155" i="8"/>
  <c r="AH107" i="4"/>
  <c r="AE101" i="4"/>
  <c r="AF187" i="8"/>
  <c r="AI190" i="9"/>
  <c r="AH30" i="9"/>
  <c r="AH29" i="9" s="1"/>
  <c r="AH27" i="9" s="1"/>
  <c r="AH25" i="9" s="1"/>
  <c r="AH105" i="4" s="1"/>
  <c r="AI112" i="9"/>
  <c r="AI57" i="9"/>
  <c r="AI187" i="9"/>
  <c r="AI147" i="9"/>
  <c r="AI141" i="9"/>
  <c r="AF112" i="8"/>
  <c r="AE30" i="8"/>
  <c r="AE29" i="8" s="1"/>
  <c r="AE27" i="8" s="1"/>
  <c r="AE25" i="8" s="1"/>
  <c r="AE99" i="4" s="1"/>
  <c r="AF48" i="8"/>
  <c r="AF46" i="8" s="1"/>
  <c r="AF99" i="8"/>
  <c r="AF75" i="8"/>
  <c r="AF15" i="8"/>
  <c r="AF57" i="8"/>
  <c r="AF190" i="8"/>
  <c r="AF66" i="8"/>
  <c r="AB114" i="2"/>
  <c r="AB35" i="2"/>
  <c r="AF217" i="13" l="1"/>
  <c r="AF216" i="13" s="1"/>
  <c r="AF212" i="13" s="1"/>
  <c r="AF119" i="6"/>
  <c r="AF118" i="6" s="1"/>
  <c r="AH106" i="4"/>
  <c r="AE100" i="4"/>
  <c r="AI143" i="9"/>
  <c r="AI138" i="9"/>
  <c r="AI71" i="9"/>
  <c r="AJ155" i="9" s="1"/>
  <c r="AI76" i="9"/>
  <c r="AI52" i="9"/>
  <c r="AI192" i="9" s="1"/>
  <c r="AF98" i="8"/>
  <c r="AF9" i="8" s="1"/>
  <c r="AG169" i="8"/>
  <c r="AG127" i="6" s="1"/>
  <c r="AF7" i="8"/>
  <c r="AF12" i="8"/>
  <c r="AF11" i="8" s="1"/>
  <c r="AG154" i="8"/>
  <c r="AG43" i="8" s="1"/>
  <c r="AB188" i="2"/>
  <c r="AB61" i="2"/>
  <c r="AG227" i="13" l="1"/>
  <c r="AF114" i="6"/>
  <c r="AI191" i="9"/>
  <c r="AI15" i="9"/>
  <c r="AI99" i="9"/>
  <c r="AI75" i="9"/>
  <c r="AI89" i="9"/>
  <c r="AI66" i="9"/>
  <c r="AI48" i="9"/>
  <c r="AI46" i="9" s="1"/>
  <c r="AF88" i="8"/>
  <c r="AF83" i="8" s="1"/>
  <c r="AF84" i="8" s="1"/>
  <c r="AG65" i="8" s="1"/>
  <c r="AF6" i="8"/>
  <c r="AF17" i="8" s="1"/>
  <c r="AG170" i="8"/>
  <c r="AG168" i="8" s="1"/>
  <c r="AB193" i="2"/>
  <c r="AI253" i="13" l="1"/>
  <c r="AI252" i="13" s="1"/>
  <c r="AI248" i="13" s="1"/>
  <c r="AI153" i="6"/>
  <c r="AI152" i="6" s="1"/>
  <c r="AJ154" i="9"/>
  <c r="AJ43" i="9" s="1"/>
  <c r="AJ169" i="9"/>
  <c r="AJ161" i="6" s="1"/>
  <c r="AI7" i="9"/>
  <c r="AI12" i="9"/>
  <c r="AI11" i="9" s="1"/>
  <c r="AI98" i="9"/>
  <c r="AI9" i="9" s="1"/>
  <c r="AF26" i="8"/>
  <c r="AF36" i="8"/>
  <c r="AG104" i="8"/>
  <c r="AG81" i="8"/>
  <c r="AG171" i="8"/>
  <c r="AF19" i="8"/>
  <c r="AF42" i="8" s="1"/>
  <c r="AB194" i="2"/>
  <c r="AI148" i="6" l="1"/>
  <c r="AJ263" i="13"/>
  <c r="AI6" i="9"/>
  <c r="AI17" i="9" s="1"/>
  <c r="AI19" i="9" s="1"/>
  <c r="AI42" i="9" s="1"/>
  <c r="AF35" i="8"/>
  <c r="AF61" i="8" s="1"/>
  <c r="AI88" i="9"/>
  <c r="AI83" i="9" s="1"/>
  <c r="AI84" i="9" s="1"/>
  <c r="AJ170" i="9"/>
  <c r="AJ168" i="9" s="1"/>
  <c r="AG125" i="8"/>
  <c r="AG80" i="8"/>
  <c r="AG103" i="8" s="1"/>
  <c r="AF21" i="8"/>
  <c r="AF114" i="8" s="1"/>
  <c r="AB115" i="2"/>
  <c r="AB206" i="2"/>
  <c r="AB50" i="2"/>
  <c r="AB195" i="2"/>
  <c r="AF188" i="8" l="1"/>
  <c r="AF193" i="8" s="1"/>
  <c r="AF194" i="8" s="1"/>
  <c r="AF195" i="8" s="1"/>
  <c r="AI36" i="9"/>
  <c r="AI35" i="9" s="1"/>
  <c r="AJ104" i="9"/>
  <c r="AJ81" i="9"/>
  <c r="AJ171" i="9"/>
  <c r="AI21" i="9"/>
  <c r="AI114" i="9" s="1"/>
  <c r="AJ65" i="9"/>
  <c r="AI26" i="9"/>
  <c r="AG79" i="8"/>
  <c r="AG78" i="8" s="1"/>
  <c r="AG102" i="8"/>
  <c r="AB196" i="2"/>
  <c r="AG207" i="13" l="1"/>
  <c r="AG109" i="6"/>
  <c r="AJ125" i="9"/>
  <c r="AJ80" i="9"/>
  <c r="AI61" i="9"/>
  <c r="AI188" i="9"/>
  <c r="AI193" i="9" s="1"/>
  <c r="AG101" i="8"/>
  <c r="AF196" i="8"/>
  <c r="AF129" i="8" s="1"/>
  <c r="AF126" i="8" s="1"/>
  <c r="AF206" i="8"/>
  <c r="AF115" i="8"/>
  <c r="AF50" i="8"/>
  <c r="AB129" i="2"/>
  <c r="AB197" i="2"/>
  <c r="AI194" i="9" l="1"/>
  <c r="AI195" i="9" s="1"/>
  <c r="AJ103" i="9"/>
  <c r="AJ102" i="9" s="1"/>
  <c r="AJ79" i="9"/>
  <c r="AJ78" i="9" s="1"/>
  <c r="AF130" i="8"/>
  <c r="AF197" i="8"/>
  <c r="AB198" i="2"/>
  <c r="AB126" i="2"/>
  <c r="AJ243" i="13" l="1"/>
  <c r="AJ143" i="6"/>
  <c r="AI196" i="9"/>
  <c r="AI129" i="9" s="1"/>
  <c r="AI126" i="9" s="1"/>
  <c r="AJ101" i="9"/>
  <c r="AI206" i="9"/>
  <c r="AI115" i="9"/>
  <c r="AI50" i="9"/>
  <c r="AG120" i="8"/>
  <c r="AF198" i="8"/>
  <c r="AF144" i="8" s="1"/>
  <c r="AF142" i="8" s="1"/>
  <c r="AB130" i="2"/>
  <c r="AB144" i="2"/>
  <c r="AB199" i="2"/>
  <c r="AI130" i="9" l="1"/>
  <c r="AI197" i="9"/>
  <c r="AG124" i="8"/>
  <c r="AG128" i="8" s="1"/>
  <c r="AG132" i="8"/>
  <c r="AF199" i="8"/>
  <c r="AF200" i="8" s="1"/>
  <c r="AF145" i="8"/>
  <c r="AF51" i="8"/>
  <c r="AF49" i="8" s="1"/>
  <c r="AB200" i="2"/>
  <c r="AB142" i="2"/>
  <c r="AC120" i="2"/>
  <c r="AI198" i="9" l="1"/>
  <c r="AI144" i="9" s="1"/>
  <c r="AI142" i="9" s="1"/>
  <c r="AJ120" i="9"/>
  <c r="AF116" i="8"/>
  <c r="AF53" i="8" s="1"/>
  <c r="AF45" i="8" s="1"/>
  <c r="AF55" i="8" s="1"/>
  <c r="AF59" i="8" s="1"/>
  <c r="AF201" i="8"/>
  <c r="AG137" i="8"/>
  <c r="AF31" i="8"/>
  <c r="AG121" i="8"/>
  <c r="AB145" i="2"/>
  <c r="AB51" i="2"/>
  <c r="AB116" i="2"/>
  <c r="AC124" i="2"/>
  <c r="AC128" i="2" s="1"/>
  <c r="AC132" i="2"/>
  <c r="AB201" i="2"/>
  <c r="AF101" i="4" l="1"/>
  <c r="AG187" i="8"/>
  <c r="AJ124" i="9"/>
  <c r="AJ132" i="9"/>
  <c r="AI145" i="9"/>
  <c r="AI51" i="9"/>
  <c r="AI49" i="9" s="1"/>
  <c r="AI199" i="9"/>
  <c r="AG141" i="8"/>
  <c r="AG143" i="8" s="1"/>
  <c r="AG147" i="8"/>
  <c r="AF117" i="8"/>
  <c r="AF30" i="8" s="1"/>
  <c r="AF29" i="8" s="1"/>
  <c r="AF27" i="8" s="1"/>
  <c r="AF25" i="8" s="1"/>
  <c r="AF99" i="4" s="1"/>
  <c r="AF207" i="8"/>
  <c r="AF208" i="8" s="1"/>
  <c r="AG190" i="8"/>
  <c r="AG57" i="8"/>
  <c r="AB49" i="2"/>
  <c r="AC121" i="2"/>
  <c r="AC190" i="2" s="1"/>
  <c r="AC187" i="2"/>
  <c r="AC137" i="2"/>
  <c r="AB31" i="2"/>
  <c r="AB53" i="2"/>
  <c r="AB207" i="2"/>
  <c r="AB117" i="2"/>
  <c r="AF100" i="4" l="1"/>
  <c r="AI200" i="9"/>
  <c r="AI116" i="9" s="1"/>
  <c r="AJ137" i="9"/>
  <c r="AI31" i="9"/>
  <c r="AJ128" i="9"/>
  <c r="AJ121" i="9"/>
  <c r="AG112" i="8"/>
  <c r="AG76" i="8"/>
  <c r="AG52" i="8"/>
  <c r="AG192" i="8" s="1"/>
  <c r="AG138" i="8"/>
  <c r="AG71" i="8"/>
  <c r="AB45" i="2"/>
  <c r="AC141" i="2"/>
  <c r="AC143" i="2" s="1"/>
  <c r="AC147" i="2"/>
  <c r="AC112" i="2"/>
  <c r="AB30" i="2"/>
  <c r="AB29" i="2" s="1"/>
  <c r="AB27" i="2" s="1"/>
  <c r="AB208" i="2"/>
  <c r="AG89" i="8" l="1"/>
  <c r="AH155" i="8"/>
  <c r="AJ141" i="9"/>
  <c r="AJ147" i="9"/>
  <c r="AI201" i="9"/>
  <c r="AJ190" i="9"/>
  <c r="AI53" i="9"/>
  <c r="AI45" i="9" s="1"/>
  <c r="AI55" i="9" s="1"/>
  <c r="AI59" i="9" s="1"/>
  <c r="AI207" i="9"/>
  <c r="AI208" i="9" s="1"/>
  <c r="AI117" i="9"/>
  <c r="AG191" i="8"/>
  <c r="AG66" i="8"/>
  <c r="AG48" i="8"/>
  <c r="AG46" i="8" s="1"/>
  <c r="AG99" i="8"/>
  <c r="AG75" i="8"/>
  <c r="AG15" i="8"/>
  <c r="AB55" i="2"/>
  <c r="AB25" i="2"/>
  <c r="AB93" i="4" s="1"/>
  <c r="AC76" i="2"/>
  <c r="AC99" i="2" s="1"/>
  <c r="AC85" i="6" s="1"/>
  <c r="AC52" i="2"/>
  <c r="AC138" i="2"/>
  <c r="AC71" i="2"/>
  <c r="AD155" i="2" s="1"/>
  <c r="AG217" i="13" l="1"/>
  <c r="AG216" i="13" s="1"/>
  <c r="AG212" i="13" s="1"/>
  <c r="AG119" i="6"/>
  <c r="AG118" i="6" s="1"/>
  <c r="AC181" i="13"/>
  <c r="AC37" i="13" s="1"/>
  <c r="AI107" i="4"/>
  <c r="AC89" i="2"/>
  <c r="AJ187" i="9"/>
  <c r="AJ52" i="9"/>
  <c r="AJ192" i="9" s="1"/>
  <c r="AJ76" i="9"/>
  <c r="AJ112" i="9"/>
  <c r="AI30" i="9"/>
  <c r="AI29" i="9" s="1"/>
  <c r="AI27" i="9" s="1"/>
  <c r="AI25" i="9" s="1"/>
  <c r="AI105" i="4" s="1"/>
  <c r="AJ143" i="9"/>
  <c r="AJ138" i="9"/>
  <c r="AJ71" i="9"/>
  <c r="AK155" i="9" s="1"/>
  <c r="AJ57" i="9"/>
  <c r="AG98" i="8"/>
  <c r="AG9" i="8" s="1"/>
  <c r="AH169" i="8"/>
  <c r="AH127" i="6" s="1"/>
  <c r="AG7" i="8"/>
  <c r="AG12" i="8"/>
  <c r="AG11" i="8" s="1"/>
  <c r="AH154" i="8"/>
  <c r="AH43" i="8" s="1"/>
  <c r="AC98" i="2"/>
  <c r="AC192" i="2"/>
  <c r="AC75" i="2"/>
  <c r="AC15" i="2"/>
  <c r="AC48" i="2"/>
  <c r="AC191" i="2"/>
  <c r="AC66" i="2"/>
  <c r="AB59" i="2"/>
  <c r="AH227" i="13" l="1"/>
  <c r="AG114" i="6"/>
  <c r="AC84" i="6"/>
  <c r="AC180" i="13"/>
  <c r="AC176" i="13" s="1"/>
  <c r="AC36" i="13"/>
  <c r="AC32" i="13" s="1"/>
  <c r="AB94" i="4"/>
  <c r="AB95" i="4"/>
  <c r="AI106" i="4"/>
  <c r="AJ48" i="9"/>
  <c r="AJ46" i="9" s="1"/>
  <c r="AJ99" i="9"/>
  <c r="AJ15" i="9"/>
  <c r="AJ75" i="9"/>
  <c r="AJ89" i="9"/>
  <c r="AJ66" i="9"/>
  <c r="AJ191" i="9"/>
  <c r="AG6" i="8"/>
  <c r="AG17" i="8" s="1"/>
  <c r="AG88" i="8"/>
  <c r="AG83" i="8" s="1"/>
  <c r="AG84" i="8" s="1"/>
  <c r="AG26" i="8" s="1"/>
  <c r="AH170" i="8"/>
  <c r="AH168" i="8" s="1"/>
  <c r="AD154" i="2"/>
  <c r="AD169" i="2"/>
  <c r="AD93" i="6" s="1"/>
  <c r="AC46" i="2"/>
  <c r="AC57" i="2"/>
  <c r="AC88" i="2"/>
  <c r="AC7" i="2"/>
  <c r="AC12" i="2"/>
  <c r="AJ253" i="13" l="1"/>
  <c r="AJ252" i="13" s="1"/>
  <c r="AJ248" i="13" s="1"/>
  <c r="AJ153" i="6"/>
  <c r="AJ152" i="6" s="1"/>
  <c r="AC80" i="6"/>
  <c r="AD191" i="13"/>
  <c r="AD45" i="13" s="1"/>
  <c r="AJ98" i="9"/>
  <c r="AJ9" i="9" s="1"/>
  <c r="AJ12" i="9"/>
  <c r="AJ11" i="9" s="1"/>
  <c r="AJ7" i="9"/>
  <c r="AK154" i="9"/>
  <c r="AK43" i="9" s="1"/>
  <c r="AK169" i="9"/>
  <c r="AK161" i="6" s="1"/>
  <c r="AH65" i="8"/>
  <c r="AG36" i="8"/>
  <c r="AG19" i="8"/>
  <c r="AG42" i="8" s="1"/>
  <c r="AH104" i="8"/>
  <c r="AH81" i="8"/>
  <c r="AH171" i="8"/>
  <c r="AC9" i="2"/>
  <c r="AC6" i="2" s="1"/>
  <c r="AC11" i="2"/>
  <c r="AD170" i="2"/>
  <c r="AD168" i="2" s="1"/>
  <c r="AD43" i="2"/>
  <c r="AJ148" i="6" l="1"/>
  <c r="AK263" i="13"/>
  <c r="AJ6" i="9"/>
  <c r="AJ17" i="9" s="1"/>
  <c r="AJ19" i="9" s="1"/>
  <c r="AJ42" i="9" s="1"/>
  <c r="AK170" i="9"/>
  <c r="AK168" i="9" s="1"/>
  <c r="AK81" i="9" s="1"/>
  <c r="AJ88" i="9"/>
  <c r="AG35" i="8"/>
  <c r="AG61" i="8" s="1"/>
  <c r="AH125" i="8"/>
  <c r="AH80" i="8"/>
  <c r="AH103" i="8" s="1"/>
  <c r="AG21" i="8"/>
  <c r="AG114" i="8" s="1"/>
  <c r="AD104" i="2"/>
  <c r="AD81" i="2"/>
  <c r="AD171" i="2"/>
  <c r="AD80" i="2" s="1"/>
  <c r="AD103" i="2" s="1"/>
  <c r="AC17" i="2"/>
  <c r="AC36" i="2"/>
  <c r="AC83" i="2"/>
  <c r="AC84" i="2" s="1"/>
  <c r="AK171" i="9" l="1"/>
  <c r="AK125" i="9" s="1"/>
  <c r="AK104" i="9"/>
  <c r="AJ83" i="9"/>
  <c r="AJ84" i="9" s="1"/>
  <c r="AJ36" i="9"/>
  <c r="AJ35" i="9" s="1"/>
  <c r="AJ21" i="9"/>
  <c r="AJ114" i="9" s="1"/>
  <c r="AG188" i="8"/>
  <c r="AG193" i="8" s="1"/>
  <c r="AG194" i="8" s="1"/>
  <c r="AH79" i="8"/>
  <c r="AH78" i="8" s="1"/>
  <c r="AH102" i="8"/>
  <c r="AD79" i="2"/>
  <c r="AD78" i="2" s="1"/>
  <c r="AD102" i="2"/>
  <c r="AD75" i="6" s="1"/>
  <c r="AC19" i="2"/>
  <c r="AC26" i="2"/>
  <c r="AD65" i="2"/>
  <c r="AD125" i="2"/>
  <c r="AH207" i="13" l="1"/>
  <c r="AH109" i="6"/>
  <c r="AD171" i="13"/>
  <c r="AD27" i="13" s="1"/>
  <c r="AK80" i="9"/>
  <c r="AK79" i="9" s="1"/>
  <c r="AK78" i="9" s="1"/>
  <c r="AJ61" i="9"/>
  <c r="AJ188" i="9"/>
  <c r="AJ193" i="9" s="1"/>
  <c r="AK65" i="9"/>
  <c r="AJ26" i="9"/>
  <c r="AH101" i="8"/>
  <c r="AG206" i="8"/>
  <c r="AG115" i="8"/>
  <c r="AG50" i="8"/>
  <c r="AG195" i="8"/>
  <c r="AD101" i="2"/>
  <c r="AC42" i="2"/>
  <c r="AC21" i="2"/>
  <c r="AK103" i="9" l="1"/>
  <c r="AK102" i="9" s="1"/>
  <c r="AK143" i="6" s="1"/>
  <c r="AJ194" i="9"/>
  <c r="AJ195" i="9" s="1"/>
  <c r="AG196" i="8"/>
  <c r="AG129" i="8" s="1"/>
  <c r="AG126" i="8" s="1"/>
  <c r="AC114" i="2"/>
  <c r="AC35" i="2"/>
  <c r="AK101" i="9" l="1"/>
  <c r="AK243" i="13"/>
  <c r="AJ196" i="9"/>
  <c r="AJ129" i="9" s="1"/>
  <c r="AJ126" i="9" s="1"/>
  <c r="AJ50" i="9"/>
  <c r="AJ206" i="9"/>
  <c r="AJ115" i="9"/>
  <c r="AG130" i="8"/>
  <c r="AG197" i="8"/>
  <c r="AC61" i="2"/>
  <c r="AC188" i="2"/>
  <c r="AC193" i="2" s="1"/>
  <c r="AJ130" i="9" l="1"/>
  <c r="AJ197" i="9"/>
  <c r="AG198" i="8"/>
  <c r="AG144" i="8" s="1"/>
  <c r="AG142" i="8" s="1"/>
  <c r="AH120" i="8"/>
  <c r="AC194" i="2"/>
  <c r="AJ198" i="9" l="1"/>
  <c r="AJ144" i="9" s="1"/>
  <c r="AJ142" i="9" s="1"/>
  <c r="AK120" i="9"/>
  <c r="AH124" i="8"/>
  <c r="AH128" i="8" s="1"/>
  <c r="AH132" i="8"/>
  <c r="AG199" i="8"/>
  <c r="AG145" i="8"/>
  <c r="AG51" i="8"/>
  <c r="AG49" i="8" s="1"/>
  <c r="AC206" i="2"/>
  <c r="AC50" i="2"/>
  <c r="AC115" i="2"/>
  <c r="AC195" i="2"/>
  <c r="AK132" i="9" l="1"/>
  <c r="AK124" i="9"/>
  <c r="AJ145" i="9"/>
  <c r="AJ51" i="9"/>
  <c r="AJ49" i="9" s="1"/>
  <c r="AJ199" i="9"/>
  <c r="AH121" i="8"/>
  <c r="AH137" i="8"/>
  <c r="AG31" i="8"/>
  <c r="AG200" i="8"/>
  <c r="AG116" i="8" s="1"/>
  <c r="AC196" i="2"/>
  <c r="AC129" i="2" s="1"/>
  <c r="AC126" i="2" s="1"/>
  <c r="AJ200" i="9" l="1"/>
  <c r="AJ116" i="9" s="1"/>
  <c r="AK137" i="9"/>
  <c r="AJ31" i="9"/>
  <c r="AK128" i="9"/>
  <c r="AK121" i="9"/>
  <c r="AH141" i="8"/>
  <c r="AH143" i="8" s="1"/>
  <c r="AH147" i="8"/>
  <c r="AG201" i="8"/>
  <c r="AH190" i="8"/>
  <c r="AG207" i="8"/>
  <c r="AG208" i="8" s="1"/>
  <c r="AG53" i="8"/>
  <c r="AG45" i="8" s="1"/>
  <c r="AG55" i="8" s="1"/>
  <c r="AG59" i="8" s="1"/>
  <c r="AG117" i="8"/>
  <c r="AC197" i="2"/>
  <c r="AC130" i="2"/>
  <c r="AG101" i="4" l="1"/>
  <c r="AH187" i="8"/>
  <c r="AJ201" i="9"/>
  <c r="AK187" i="9" s="1"/>
  <c r="AK190" i="9"/>
  <c r="AK141" i="9"/>
  <c r="AK147" i="9"/>
  <c r="AJ207" i="9"/>
  <c r="AJ208" i="9" s="1"/>
  <c r="AJ53" i="9"/>
  <c r="AJ45" i="9" s="1"/>
  <c r="AJ55" i="9" s="1"/>
  <c r="AJ59" i="9" s="1"/>
  <c r="AJ117" i="9"/>
  <c r="AH57" i="8"/>
  <c r="AH76" i="8"/>
  <c r="AH52" i="8"/>
  <c r="AH192" i="8" s="1"/>
  <c r="AH112" i="8"/>
  <c r="AG30" i="8"/>
  <c r="AG29" i="8" s="1"/>
  <c r="AG27" i="8" s="1"/>
  <c r="AG25" i="8" s="1"/>
  <c r="AG99" i="4" s="1"/>
  <c r="AH138" i="8"/>
  <c r="AH71" i="8"/>
  <c r="AD120" i="2"/>
  <c r="AC198" i="2"/>
  <c r="AC144" i="2" s="1"/>
  <c r="AC142" i="2" s="1"/>
  <c r="AH89" i="8" l="1"/>
  <c r="AI155" i="8"/>
  <c r="AG100" i="4"/>
  <c r="AJ107" i="4"/>
  <c r="AK52" i="9"/>
  <c r="AK192" i="9" s="1"/>
  <c r="AK76" i="9"/>
  <c r="AK143" i="9"/>
  <c r="AK138" i="9"/>
  <c r="AK48" i="9" s="1"/>
  <c r="AK46" i="9" s="1"/>
  <c r="AK71" i="9"/>
  <c r="AL155" i="9" s="1"/>
  <c r="AK112" i="9"/>
  <c r="AJ30" i="9"/>
  <c r="AJ29" i="9" s="1"/>
  <c r="AJ27" i="9" s="1"/>
  <c r="AJ25" i="9" s="1"/>
  <c r="AJ105" i="4" s="1"/>
  <c r="AK57" i="9"/>
  <c r="AH191" i="8"/>
  <c r="AH75" i="8"/>
  <c r="AH99" i="8"/>
  <c r="AH15" i="8"/>
  <c r="AH66" i="8"/>
  <c r="AH48" i="8"/>
  <c r="AH46" i="8" s="1"/>
  <c r="AC199" i="2"/>
  <c r="AD132" i="2"/>
  <c r="AD124" i="2"/>
  <c r="AD128" i="2" s="1"/>
  <c r="AC145" i="2"/>
  <c r="AC51" i="2"/>
  <c r="AC49" i="2" s="1"/>
  <c r="AH217" i="13" l="1"/>
  <c r="AH216" i="13" s="1"/>
  <c r="AH212" i="13" s="1"/>
  <c r="AH119" i="6"/>
  <c r="AH118" i="6" s="1"/>
  <c r="AJ106" i="4"/>
  <c r="AK191" i="9"/>
  <c r="AK89" i="9"/>
  <c r="AK66" i="9"/>
  <c r="AK75" i="9"/>
  <c r="AK99" i="9"/>
  <c r="AK15" i="9"/>
  <c r="AH98" i="8"/>
  <c r="AH9" i="8" s="1"/>
  <c r="AI169" i="8"/>
  <c r="AI127" i="6" s="1"/>
  <c r="AH7" i="8"/>
  <c r="AH12" i="8"/>
  <c r="AH11" i="8" s="1"/>
  <c r="AI154" i="8"/>
  <c r="AI43" i="8" s="1"/>
  <c r="AD137" i="2"/>
  <c r="AC31" i="2"/>
  <c r="AD121" i="2"/>
  <c r="AC200" i="2"/>
  <c r="AC116" i="2" s="1"/>
  <c r="AK253" i="13" l="1"/>
  <c r="AK252" i="13" s="1"/>
  <c r="AK248" i="13" s="1"/>
  <c r="AK153" i="6"/>
  <c r="AK152" i="6" s="1"/>
  <c r="AI227" i="13"/>
  <c r="AH114" i="6"/>
  <c r="AK98" i="9"/>
  <c r="AK9" i="9" s="1"/>
  <c r="AL154" i="9"/>
  <c r="AL43" i="9" s="1"/>
  <c r="AL169" i="9"/>
  <c r="AL161" i="6" s="1"/>
  <c r="AK12" i="9"/>
  <c r="AK11" i="9" s="1"/>
  <c r="AK7" i="9"/>
  <c r="AH6" i="8"/>
  <c r="AH17" i="8" s="1"/>
  <c r="AH19" i="8" s="1"/>
  <c r="AH42" i="8" s="1"/>
  <c r="AI170" i="8"/>
  <c r="AI168" i="8" s="1"/>
  <c r="AH88" i="8"/>
  <c r="AC201" i="2"/>
  <c r="AD190" i="2"/>
  <c r="AC53" i="2"/>
  <c r="AC45" i="2" s="1"/>
  <c r="AC55" i="2" s="1"/>
  <c r="AC59" i="2" s="1"/>
  <c r="AC207" i="2"/>
  <c r="AC117" i="2"/>
  <c r="AD147" i="2"/>
  <c r="AD141" i="2"/>
  <c r="AD143" i="2" s="1"/>
  <c r="AK148" i="6" l="1"/>
  <c r="AL263" i="13"/>
  <c r="AC95" i="4"/>
  <c r="AK6" i="9"/>
  <c r="AK17" i="9" s="1"/>
  <c r="AC208" i="2"/>
  <c r="AD187" i="2"/>
  <c r="AK88" i="9"/>
  <c r="AK83" i="9" s="1"/>
  <c r="AK84" i="9" s="1"/>
  <c r="AL170" i="9"/>
  <c r="AL168" i="9" s="1"/>
  <c r="AH36" i="8"/>
  <c r="AH35" i="8" s="1"/>
  <c r="AH61" i="8" s="1"/>
  <c r="AH83" i="8"/>
  <c r="AH84" i="8" s="1"/>
  <c r="AH21" i="8"/>
  <c r="AH114" i="8" s="1"/>
  <c r="AI104" i="8"/>
  <c r="AI81" i="8"/>
  <c r="AI171" i="8"/>
  <c r="AD57" i="2"/>
  <c r="AD76" i="2"/>
  <c r="AD99" i="2" s="1"/>
  <c r="AD85" i="6" s="1"/>
  <c r="AD52" i="2"/>
  <c r="AD192" i="2" s="1"/>
  <c r="AC30" i="2"/>
  <c r="AC29" i="2" s="1"/>
  <c r="AC27" i="2" s="1"/>
  <c r="AC94" i="4" s="1"/>
  <c r="AD112" i="2"/>
  <c r="AD138" i="2"/>
  <c r="AD191" i="2" s="1"/>
  <c r="AD71" i="2"/>
  <c r="AE155" i="2" s="1"/>
  <c r="AD181" i="13" l="1"/>
  <c r="AD37" i="13" s="1"/>
  <c r="AK36" i="9"/>
  <c r="AD89" i="2"/>
  <c r="AL65" i="9"/>
  <c r="AK26" i="9"/>
  <c r="AL104" i="9"/>
  <c r="AL81" i="9"/>
  <c r="AL171" i="9"/>
  <c r="AK19" i="9"/>
  <c r="AK42" i="9" s="1"/>
  <c r="AH188" i="8"/>
  <c r="AH193" i="8" s="1"/>
  <c r="AH194" i="8" s="1"/>
  <c r="AH26" i="8"/>
  <c r="AI65" i="8"/>
  <c r="AI125" i="8"/>
  <c r="AI80" i="8"/>
  <c r="AI103" i="8" s="1"/>
  <c r="AD98" i="2"/>
  <c r="AD66" i="2"/>
  <c r="AC25" i="2"/>
  <c r="AC93" i="4" s="1"/>
  <c r="AD75" i="2"/>
  <c r="AD15" i="2"/>
  <c r="AD48" i="2"/>
  <c r="AD46" i="2" s="1"/>
  <c r="AD84" i="6" l="1"/>
  <c r="AD180" i="13"/>
  <c r="AD176" i="13" s="1"/>
  <c r="AD36" i="13"/>
  <c r="AD32" i="13" s="1"/>
  <c r="AK35" i="9"/>
  <c r="AK188" i="9" s="1"/>
  <c r="AK193" i="9" s="1"/>
  <c r="AK21" i="9"/>
  <c r="AK114" i="9" s="1"/>
  <c r="AL125" i="9"/>
  <c r="AL80" i="9"/>
  <c r="AH206" i="8"/>
  <c r="AH115" i="8"/>
  <c r="AH50" i="8"/>
  <c r="AH195" i="8"/>
  <c r="AI79" i="8"/>
  <c r="AI78" i="8" s="1"/>
  <c r="AI102" i="8"/>
  <c r="AD88" i="2"/>
  <c r="AD9" i="2"/>
  <c r="AE169" i="2"/>
  <c r="AE93" i="6" s="1"/>
  <c r="AE154" i="2"/>
  <c r="AE43" i="2" s="1"/>
  <c r="AD12" i="2"/>
  <c r="AD11" i="2" s="1"/>
  <c r="AD7" i="2"/>
  <c r="AI207" i="13" l="1"/>
  <c r="AI109" i="6"/>
  <c r="AD80" i="6"/>
  <c r="AE191" i="13"/>
  <c r="AE45" i="13" s="1"/>
  <c r="AK61" i="9"/>
  <c r="AL103" i="9"/>
  <c r="AL102" i="9" s="1"/>
  <c r="AL79" i="9"/>
  <c r="AL78" i="9" s="1"/>
  <c r="AK194" i="9"/>
  <c r="AK195" i="9" s="1"/>
  <c r="AI101" i="8"/>
  <c r="AH196" i="8"/>
  <c r="AH129" i="8" s="1"/>
  <c r="AH126" i="8" s="1"/>
  <c r="AD6" i="2"/>
  <c r="AD17" i="2" s="1"/>
  <c r="AD19" i="2" s="1"/>
  <c r="AD42" i="2" s="1"/>
  <c r="AD36" i="2"/>
  <c r="AD83" i="2"/>
  <c r="AD84" i="2" s="1"/>
  <c r="AE170" i="2"/>
  <c r="AE168" i="2" s="1"/>
  <c r="AL243" i="13" l="1"/>
  <c r="AL143" i="6"/>
  <c r="AK196" i="9"/>
  <c r="AK129" i="9" s="1"/>
  <c r="AK126" i="9" s="1"/>
  <c r="AK206" i="9"/>
  <c r="AK115" i="9"/>
  <c r="AK50" i="9"/>
  <c r="AL101" i="9"/>
  <c r="AH130" i="8"/>
  <c r="AH197" i="8"/>
  <c r="AE104" i="2"/>
  <c r="AE81" i="2"/>
  <c r="AE171" i="2"/>
  <c r="AE80" i="2" s="1"/>
  <c r="AE103" i="2" s="1"/>
  <c r="AD35" i="2"/>
  <c r="AD21" i="2"/>
  <c r="AD114" i="2" s="1"/>
  <c r="AD26" i="2"/>
  <c r="AE65" i="2"/>
  <c r="AK130" i="9" l="1"/>
  <c r="AK197" i="9"/>
  <c r="AH198" i="8"/>
  <c r="AH144" i="8" s="1"/>
  <c r="AH142" i="8" s="1"/>
  <c r="AI120" i="8"/>
  <c r="AE79" i="2"/>
  <c r="AE78" i="2" s="1"/>
  <c r="AE102" i="2"/>
  <c r="AE75" i="6" s="1"/>
  <c r="AD188" i="2"/>
  <c r="AD193" i="2" s="1"/>
  <c r="AD61" i="2"/>
  <c r="AE125" i="2"/>
  <c r="AE171" i="13" l="1"/>
  <c r="AE27" i="13" s="1"/>
  <c r="AK198" i="9"/>
  <c r="AK144" i="9" s="1"/>
  <c r="AK142" i="9" s="1"/>
  <c r="AL120" i="9"/>
  <c r="AI124" i="8"/>
  <c r="AI128" i="8" s="1"/>
  <c r="AI132" i="8"/>
  <c r="AH199" i="8"/>
  <c r="AH145" i="8"/>
  <c r="AH51" i="8"/>
  <c r="AH49" i="8" s="1"/>
  <c r="AE101" i="2"/>
  <c r="AD194" i="2"/>
  <c r="AL132" i="9" l="1"/>
  <c r="AL124" i="9"/>
  <c r="AK199" i="9"/>
  <c r="AK145" i="9"/>
  <c r="AK51" i="9"/>
  <c r="AK49" i="9" s="1"/>
  <c r="AI137" i="8"/>
  <c r="AH31" i="8"/>
  <c r="AH200" i="8"/>
  <c r="AH116" i="8" s="1"/>
  <c r="AI121" i="8"/>
  <c r="AD115" i="2"/>
  <c r="AD206" i="2"/>
  <c r="AD50" i="2"/>
  <c r="AD195" i="2"/>
  <c r="AL137" i="9" l="1"/>
  <c r="AK31" i="9"/>
  <c r="AK200" i="9"/>
  <c r="AK116" i="9" s="1"/>
  <c r="AL128" i="9"/>
  <c r="AL121" i="9"/>
  <c r="AI141" i="8"/>
  <c r="AI143" i="8" s="1"/>
  <c r="AI147" i="8"/>
  <c r="AH207" i="8"/>
  <c r="AH208" i="8" s="1"/>
  <c r="AH53" i="8"/>
  <c r="AH45" i="8" s="1"/>
  <c r="AH55" i="8" s="1"/>
  <c r="AH59" i="8" s="1"/>
  <c r="AH117" i="8"/>
  <c r="AH201" i="8"/>
  <c r="AI190" i="8"/>
  <c r="AD196" i="2"/>
  <c r="AD129" i="2" s="1"/>
  <c r="AD126" i="2" s="1"/>
  <c r="AH101" i="4" l="1"/>
  <c r="AL190" i="9"/>
  <c r="AK201" i="9"/>
  <c r="AK207" i="9"/>
  <c r="AK208" i="9" s="1"/>
  <c r="AK53" i="9"/>
  <c r="AK45" i="9" s="1"/>
  <c r="AK55" i="9" s="1"/>
  <c r="AK59" i="9" s="1"/>
  <c r="AK117" i="9"/>
  <c r="AL141" i="9"/>
  <c r="AL147" i="9"/>
  <c r="AI187" i="8"/>
  <c r="AI76" i="8"/>
  <c r="AI52" i="8"/>
  <c r="AI192" i="8" s="1"/>
  <c r="AI112" i="8"/>
  <c r="AH30" i="8"/>
  <c r="AH29" i="8" s="1"/>
  <c r="AH27" i="8" s="1"/>
  <c r="AH25" i="8" s="1"/>
  <c r="AH99" i="4" s="1"/>
  <c r="AI57" i="8"/>
  <c r="AI138" i="8"/>
  <c r="AI71" i="8"/>
  <c r="AD130" i="2"/>
  <c r="AD197" i="2"/>
  <c r="AI89" i="8" l="1"/>
  <c r="AJ155" i="8"/>
  <c r="AK107" i="4"/>
  <c r="AH100" i="4"/>
  <c r="AL143" i="9"/>
  <c r="AL138" i="9"/>
  <c r="AL71" i="9"/>
  <c r="AM155" i="9" s="1"/>
  <c r="AL112" i="9"/>
  <c r="AK30" i="9"/>
  <c r="AK29" i="9" s="1"/>
  <c r="AK27" i="9" s="1"/>
  <c r="AK25" i="9" s="1"/>
  <c r="AK105" i="4" s="1"/>
  <c r="AL57" i="9"/>
  <c r="AL187" i="9"/>
  <c r="AL76" i="9"/>
  <c r="AL52" i="9"/>
  <c r="AL192" i="9" s="1"/>
  <c r="AI66" i="8"/>
  <c r="AI48" i="8"/>
  <c r="AI46" i="8" s="1"/>
  <c r="AI75" i="8"/>
  <c r="AI99" i="8"/>
  <c r="AI15" i="8"/>
  <c r="AI191" i="8"/>
  <c r="AD198" i="2"/>
  <c r="AD144" i="2" s="1"/>
  <c r="AD142" i="2" s="1"/>
  <c r="AE120" i="2"/>
  <c r="AI217" i="13" l="1"/>
  <c r="AI216" i="13" s="1"/>
  <c r="AI212" i="13" s="1"/>
  <c r="AI119" i="6"/>
  <c r="AI118" i="6" s="1"/>
  <c r="AK106" i="4"/>
  <c r="AL191" i="9"/>
  <c r="AL89" i="9"/>
  <c r="AL66" i="9"/>
  <c r="AL99" i="9"/>
  <c r="AL75" i="9"/>
  <c r="AL15" i="9"/>
  <c r="AL48" i="9"/>
  <c r="AL46" i="9" s="1"/>
  <c r="AI98" i="8"/>
  <c r="AI9" i="8" s="1"/>
  <c r="AJ169" i="8"/>
  <c r="AJ127" i="6" s="1"/>
  <c r="AI7" i="8"/>
  <c r="AI12" i="8"/>
  <c r="AI11" i="8" s="1"/>
  <c r="AJ154" i="8"/>
  <c r="AJ43" i="8" s="1"/>
  <c r="AE124" i="2"/>
  <c r="AE128" i="2" s="1"/>
  <c r="AE132" i="2"/>
  <c r="AD145" i="2"/>
  <c r="AD51" i="2"/>
  <c r="AD49" i="2" s="1"/>
  <c r="AD199" i="2"/>
  <c r="AL253" i="13" l="1"/>
  <c r="AL252" i="13" s="1"/>
  <c r="AL248" i="13" s="1"/>
  <c r="AL153" i="6"/>
  <c r="AL152" i="6" s="1"/>
  <c r="AJ227" i="13"/>
  <c r="AI114" i="6"/>
  <c r="AL98" i="9"/>
  <c r="AL9" i="9" s="1"/>
  <c r="AM154" i="9"/>
  <c r="AM43" i="9" s="1"/>
  <c r="AM169" i="9"/>
  <c r="AM161" i="6" s="1"/>
  <c r="AL7" i="9"/>
  <c r="AL12" i="9"/>
  <c r="AL11" i="9" s="1"/>
  <c r="AI6" i="8"/>
  <c r="AI17" i="8" s="1"/>
  <c r="AI19" i="8" s="1"/>
  <c r="AI42" i="8" s="1"/>
  <c r="AI88" i="8"/>
  <c r="AI36" i="8" s="1"/>
  <c r="AJ170" i="8"/>
  <c r="AJ168" i="8" s="1"/>
  <c r="AD200" i="2"/>
  <c r="AD116" i="2" s="1"/>
  <c r="AE137" i="2"/>
  <c r="AD31" i="2"/>
  <c r="AE121" i="2"/>
  <c r="AL148" i="6" l="1"/>
  <c r="AM263" i="13"/>
  <c r="AL6" i="9"/>
  <c r="AL17" i="9" s="1"/>
  <c r="AL88" i="9"/>
  <c r="AL83" i="9" s="1"/>
  <c r="AL84" i="9" s="1"/>
  <c r="AM170" i="9"/>
  <c r="AM168" i="9" s="1"/>
  <c r="AI35" i="8"/>
  <c r="AI61" i="8" s="1"/>
  <c r="AI83" i="8"/>
  <c r="AI84" i="8" s="1"/>
  <c r="AJ65" i="8" s="1"/>
  <c r="AI21" i="8"/>
  <c r="AI114" i="8" s="1"/>
  <c r="AJ81" i="8"/>
  <c r="AJ104" i="8"/>
  <c r="AJ171" i="8"/>
  <c r="AD201" i="2"/>
  <c r="AE141" i="2"/>
  <c r="AE143" i="2" s="1"/>
  <c r="AE147" i="2"/>
  <c r="AE190" i="2"/>
  <c r="AD207" i="2"/>
  <c r="AD53" i="2"/>
  <c r="AD45" i="2" s="1"/>
  <c r="AD55" i="2" s="1"/>
  <c r="AD59" i="2" s="1"/>
  <c r="AD117" i="2"/>
  <c r="AD95" i="4" l="1"/>
  <c r="AL36" i="9"/>
  <c r="AD208" i="2"/>
  <c r="AE187" i="2"/>
  <c r="AL26" i="9"/>
  <c r="AM65" i="9"/>
  <c r="AM104" i="9"/>
  <c r="AM81" i="9"/>
  <c r="AM171" i="9"/>
  <c r="AL19" i="9"/>
  <c r="AL42" i="9" s="1"/>
  <c r="AL35" i="9" s="1"/>
  <c r="AI188" i="8"/>
  <c r="AI193" i="8" s="1"/>
  <c r="AI194" i="8" s="1"/>
  <c r="AI195" i="8" s="1"/>
  <c r="AI26" i="8"/>
  <c r="AJ125" i="8"/>
  <c r="AJ80" i="8"/>
  <c r="AJ103" i="8" s="1"/>
  <c r="AD30" i="2"/>
  <c r="AD29" i="2" s="1"/>
  <c r="AD27" i="2" s="1"/>
  <c r="AD94" i="4" s="1"/>
  <c r="AE112" i="2"/>
  <c r="AE57" i="2"/>
  <c r="AE52" i="2"/>
  <c r="AE192" i="2" s="1"/>
  <c r="AE76" i="2"/>
  <c r="AE99" i="2" s="1"/>
  <c r="AE85" i="6" s="1"/>
  <c r="AE138" i="2"/>
  <c r="AE71" i="2"/>
  <c r="AF155" i="2" s="1"/>
  <c r="AE181" i="13" l="1"/>
  <c r="AE37" i="13" s="1"/>
  <c r="AE89" i="2"/>
  <c r="AL21" i="9"/>
  <c r="AL114" i="9" s="1"/>
  <c r="AL61" i="9"/>
  <c r="AL188" i="9"/>
  <c r="AL193" i="9" s="1"/>
  <c r="AM125" i="9"/>
  <c r="AM80" i="9"/>
  <c r="AI206" i="8"/>
  <c r="AI115" i="8"/>
  <c r="AI50" i="8"/>
  <c r="AI196" i="8"/>
  <c r="AI129" i="8" s="1"/>
  <c r="AI126" i="8" s="1"/>
  <c r="AJ79" i="8"/>
  <c r="AJ78" i="8" s="1"/>
  <c r="AJ102" i="8"/>
  <c r="AE98" i="2"/>
  <c r="AE75" i="2"/>
  <c r="AE15" i="2"/>
  <c r="AE191" i="2"/>
  <c r="AE66" i="2"/>
  <c r="AE48" i="2"/>
  <c r="AE46" i="2" s="1"/>
  <c r="AD25" i="2"/>
  <c r="AD93" i="4" s="1"/>
  <c r="AJ207" i="13" l="1"/>
  <c r="AJ109" i="6"/>
  <c r="AE84" i="6"/>
  <c r="AE180" i="13"/>
  <c r="AE176" i="13" s="1"/>
  <c r="AE36" i="13"/>
  <c r="AE32" i="13" s="1"/>
  <c r="AM103" i="9"/>
  <c r="AM102" i="9" s="1"/>
  <c r="AM79" i="9"/>
  <c r="AM78" i="9" s="1"/>
  <c r="AL194" i="9"/>
  <c r="AL195" i="9" s="1"/>
  <c r="AJ101" i="8"/>
  <c r="AI197" i="8"/>
  <c r="AI198" i="8" s="1"/>
  <c r="AI144" i="8" s="1"/>
  <c r="AI142" i="8" s="1"/>
  <c r="AI145" i="8" s="1"/>
  <c r="AJ137" i="8" s="1"/>
  <c r="AI130" i="8"/>
  <c r="AE88" i="2"/>
  <c r="AF154" i="2"/>
  <c r="AF43" i="2" s="1"/>
  <c r="AF169" i="2"/>
  <c r="AF93" i="6" s="1"/>
  <c r="AE7" i="2"/>
  <c r="AE12" i="2"/>
  <c r="AE11" i="2" s="1"/>
  <c r="AE9" i="2"/>
  <c r="AM243" i="13" l="1"/>
  <c r="AM143" i="6"/>
  <c r="AE80" i="6"/>
  <c r="AF191" i="13"/>
  <c r="AF45" i="13" s="1"/>
  <c r="AL196" i="9"/>
  <c r="AL129" i="9" s="1"/>
  <c r="AL126" i="9" s="1"/>
  <c r="AL50" i="9"/>
  <c r="AL206" i="9"/>
  <c r="AL115" i="9"/>
  <c r="AM101" i="9"/>
  <c r="AJ141" i="8"/>
  <c r="AJ143" i="8" s="1"/>
  <c r="AJ147" i="8"/>
  <c r="AI199" i="8"/>
  <c r="AI200" i="8" s="1"/>
  <c r="AI116" i="8" s="1"/>
  <c r="AJ120" i="8"/>
  <c r="AI31" i="8"/>
  <c r="AI51" i="8"/>
  <c r="AI49" i="8" s="1"/>
  <c r="AE6" i="2"/>
  <c r="AE17" i="2" s="1"/>
  <c r="AE19" i="2" s="1"/>
  <c r="AE42" i="2" s="1"/>
  <c r="AE36" i="2"/>
  <c r="AE83" i="2"/>
  <c r="AE84" i="2" s="1"/>
  <c r="AF170" i="2"/>
  <c r="AF168" i="2" s="1"/>
  <c r="AL130" i="9" l="1"/>
  <c r="AL197" i="9"/>
  <c r="AJ124" i="8"/>
  <c r="AJ128" i="8" s="1"/>
  <c r="AJ132" i="8"/>
  <c r="AJ138" i="8"/>
  <c r="AI207" i="8"/>
  <c r="AI208" i="8" s="1"/>
  <c r="AI53" i="8"/>
  <c r="AI45" i="8" s="1"/>
  <c r="AI55" i="8" s="1"/>
  <c r="AI59" i="8" s="1"/>
  <c r="AI117" i="8"/>
  <c r="AI201" i="8"/>
  <c r="AF104" i="2"/>
  <c r="AF81" i="2"/>
  <c r="AF171" i="2"/>
  <c r="AF80" i="2" s="1"/>
  <c r="AF103" i="2" s="1"/>
  <c r="AF65" i="2"/>
  <c r="AE26" i="2"/>
  <c r="AE35" i="2"/>
  <c r="AE21" i="2"/>
  <c r="AE114" i="2" s="1"/>
  <c r="AI101" i="4" l="1"/>
  <c r="AL198" i="9"/>
  <c r="AL144" i="9" s="1"/>
  <c r="AL142" i="9" s="1"/>
  <c r="AM120" i="9"/>
  <c r="AJ191" i="8"/>
  <c r="AJ57" i="8"/>
  <c r="AJ187" i="8"/>
  <c r="AJ112" i="8"/>
  <c r="AI30" i="8"/>
  <c r="AI29" i="8" s="1"/>
  <c r="AI27" i="8" s="1"/>
  <c r="AI25" i="8" s="1"/>
  <c r="AI99" i="4" s="1"/>
  <c r="AJ71" i="8"/>
  <c r="AJ121" i="8"/>
  <c r="AJ76" i="8"/>
  <c r="AJ52" i="8"/>
  <c r="AJ192" i="8" s="1"/>
  <c r="AF79" i="2"/>
  <c r="AF78" i="2" s="1"/>
  <c r="AF102" i="2"/>
  <c r="AF75" i="6" s="1"/>
  <c r="AF125" i="2"/>
  <c r="AE61" i="2"/>
  <c r="AE188" i="2"/>
  <c r="AE193" i="2" s="1"/>
  <c r="AF171" i="13" l="1"/>
  <c r="AF27" i="13" s="1"/>
  <c r="AJ89" i="8"/>
  <c r="AK155" i="8"/>
  <c r="AI100" i="4"/>
  <c r="AM124" i="9"/>
  <c r="AM132" i="9"/>
  <c r="AL145" i="9"/>
  <c r="AL51" i="9"/>
  <c r="AL49" i="9" s="1"/>
  <c r="AL199" i="9"/>
  <c r="AJ66" i="8"/>
  <c r="AJ75" i="8"/>
  <c r="AJ99" i="8"/>
  <c r="AJ15" i="8"/>
  <c r="AJ48" i="8"/>
  <c r="AJ46" i="8" s="1"/>
  <c r="AJ190" i="8"/>
  <c r="AF101" i="2"/>
  <c r="AE194" i="2"/>
  <c r="AJ217" i="13" l="1"/>
  <c r="AJ216" i="13" s="1"/>
  <c r="AJ212" i="13" s="1"/>
  <c r="AJ119" i="6"/>
  <c r="AJ118" i="6" s="1"/>
  <c r="AL200" i="9"/>
  <c r="AL116" i="9" s="1"/>
  <c r="AM137" i="9"/>
  <c r="AL31" i="9"/>
  <c r="AM128" i="9"/>
  <c r="AM121" i="9"/>
  <c r="AJ98" i="8"/>
  <c r="AJ9" i="8" s="1"/>
  <c r="AK169" i="8"/>
  <c r="AK127" i="6" s="1"/>
  <c r="AJ7" i="8"/>
  <c r="AJ12" i="8"/>
  <c r="AJ11" i="8" s="1"/>
  <c r="AK154" i="8"/>
  <c r="AK43" i="8" s="1"/>
  <c r="AE50" i="2"/>
  <c r="AE115" i="2"/>
  <c r="AE206" i="2"/>
  <c r="AE195" i="2"/>
  <c r="AK227" i="13" l="1"/>
  <c r="AJ114" i="6"/>
  <c r="AL201" i="9"/>
  <c r="AM187" i="9" s="1"/>
  <c r="AM147" i="9"/>
  <c r="AM141" i="9"/>
  <c r="AM190" i="9"/>
  <c r="AL207" i="9"/>
  <c r="AL208" i="9" s="1"/>
  <c r="AL53" i="9"/>
  <c r="AL45" i="9" s="1"/>
  <c r="AL55" i="9" s="1"/>
  <c r="AL59" i="9" s="1"/>
  <c r="AL117" i="9"/>
  <c r="AJ6" i="8"/>
  <c r="AJ17" i="8" s="1"/>
  <c r="AJ88" i="8"/>
  <c r="AJ83" i="8" s="1"/>
  <c r="AJ84" i="8" s="1"/>
  <c r="AK65" i="8" s="1"/>
  <c r="AK170" i="8"/>
  <c r="AK168" i="8" s="1"/>
  <c r="AE196" i="2"/>
  <c r="AE129" i="2" s="1"/>
  <c r="AE126" i="2" s="1"/>
  <c r="AL107" i="4" l="1"/>
  <c r="AM112" i="9"/>
  <c r="AL30" i="9"/>
  <c r="AL29" i="9" s="1"/>
  <c r="AL27" i="9" s="1"/>
  <c r="AL25" i="9" s="1"/>
  <c r="AL105" i="4" s="1"/>
  <c r="AM143" i="9"/>
  <c r="AM138" i="9"/>
  <c r="AM71" i="9"/>
  <c r="AN155" i="9" s="1"/>
  <c r="AM57" i="9"/>
  <c r="AM52" i="9"/>
  <c r="AM192" i="9" s="1"/>
  <c r="AM76" i="9"/>
  <c r="AJ26" i="8"/>
  <c r="AJ36" i="8"/>
  <c r="AJ19" i="8"/>
  <c r="AJ42" i="8" s="1"/>
  <c r="AK104" i="8"/>
  <c r="AK81" i="8"/>
  <c r="AK171" i="8"/>
  <c r="AE130" i="2"/>
  <c r="AE197" i="2"/>
  <c r="AM191" i="9" l="1"/>
  <c r="AL106" i="4"/>
  <c r="AM89" i="9"/>
  <c r="AM66" i="9"/>
  <c r="AM48" i="9"/>
  <c r="AM46" i="9" s="1"/>
  <c r="AM15" i="9"/>
  <c r="AM75" i="9"/>
  <c r="AM99" i="9"/>
  <c r="AJ35" i="8"/>
  <c r="AJ61" i="8" s="1"/>
  <c r="AJ21" i="8"/>
  <c r="AJ114" i="8" s="1"/>
  <c r="AK125" i="8"/>
  <c r="AK80" i="8"/>
  <c r="AK103" i="8" s="1"/>
  <c r="AE198" i="2"/>
  <c r="AE144" i="2" s="1"/>
  <c r="AE142" i="2" s="1"/>
  <c r="AF120" i="2"/>
  <c r="AM253" i="13" l="1"/>
  <c r="AM252" i="13" s="1"/>
  <c r="AM248" i="13" s="1"/>
  <c r="AM153" i="6"/>
  <c r="AM152" i="6" s="1"/>
  <c r="AN154" i="9"/>
  <c r="AN43" i="9" s="1"/>
  <c r="AN169" i="9"/>
  <c r="AN161" i="6" s="1"/>
  <c r="AM12" i="9"/>
  <c r="AM11" i="9" s="1"/>
  <c r="AM7" i="9"/>
  <c r="AM98" i="9"/>
  <c r="AM9" i="9" s="1"/>
  <c r="AJ188" i="8"/>
  <c r="AJ193" i="8" s="1"/>
  <c r="AJ194" i="8" s="1"/>
  <c r="AK79" i="8"/>
  <c r="AK78" i="8" s="1"/>
  <c r="AK102" i="8"/>
  <c r="AF132" i="2"/>
  <c r="AF124" i="2"/>
  <c r="AF128" i="2" s="1"/>
  <c r="AE145" i="2"/>
  <c r="AE51" i="2"/>
  <c r="AE49" i="2" s="1"/>
  <c r="AE199" i="2"/>
  <c r="AK207" i="13" l="1"/>
  <c r="AK109" i="6"/>
  <c r="AM148" i="6"/>
  <c r="AN263" i="13"/>
  <c r="AM6" i="9"/>
  <c r="AM17" i="9" s="1"/>
  <c r="AN170" i="9"/>
  <c r="AN168" i="9" s="1"/>
  <c r="AM88" i="9"/>
  <c r="AK101" i="8"/>
  <c r="AJ206" i="8"/>
  <c r="AJ115" i="8"/>
  <c r="AJ50" i="8"/>
  <c r="AJ195" i="8"/>
  <c r="AE200" i="2"/>
  <c r="AE116" i="2" s="1"/>
  <c r="AF137" i="2"/>
  <c r="AE31" i="2"/>
  <c r="AF121" i="2"/>
  <c r="AF190" i="2" s="1"/>
  <c r="AM36" i="9" l="1"/>
  <c r="AM83" i="9"/>
  <c r="AM84" i="9" s="1"/>
  <c r="AN104" i="9"/>
  <c r="AN81" i="9"/>
  <c r="AN171" i="9"/>
  <c r="AM19" i="9"/>
  <c r="AM42" i="9" s="1"/>
  <c r="AM35" i="9" s="1"/>
  <c r="AJ196" i="8"/>
  <c r="AJ129" i="8" s="1"/>
  <c r="AJ126" i="8" s="1"/>
  <c r="AE201" i="2"/>
  <c r="AF147" i="2"/>
  <c r="AF141" i="2"/>
  <c r="AF143" i="2" s="1"/>
  <c r="AE53" i="2"/>
  <c r="AE45" i="2" s="1"/>
  <c r="AE55" i="2" s="1"/>
  <c r="AE59" i="2" s="1"/>
  <c r="AE207" i="2"/>
  <c r="AE117" i="2"/>
  <c r="AE95" i="4" l="1"/>
  <c r="AE208" i="2"/>
  <c r="AF187" i="2"/>
  <c r="AM21" i="9"/>
  <c r="AM114" i="9" s="1"/>
  <c r="AM61" i="9"/>
  <c r="AM188" i="9"/>
  <c r="AM193" i="9" s="1"/>
  <c r="AN125" i="9"/>
  <c r="AN80" i="9"/>
  <c r="AN65" i="9"/>
  <c r="AM26" i="9"/>
  <c r="AJ197" i="8"/>
  <c r="AJ130" i="8"/>
  <c r="AF57" i="2"/>
  <c r="AF112" i="2"/>
  <c r="AE30" i="2"/>
  <c r="AE29" i="2" s="1"/>
  <c r="AE27" i="2" s="1"/>
  <c r="AE94" i="4" s="1"/>
  <c r="AF138" i="2"/>
  <c r="AF191" i="2" s="1"/>
  <c r="AF71" i="2"/>
  <c r="AG155" i="2" s="1"/>
  <c r="AF76" i="2"/>
  <c r="AF99" i="2" s="1"/>
  <c r="AF85" i="6" s="1"/>
  <c r="AF52" i="2"/>
  <c r="AF192" i="2" s="1"/>
  <c r="AF181" i="13" l="1"/>
  <c r="AF37" i="13" s="1"/>
  <c r="AF89" i="2"/>
  <c r="AN103" i="9"/>
  <c r="AN102" i="9" s="1"/>
  <c r="AN79" i="9"/>
  <c r="AN78" i="9" s="1"/>
  <c r="AM194" i="9"/>
  <c r="AM195" i="9" s="1"/>
  <c r="AK120" i="8"/>
  <c r="AJ198" i="8"/>
  <c r="AJ144" i="8" s="1"/>
  <c r="AJ142" i="8" s="1"/>
  <c r="AF98" i="2"/>
  <c r="AF48" i="2"/>
  <c r="AF46" i="2" s="1"/>
  <c r="AF15" i="2"/>
  <c r="AF75" i="2"/>
  <c r="AE25" i="2"/>
  <c r="AE93" i="4" s="1"/>
  <c r="AF66" i="2"/>
  <c r="AN243" i="13" l="1"/>
  <c r="AN143" i="6"/>
  <c r="AF84" i="6"/>
  <c r="AF180" i="13"/>
  <c r="AF176" i="13" s="1"/>
  <c r="AF36" i="13"/>
  <c r="AF32" i="13" s="1"/>
  <c r="AM196" i="9"/>
  <c r="AM129" i="9" s="1"/>
  <c r="AM126" i="9" s="1"/>
  <c r="AM115" i="9"/>
  <c r="AM50" i="9"/>
  <c r="AM206" i="9"/>
  <c r="AN101" i="9"/>
  <c r="AK124" i="8"/>
  <c r="AK128" i="8" s="1"/>
  <c r="AK132" i="8"/>
  <c r="AJ199" i="8"/>
  <c r="AJ200" i="8" s="1"/>
  <c r="AJ116" i="8" s="1"/>
  <c r="AJ145" i="8"/>
  <c r="AJ51" i="8"/>
  <c r="AJ49" i="8" s="1"/>
  <c r="AF88" i="2"/>
  <c r="AF7" i="2"/>
  <c r="AF12" i="2"/>
  <c r="AF11" i="2" s="1"/>
  <c r="AF9" i="2"/>
  <c r="AG169" i="2"/>
  <c r="AG93" i="6" s="1"/>
  <c r="AG154" i="2"/>
  <c r="AG43" i="2" s="1"/>
  <c r="AF80" i="6" l="1"/>
  <c r="AG191" i="13"/>
  <c r="AG45" i="13" s="1"/>
  <c r="AM130" i="9"/>
  <c r="AM197" i="9"/>
  <c r="AK121" i="8"/>
  <c r="AK137" i="8"/>
  <c r="AJ31" i="8"/>
  <c r="AJ207" i="8"/>
  <c r="AJ208" i="8" s="1"/>
  <c r="AJ53" i="8"/>
  <c r="AJ45" i="8" s="1"/>
  <c r="AJ55" i="8" s="1"/>
  <c r="AJ59" i="8" s="1"/>
  <c r="AJ117" i="8"/>
  <c r="AJ201" i="8"/>
  <c r="AG170" i="2"/>
  <c r="AG168" i="2" s="1"/>
  <c r="AF83" i="2"/>
  <c r="AF84" i="2" s="1"/>
  <c r="AF36" i="2"/>
  <c r="AF6" i="2"/>
  <c r="AF17" i="2" s="1"/>
  <c r="AJ101" i="4" l="1"/>
  <c r="AM198" i="9"/>
  <c r="AM144" i="9" s="1"/>
  <c r="AM142" i="9" s="1"/>
  <c r="AN120" i="9"/>
  <c r="AK141" i="8"/>
  <c r="AK143" i="8" s="1"/>
  <c r="AK147" i="8"/>
  <c r="AK57" i="8"/>
  <c r="AK187" i="8"/>
  <c r="AK190" i="8"/>
  <c r="AK112" i="8"/>
  <c r="AJ30" i="8"/>
  <c r="AJ29" i="8" s="1"/>
  <c r="AJ27" i="8" s="1"/>
  <c r="AJ25" i="8" s="1"/>
  <c r="AJ99" i="4" s="1"/>
  <c r="AG104" i="2"/>
  <c r="AG81" i="2"/>
  <c r="AF19" i="2"/>
  <c r="AF42" i="2" s="1"/>
  <c r="AF35" i="2" s="1"/>
  <c r="AF26" i="2"/>
  <c r="AG65" i="2"/>
  <c r="AG171" i="2"/>
  <c r="AG80" i="2" s="1"/>
  <c r="AG103" i="2" s="1"/>
  <c r="AJ100" i="4" l="1"/>
  <c r="AN124" i="9"/>
  <c r="AN132" i="9"/>
  <c r="AM145" i="9"/>
  <c r="AM51" i="9"/>
  <c r="AM49" i="9" s="1"/>
  <c r="AM199" i="9"/>
  <c r="AK76" i="8"/>
  <c r="AK52" i="8"/>
  <c r="AK192" i="8" s="1"/>
  <c r="AK138" i="8"/>
  <c r="AK71" i="8"/>
  <c r="AG79" i="2"/>
  <c r="AG78" i="2" s="1"/>
  <c r="AG102" i="2"/>
  <c r="AG75" i="6" s="1"/>
  <c r="AF188" i="2"/>
  <c r="AF193" i="2" s="1"/>
  <c r="AF61" i="2"/>
  <c r="AG125" i="2"/>
  <c r="AF21" i="2"/>
  <c r="AF114" i="2" s="1"/>
  <c r="AG171" i="13" l="1"/>
  <c r="AG27" i="13" s="1"/>
  <c r="AK89" i="8"/>
  <c r="AL155" i="8"/>
  <c r="AM200" i="9"/>
  <c r="AM116" i="9" s="1"/>
  <c r="AN137" i="9"/>
  <c r="AM31" i="9"/>
  <c r="AN128" i="9"/>
  <c r="AN121" i="9"/>
  <c r="AK66" i="8"/>
  <c r="AK48" i="8"/>
  <c r="AK46" i="8" s="1"/>
  <c r="AK191" i="8"/>
  <c r="AK75" i="8"/>
  <c r="AK99" i="8"/>
  <c r="AK15" i="8"/>
  <c r="AG101" i="2"/>
  <c r="AF194" i="2"/>
  <c r="AF195" i="2" s="1"/>
  <c r="AK217" i="13" l="1"/>
  <c r="AK216" i="13" s="1"/>
  <c r="AK212" i="13" s="1"/>
  <c r="AK119" i="6"/>
  <c r="AK118" i="6" s="1"/>
  <c r="AM201" i="9"/>
  <c r="AN141" i="9"/>
  <c r="AN147" i="9"/>
  <c r="AN190" i="9"/>
  <c r="AM207" i="9"/>
  <c r="AM208" i="9" s="1"/>
  <c r="AM53" i="9"/>
  <c r="AM45" i="9" s="1"/>
  <c r="AM55" i="9" s="1"/>
  <c r="AM59" i="9" s="1"/>
  <c r="AM117" i="9"/>
  <c r="AK98" i="8"/>
  <c r="AK9" i="8" s="1"/>
  <c r="AL169" i="8"/>
  <c r="AL127" i="6" s="1"/>
  <c r="AK7" i="8"/>
  <c r="AK12" i="8"/>
  <c r="AK11" i="8" s="1"/>
  <c r="AL154" i="8"/>
  <c r="AL43" i="8" s="1"/>
  <c r="AF196" i="2"/>
  <c r="AF129" i="2" s="1"/>
  <c r="AF126" i="2" s="1"/>
  <c r="AF206" i="2"/>
  <c r="AF50" i="2"/>
  <c r="AF115" i="2"/>
  <c r="AL227" i="13" l="1"/>
  <c r="AK114" i="6"/>
  <c r="AM107" i="4"/>
  <c r="AN187" i="9"/>
  <c r="AN52" i="9"/>
  <c r="AN192" i="9" s="1"/>
  <c r="AN76" i="9"/>
  <c r="AN143" i="9"/>
  <c r="AN138" i="9"/>
  <c r="AN48" i="9" s="1"/>
  <c r="AN46" i="9" s="1"/>
  <c r="AN71" i="9"/>
  <c r="AO155" i="9" s="1"/>
  <c r="AN112" i="9"/>
  <c r="AM30" i="9"/>
  <c r="AM29" i="9" s="1"/>
  <c r="AM27" i="9" s="1"/>
  <c r="AM25" i="9" s="1"/>
  <c r="AM105" i="4" s="1"/>
  <c r="AN57" i="9"/>
  <c r="AK6" i="8"/>
  <c r="AK17" i="8" s="1"/>
  <c r="AK19" i="8" s="1"/>
  <c r="AK42" i="8" s="1"/>
  <c r="AK88" i="8"/>
  <c r="AK83" i="8" s="1"/>
  <c r="AK84" i="8" s="1"/>
  <c r="AL65" i="8" s="1"/>
  <c r="AL170" i="8"/>
  <c r="AL168" i="8" s="1"/>
  <c r="AF130" i="2"/>
  <c r="AF197" i="2"/>
  <c r="AM106" i="4" l="1"/>
  <c r="AN191" i="9"/>
  <c r="AN89" i="9"/>
  <c r="AN66" i="9"/>
  <c r="AN99" i="9"/>
  <c r="AN75" i="9"/>
  <c r="AN15" i="9"/>
  <c r="AK26" i="8"/>
  <c r="AK36" i="8"/>
  <c r="AK35" i="8" s="1"/>
  <c r="AL104" i="8"/>
  <c r="AL81" i="8"/>
  <c r="AL171" i="8"/>
  <c r="AK21" i="8"/>
  <c r="AK114" i="8" s="1"/>
  <c r="AF198" i="2"/>
  <c r="AF144" i="2" s="1"/>
  <c r="AF142" i="2" s="1"/>
  <c r="AG120" i="2"/>
  <c r="AN253" i="13" l="1"/>
  <c r="AN252" i="13" s="1"/>
  <c r="AN248" i="13" s="1"/>
  <c r="AN153" i="6"/>
  <c r="AN152" i="6" s="1"/>
  <c r="AO154" i="9"/>
  <c r="AO43" i="9" s="1"/>
  <c r="AO169" i="9"/>
  <c r="AO161" i="6" s="1"/>
  <c r="AN98" i="9"/>
  <c r="AN9" i="9" s="1"/>
  <c r="AN7" i="9"/>
  <c r="AN12" i="9"/>
  <c r="AN11" i="9" s="1"/>
  <c r="AK61" i="8"/>
  <c r="AK188" i="8"/>
  <c r="AK193" i="8" s="1"/>
  <c r="AK194" i="8" s="1"/>
  <c r="AL125" i="8"/>
  <c r="AL80" i="8"/>
  <c r="AL103" i="8" s="1"/>
  <c r="AG124" i="2"/>
  <c r="AG128" i="2" s="1"/>
  <c r="AG132" i="2"/>
  <c r="AF145" i="2"/>
  <c r="AF51" i="2"/>
  <c r="AF49" i="2" s="1"/>
  <c r="AF199" i="2"/>
  <c r="AN6" i="9" l="1"/>
  <c r="AN17" i="9" s="1"/>
  <c r="AN19" i="9" s="1"/>
  <c r="AN42" i="9" s="1"/>
  <c r="AN148" i="6"/>
  <c r="AO263" i="13"/>
  <c r="AO170" i="9"/>
  <c r="AO168" i="9" s="1"/>
  <c r="AO171" i="9" s="1"/>
  <c r="AO125" i="9" s="1"/>
  <c r="AN88" i="9"/>
  <c r="AL79" i="8"/>
  <c r="AL78" i="8" s="1"/>
  <c r="AL102" i="8"/>
  <c r="AK206" i="8"/>
  <c r="AK115" i="8"/>
  <c r="AK50" i="8"/>
  <c r="AK195" i="8"/>
  <c r="AF200" i="2"/>
  <c r="AF116" i="2" s="1"/>
  <c r="AG137" i="2"/>
  <c r="AF31" i="2"/>
  <c r="AG121" i="2"/>
  <c r="AL207" i="13" l="1"/>
  <c r="AL109" i="6"/>
  <c r="AO104" i="9"/>
  <c r="AO81" i="9"/>
  <c r="AO80" i="9"/>
  <c r="AO103" i="9" s="1"/>
  <c r="AN21" i="9"/>
  <c r="AN114" i="9" s="1"/>
  <c r="AN83" i="9"/>
  <c r="AN84" i="9" s="1"/>
  <c r="AN36" i="9"/>
  <c r="AN35" i="9" s="1"/>
  <c r="AL101" i="8"/>
  <c r="AK196" i="8"/>
  <c r="AK129" i="8" s="1"/>
  <c r="AK126" i="8" s="1"/>
  <c r="AF53" i="2"/>
  <c r="AF45" i="2" s="1"/>
  <c r="AF55" i="2" s="1"/>
  <c r="AF59" i="2" s="1"/>
  <c r="AF207" i="2"/>
  <c r="AF117" i="2"/>
  <c r="AG147" i="2"/>
  <c r="AG141" i="2"/>
  <c r="AG143" i="2" s="1"/>
  <c r="AG190" i="2"/>
  <c r="AF201" i="2"/>
  <c r="AO102" i="9" l="1"/>
  <c r="AO143" i="6" s="1"/>
  <c r="AF95" i="4"/>
  <c r="AF208" i="2"/>
  <c r="AO79" i="9"/>
  <c r="AO78" i="9" s="1"/>
  <c r="AN188" i="9"/>
  <c r="AN193" i="9" s="1"/>
  <c r="AN61" i="9"/>
  <c r="AN26" i="9"/>
  <c r="AO65" i="9"/>
  <c r="AK197" i="8"/>
  <c r="AK130" i="8"/>
  <c r="AG76" i="2"/>
  <c r="AG99" i="2" s="1"/>
  <c r="AG85" i="6" s="1"/>
  <c r="AG52" i="2"/>
  <c r="AG192" i="2" s="1"/>
  <c r="AG57" i="2"/>
  <c r="AG138" i="2"/>
  <c r="AG71" i="2"/>
  <c r="AH155" i="2" s="1"/>
  <c r="AG112" i="2"/>
  <c r="AF30" i="2"/>
  <c r="AF29" i="2" s="1"/>
  <c r="AF27" i="2" s="1"/>
  <c r="AF25" i="2" s="1"/>
  <c r="AF93" i="4" s="1"/>
  <c r="AG187" i="2"/>
  <c r="AG181" i="13" l="1"/>
  <c r="AG37" i="13" s="1"/>
  <c r="AO243" i="13"/>
  <c r="AO101" i="9"/>
  <c r="AF94" i="4"/>
  <c r="AG89" i="2"/>
  <c r="AN194" i="9"/>
  <c r="AN195" i="9" s="1"/>
  <c r="AL120" i="8"/>
  <c r="AK198" i="8"/>
  <c r="AK144" i="8" s="1"/>
  <c r="AK142" i="8" s="1"/>
  <c r="AG98" i="2"/>
  <c r="AG48" i="2"/>
  <c r="AG46" i="2" s="1"/>
  <c r="AG191" i="2"/>
  <c r="AG66" i="2"/>
  <c r="AG15" i="2"/>
  <c r="AG75" i="2"/>
  <c r="AG84" i="6" l="1"/>
  <c r="AG180" i="13"/>
  <c r="AG176" i="13" s="1"/>
  <c r="AG36" i="13"/>
  <c r="AG32" i="13" s="1"/>
  <c r="AN196" i="9"/>
  <c r="AN129" i="9" s="1"/>
  <c r="AN126" i="9" s="1"/>
  <c r="AN206" i="9"/>
  <c r="AN115" i="9"/>
  <c r="AN50" i="9"/>
  <c r="AL124" i="8"/>
  <c r="AL128" i="8" s="1"/>
  <c r="AL132" i="8"/>
  <c r="AK145" i="8"/>
  <c r="AK51" i="8"/>
  <c r="AK49" i="8" s="1"/>
  <c r="AK199" i="8"/>
  <c r="AG88" i="2"/>
  <c r="AG9" i="2"/>
  <c r="AH154" i="2"/>
  <c r="AH43" i="2" s="1"/>
  <c r="AH169" i="2"/>
  <c r="AH93" i="6" s="1"/>
  <c r="AG7" i="2"/>
  <c r="AG12" i="2"/>
  <c r="AG11" i="2" s="1"/>
  <c r="AG80" i="6" l="1"/>
  <c r="AH191" i="13"/>
  <c r="AH45" i="13" s="1"/>
  <c r="AN130" i="9"/>
  <c r="AN197" i="9"/>
  <c r="AL121" i="8"/>
  <c r="AG6" i="2"/>
  <c r="AG17" i="2" s="1"/>
  <c r="AK200" i="8"/>
  <c r="AK116" i="8" s="1"/>
  <c r="AL137" i="8"/>
  <c r="AK31" i="8"/>
  <c r="AH170" i="2"/>
  <c r="AH168" i="2" s="1"/>
  <c r="AG36" i="2"/>
  <c r="AG83" i="2"/>
  <c r="AG84" i="2" s="1"/>
  <c r="AN198" i="9" l="1"/>
  <c r="AN144" i="9" s="1"/>
  <c r="AN142" i="9" s="1"/>
  <c r="AO120" i="9"/>
  <c r="AL141" i="8"/>
  <c r="AL143" i="8" s="1"/>
  <c r="AL147" i="8"/>
  <c r="AK201" i="8"/>
  <c r="AL190" i="8"/>
  <c r="AK207" i="8"/>
  <c r="AK208" i="8" s="1"/>
  <c r="AK53" i="8"/>
  <c r="AK45" i="8" s="1"/>
  <c r="AK55" i="8" s="1"/>
  <c r="AK59" i="8" s="1"/>
  <c r="AK117" i="8"/>
  <c r="AH104" i="2"/>
  <c r="AH81" i="2"/>
  <c r="AH65" i="2"/>
  <c r="AG26" i="2"/>
  <c r="AH171" i="2"/>
  <c r="AH80" i="2" s="1"/>
  <c r="AH103" i="2" s="1"/>
  <c r="AG19" i="2"/>
  <c r="AG42" i="2" s="1"/>
  <c r="AG35" i="2" s="1"/>
  <c r="AK101" i="4" l="1"/>
  <c r="AL187" i="8"/>
  <c r="AO124" i="9"/>
  <c r="AO132" i="9"/>
  <c r="AN199" i="9"/>
  <c r="AN145" i="9"/>
  <c r="AN51" i="9"/>
  <c r="AN49" i="9" s="1"/>
  <c r="AL138" i="8"/>
  <c r="AL71" i="8"/>
  <c r="AL112" i="8"/>
  <c r="AK30" i="8"/>
  <c r="AK29" i="8" s="1"/>
  <c r="AK27" i="8" s="1"/>
  <c r="AK25" i="8" s="1"/>
  <c r="AK99" i="4" s="1"/>
  <c r="AL57" i="8"/>
  <c r="AL76" i="8"/>
  <c r="AL52" i="8"/>
  <c r="AL192" i="8" s="1"/>
  <c r="AH79" i="2"/>
  <c r="AH78" i="2" s="1"/>
  <c r="AH102" i="2"/>
  <c r="AH75" i="6" s="1"/>
  <c r="AG61" i="2"/>
  <c r="AG188" i="2"/>
  <c r="AG193" i="2" s="1"/>
  <c r="AH125" i="2"/>
  <c r="AG21" i="2"/>
  <c r="AG114" i="2" s="1"/>
  <c r="AH171" i="13" l="1"/>
  <c r="AH27" i="13" s="1"/>
  <c r="AL89" i="8"/>
  <c r="AM155" i="8"/>
  <c r="AK100" i="4"/>
  <c r="AO137" i="9"/>
  <c r="AN31" i="9"/>
  <c r="AN200" i="9"/>
  <c r="AN116" i="9" s="1"/>
  <c r="AO128" i="9"/>
  <c r="AO121" i="9"/>
  <c r="AL66" i="8"/>
  <c r="AL48" i="8"/>
  <c r="AL46" i="8" s="1"/>
  <c r="AL75" i="8"/>
  <c r="AL99" i="8"/>
  <c r="AL15" i="8"/>
  <c r="AL191" i="8"/>
  <c r="AH101" i="2"/>
  <c r="AG194" i="2"/>
  <c r="AL217" i="13" l="1"/>
  <c r="AL216" i="13" s="1"/>
  <c r="AL212" i="13" s="1"/>
  <c r="AL119" i="6"/>
  <c r="AL118" i="6" s="1"/>
  <c r="AN201" i="9"/>
  <c r="AN207" i="9"/>
  <c r="AN208" i="9" s="1"/>
  <c r="AN53" i="9"/>
  <c r="AN45" i="9" s="1"/>
  <c r="AN55" i="9" s="1"/>
  <c r="AN59" i="9" s="1"/>
  <c r="AN117" i="9"/>
  <c r="AO190" i="9"/>
  <c r="AO141" i="9"/>
  <c r="AO147" i="9"/>
  <c r="AL98" i="8"/>
  <c r="AL9" i="8" s="1"/>
  <c r="AM169" i="8"/>
  <c r="AM127" i="6" s="1"/>
  <c r="AL7" i="8"/>
  <c r="AL12" i="8"/>
  <c r="AL11" i="8" s="1"/>
  <c r="AM154" i="8"/>
  <c r="AM43" i="8" s="1"/>
  <c r="AG50" i="2"/>
  <c r="AG115" i="2"/>
  <c r="AG206" i="2"/>
  <c r="AG195" i="2"/>
  <c r="AM227" i="13" l="1"/>
  <c r="AL114" i="6"/>
  <c r="AN107" i="4"/>
  <c r="AN30" i="9"/>
  <c r="AN29" i="9" s="1"/>
  <c r="AN27" i="9" s="1"/>
  <c r="AN25" i="9" s="1"/>
  <c r="AN105" i="4" s="1"/>
  <c r="AO112" i="9"/>
  <c r="AO57" i="9"/>
  <c r="AO76" i="9"/>
  <c r="AO52" i="9"/>
  <c r="AO192" i="9" s="1"/>
  <c r="AO187" i="9"/>
  <c r="AO143" i="9"/>
  <c r="AO138" i="9"/>
  <c r="AO71" i="9"/>
  <c r="AP155" i="9" s="1"/>
  <c r="AL6" i="8"/>
  <c r="AL17" i="8" s="1"/>
  <c r="AL19" i="8" s="1"/>
  <c r="AL42" i="8" s="1"/>
  <c r="AL88" i="8"/>
  <c r="AL83" i="8" s="1"/>
  <c r="AL84" i="8" s="1"/>
  <c r="AM65" i="8" s="1"/>
  <c r="AM170" i="8"/>
  <c r="AM168" i="8" s="1"/>
  <c r="AG196" i="2"/>
  <c r="AG129" i="2" s="1"/>
  <c r="AG126" i="2" s="1"/>
  <c r="AN106" i="4" l="1"/>
  <c r="AO191" i="9"/>
  <c r="AO99" i="9"/>
  <c r="AO75" i="9"/>
  <c r="AO15" i="9"/>
  <c r="AO89" i="9"/>
  <c r="AO66" i="9"/>
  <c r="AO48" i="9"/>
  <c r="AO46" i="9" s="1"/>
  <c r="AL36" i="8"/>
  <c r="AL35" i="8" s="1"/>
  <c r="AL61" i="8" s="1"/>
  <c r="AL26" i="8"/>
  <c r="AM104" i="8"/>
  <c r="AM81" i="8"/>
  <c r="AM171" i="8"/>
  <c r="AL21" i="8"/>
  <c r="AL114" i="8" s="1"/>
  <c r="AG197" i="2"/>
  <c r="AG130" i="2"/>
  <c r="AO253" i="13" l="1"/>
  <c r="AO252" i="13" s="1"/>
  <c r="AO248" i="13" s="1"/>
  <c r="AO153" i="6"/>
  <c r="AO152" i="6" s="1"/>
  <c r="AP154" i="9"/>
  <c r="AP43" i="9" s="1"/>
  <c r="AP169" i="9"/>
  <c r="AP161" i="6" s="1"/>
  <c r="AO7" i="9"/>
  <c r="AO12" i="9"/>
  <c r="AO11" i="9" s="1"/>
  <c r="AO98" i="9"/>
  <c r="AO9" i="9" s="1"/>
  <c r="AL188" i="8"/>
  <c r="AL193" i="8" s="1"/>
  <c r="AL194" i="8" s="1"/>
  <c r="AL195" i="8" s="1"/>
  <c r="AM125" i="8"/>
  <c r="AM80" i="8"/>
  <c r="AM103" i="8" s="1"/>
  <c r="AH120" i="2"/>
  <c r="AG198" i="2"/>
  <c r="AG144" i="2" s="1"/>
  <c r="AG142" i="2" s="1"/>
  <c r="AO148" i="6" l="1"/>
  <c r="AP263" i="13"/>
  <c r="AO6" i="9"/>
  <c r="AO17" i="9" s="1"/>
  <c r="AO19" i="9" s="1"/>
  <c r="AO42" i="9" s="1"/>
  <c r="AP170" i="9"/>
  <c r="AP168" i="9" s="1"/>
  <c r="AP171" i="9" s="1"/>
  <c r="AP80" i="9" s="1"/>
  <c r="AO88" i="9"/>
  <c r="AL196" i="8"/>
  <c r="AL129" i="8" s="1"/>
  <c r="AL126" i="8" s="1"/>
  <c r="AM79" i="8"/>
  <c r="AM78" i="8" s="1"/>
  <c r="AM102" i="8"/>
  <c r="AL206" i="8"/>
  <c r="AL115" i="8"/>
  <c r="AL50" i="8"/>
  <c r="AG145" i="2"/>
  <c r="AG51" i="2"/>
  <c r="AG49" i="2" s="1"/>
  <c r="AH132" i="2"/>
  <c r="AH124" i="2"/>
  <c r="AH128" i="2" s="1"/>
  <c r="AG199" i="2"/>
  <c r="AM207" i="13" l="1"/>
  <c r="AM109" i="6"/>
  <c r="AP104" i="9"/>
  <c r="AP81" i="9"/>
  <c r="AP79" i="9" s="1"/>
  <c r="AP78" i="9" s="1"/>
  <c r="AP125" i="9"/>
  <c r="AO83" i="9"/>
  <c r="AO84" i="9" s="1"/>
  <c r="AO36" i="9"/>
  <c r="AO35" i="9" s="1"/>
  <c r="AO21" i="9"/>
  <c r="AO114" i="9" s="1"/>
  <c r="AP103" i="9"/>
  <c r="AM101" i="8"/>
  <c r="AL197" i="8"/>
  <c r="AL198" i="8" s="1"/>
  <c r="AL144" i="8" s="1"/>
  <c r="AL142" i="8" s="1"/>
  <c r="AL145" i="8" s="1"/>
  <c r="AM137" i="8" s="1"/>
  <c r="AL130" i="8"/>
  <c r="AH121" i="2"/>
  <c r="AG200" i="2"/>
  <c r="AG116" i="2" s="1"/>
  <c r="AH137" i="2"/>
  <c r="AG31" i="2"/>
  <c r="AP102" i="9" l="1"/>
  <c r="AP243" i="13" s="1"/>
  <c r="AO61" i="9"/>
  <c r="AO188" i="9"/>
  <c r="AO193" i="9" s="1"/>
  <c r="AO26" i="9"/>
  <c r="AP65" i="9"/>
  <c r="AM141" i="8"/>
  <c r="AM143" i="8" s="1"/>
  <c r="AM147" i="8"/>
  <c r="AL199" i="8"/>
  <c r="AL51" i="8"/>
  <c r="AL49" i="8" s="1"/>
  <c r="AM120" i="8"/>
  <c r="AL31" i="8"/>
  <c r="AG201" i="2"/>
  <c r="AH147" i="2"/>
  <c r="AH141" i="2"/>
  <c r="AH143" i="2" s="1"/>
  <c r="AG207" i="2"/>
  <c r="AG53" i="2"/>
  <c r="AG45" i="2" s="1"/>
  <c r="AG55" i="2" s="1"/>
  <c r="AG59" i="2" s="1"/>
  <c r="AG117" i="2"/>
  <c r="AH190" i="2"/>
  <c r="AP101" i="9" l="1"/>
  <c r="AP143" i="6"/>
  <c r="AG95" i="4"/>
  <c r="AG208" i="2"/>
  <c r="AH187" i="2"/>
  <c r="AO194" i="9"/>
  <c r="AO195" i="9" s="1"/>
  <c r="AM124" i="8"/>
  <c r="AM128" i="8" s="1"/>
  <c r="AM132" i="8"/>
  <c r="AM138" i="8"/>
  <c r="AL200" i="8"/>
  <c r="AL116" i="8" s="1"/>
  <c r="AH138" i="2"/>
  <c r="AH71" i="2"/>
  <c r="AI155" i="2" s="1"/>
  <c r="AH112" i="2"/>
  <c r="AG30" i="2"/>
  <c r="AG29" i="2" s="1"/>
  <c r="AG27" i="2" s="1"/>
  <c r="AG94" i="4" s="1"/>
  <c r="AH57" i="2"/>
  <c r="AH76" i="2"/>
  <c r="AH99" i="2" s="1"/>
  <c r="AH85" i="6" s="1"/>
  <c r="AH52" i="2"/>
  <c r="AH192" i="2" s="1"/>
  <c r="AH181" i="13" l="1"/>
  <c r="AH37" i="13" s="1"/>
  <c r="AH89" i="2"/>
  <c r="AO196" i="9"/>
  <c r="AO129" i="9" s="1"/>
  <c r="AO126" i="9" s="1"/>
  <c r="AO115" i="9"/>
  <c r="AO206" i="9"/>
  <c r="AO50" i="9"/>
  <c r="AL207" i="8"/>
  <c r="AL208" i="8" s="1"/>
  <c r="AL53" i="8"/>
  <c r="AL45" i="8" s="1"/>
  <c r="AL55" i="8" s="1"/>
  <c r="AL59" i="8" s="1"/>
  <c r="AL117" i="8"/>
  <c r="AM76" i="8"/>
  <c r="AM52" i="8"/>
  <c r="AM192" i="8" s="1"/>
  <c r="AM71" i="8"/>
  <c r="AM121" i="8"/>
  <c r="AL201" i="8"/>
  <c r="AM191" i="8"/>
  <c r="AH98" i="2"/>
  <c r="AH66" i="2"/>
  <c r="AG25" i="2"/>
  <c r="AG93" i="4" s="1"/>
  <c r="AH191" i="2"/>
  <c r="AH15" i="2"/>
  <c r="AH75" i="2"/>
  <c r="AH48" i="2"/>
  <c r="AH46" i="2" s="1"/>
  <c r="AH84" i="6" l="1"/>
  <c r="AH180" i="13"/>
  <c r="AH176" i="13" s="1"/>
  <c r="AH36" i="13"/>
  <c r="AH32" i="13" s="1"/>
  <c r="AM89" i="8"/>
  <c r="AN155" i="8"/>
  <c r="AL101" i="4"/>
  <c r="AO130" i="9"/>
  <c r="AO197" i="9"/>
  <c r="AH88" i="2"/>
  <c r="AM190" i="8"/>
  <c r="AM75" i="8"/>
  <c r="AM99" i="8"/>
  <c r="AM15" i="8"/>
  <c r="AM187" i="8"/>
  <c r="AM48" i="8"/>
  <c r="AM46" i="8" s="1"/>
  <c r="AM112" i="8"/>
  <c r="AL30" i="8"/>
  <c r="AL29" i="8" s="1"/>
  <c r="AL27" i="8" s="1"/>
  <c r="AL25" i="8" s="1"/>
  <c r="AL99" i="4" s="1"/>
  <c r="AM57" i="8"/>
  <c r="AM66" i="8"/>
  <c r="AI154" i="2"/>
  <c r="AI43" i="2" s="1"/>
  <c r="AI169" i="2"/>
  <c r="AI93" i="6" s="1"/>
  <c r="AH9" i="2"/>
  <c r="AH7" i="2"/>
  <c r="AH12" i="2"/>
  <c r="AH11" i="2" s="1"/>
  <c r="AM217" i="13" l="1"/>
  <c r="AM216" i="13" s="1"/>
  <c r="AM212" i="13" s="1"/>
  <c r="AM119" i="6"/>
  <c r="AM118" i="6" s="1"/>
  <c r="AH80" i="6"/>
  <c r="AI191" i="13"/>
  <c r="AI45" i="13" s="1"/>
  <c r="AL100" i="4"/>
  <c r="AO198" i="9"/>
  <c r="AO144" i="9" s="1"/>
  <c r="AO142" i="9" s="1"/>
  <c r="AP120" i="9"/>
  <c r="AM98" i="8"/>
  <c r="AM9" i="8" s="1"/>
  <c r="AN169" i="8"/>
  <c r="AN127" i="6" s="1"/>
  <c r="AM7" i="8"/>
  <c r="AM12" i="8"/>
  <c r="AM11" i="8" s="1"/>
  <c r="AN154" i="8"/>
  <c r="AN43" i="8" s="1"/>
  <c r="AH6" i="2"/>
  <c r="AH17" i="2" s="1"/>
  <c r="AH19" i="2" s="1"/>
  <c r="AH42" i="2" s="1"/>
  <c r="AI170" i="2"/>
  <c r="AI168" i="2" s="1"/>
  <c r="AH36" i="2"/>
  <c r="AH83" i="2"/>
  <c r="AH84" i="2" s="1"/>
  <c r="AN227" i="13" l="1"/>
  <c r="AM114" i="6"/>
  <c r="AP124" i="9"/>
  <c r="AP132" i="9"/>
  <c r="AO145" i="9"/>
  <c r="AO51" i="9"/>
  <c r="AO49" i="9" s="1"/>
  <c r="AO199" i="9"/>
  <c r="AM6" i="8"/>
  <c r="AM17" i="8" s="1"/>
  <c r="AM19" i="8" s="1"/>
  <c r="AM42" i="8" s="1"/>
  <c r="AM88" i="8"/>
  <c r="AM36" i="8" s="1"/>
  <c r="AN170" i="8"/>
  <c r="AN168" i="8" s="1"/>
  <c r="AI104" i="2"/>
  <c r="AI81" i="2"/>
  <c r="AH35" i="2"/>
  <c r="AH61" i="2" s="1"/>
  <c r="AI65" i="2"/>
  <c r="AH26" i="2"/>
  <c r="AH21" i="2"/>
  <c r="AH114" i="2" s="1"/>
  <c r="AI171" i="2"/>
  <c r="AI80" i="2" s="1"/>
  <c r="AI103" i="2" s="1"/>
  <c r="AO200" i="9" l="1"/>
  <c r="AO116" i="9" s="1"/>
  <c r="AP137" i="9"/>
  <c r="AO31" i="9"/>
  <c r="AP128" i="9"/>
  <c r="AP121" i="9"/>
  <c r="AM35" i="8"/>
  <c r="AM61" i="8" s="1"/>
  <c r="AM83" i="8"/>
  <c r="AM84" i="8" s="1"/>
  <c r="AN104" i="8"/>
  <c r="AN81" i="8"/>
  <c r="AN171" i="8"/>
  <c r="AM21" i="8"/>
  <c r="AM114" i="8" s="1"/>
  <c r="AI79" i="2"/>
  <c r="AI78" i="2" s="1"/>
  <c r="AI102" i="2"/>
  <c r="AI75" i="6" s="1"/>
  <c r="AH188" i="2"/>
  <c r="AH193" i="2" s="1"/>
  <c r="AH194" i="2" s="1"/>
  <c r="AI125" i="2"/>
  <c r="AI171" i="13" l="1"/>
  <c r="AI27" i="13" s="1"/>
  <c r="AP147" i="9"/>
  <c r="AP141" i="9"/>
  <c r="AO201" i="9"/>
  <c r="AP190" i="9"/>
  <c r="AO207" i="9"/>
  <c r="AO208" i="9" s="1"/>
  <c r="AO53" i="9"/>
  <c r="AO45" i="9" s="1"/>
  <c r="AO55" i="9" s="1"/>
  <c r="AO59" i="9" s="1"/>
  <c r="AO117" i="9"/>
  <c r="AM188" i="8"/>
  <c r="AM193" i="8" s="1"/>
  <c r="AM194" i="8" s="1"/>
  <c r="AN65" i="8"/>
  <c r="AM26" i="8"/>
  <c r="AN125" i="8"/>
  <c r="AN80" i="8"/>
  <c r="AN103" i="8" s="1"/>
  <c r="AI101" i="2"/>
  <c r="AH50" i="2"/>
  <c r="AH115" i="2"/>
  <c r="AH206" i="2"/>
  <c r="AH195" i="2"/>
  <c r="AO107" i="4" l="1"/>
  <c r="AP187" i="9"/>
  <c r="AP143" i="9"/>
  <c r="AP138" i="9"/>
  <c r="AP71" i="9"/>
  <c r="AQ155" i="9" s="1"/>
  <c r="AO30" i="9"/>
  <c r="AO29" i="9" s="1"/>
  <c r="AO27" i="9" s="1"/>
  <c r="AO25" i="9" s="1"/>
  <c r="AO105" i="4" s="1"/>
  <c r="AP112" i="9"/>
  <c r="AP76" i="9"/>
  <c r="AP52" i="9"/>
  <c r="AP192" i="9" s="1"/>
  <c r="AP57" i="9"/>
  <c r="AM206" i="8"/>
  <c r="AM115" i="8"/>
  <c r="AM50" i="8"/>
  <c r="AM195" i="8"/>
  <c r="AN79" i="8"/>
  <c r="AN78" i="8" s="1"/>
  <c r="AN102" i="8"/>
  <c r="AH196" i="2"/>
  <c r="AH129" i="2" s="1"/>
  <c r="AH126" i="2" s="1"/>
  <c r="AN207" i="13" l="1"/>
  <c r="AN109" i="6"/>
  <c r="AP191" i="9"/>
  <c r="AO106" i="4"/>
  <c r="AP89" i="9"/>
  <c r="AP66" i="9"/>
  <c r="AP48" i="9"/>
  <c r="AP46" i="9" s="1"/>
  <c r="AP99" i="9"/>
  <c r="AP15" i="9"/>
  <c r="AP75" i="9"/>
  <c r="AN101" i="8"/>
  <c r="AM196" i="8"/>
  <c r="AM129" i="8" s="1"/>
  <c r="AM126" i="8" s="1"/>
  <c r="AH197" i="2"/>
  <c r="AH130" i="2"/>
  <c r="AP253" i="13" l="1"/>
  <c r="AP252" i="13" s="1"/>
  <c r="AP248" i="13" s="1"/>
  <c r="AP153" i="6"/>
  <c r="AP152" i="6" s="1"/>
  <c r="AQ169" i="9"/>
  <c r="AQ161" i="6" s="1"/>
  <c r="AQ154" i="9"/>
  <c r="AQ43" i="9" s="1"/>
  <c r="AP7" i="9"/>
  <c r="AP12" i="9"/>
  <c r="AP11" i="9" s="1"/>
  <c r="AP98" i="9"/>
  <c r="AP9" i="9" s="1"/>
  <c r="AM197" i="8"/>
  <c r="AM130" i="8"/>
  <c r="AI120" i="2"/>
  <c r="AH198" i="2"/>
  <c r="AH144" i="2" s="1"/>
  <c r="AH142" i="2" s="1"/>
  <c r="AP148" i="6" l="1"/>
  <c r="AQ263" i="13"/>
  <c r="AP88" i="9"/>
  <c r="AP83" i="9" s="1"/>
  <c r="AP84" i="9" s="1"/>
  <c r="AP6" i="9"/>
  <c r="AP17" i="9" s="1"/>
  <c r="AQ170" i="9"/>
  <c r="AQ168" i="9" s="1"/>
  <c r="AN120" i="8"/>
  <c r="AM198" i="8"/>
  <c r="AM144" i="8" s="1"/>
  <c r="AM142" i="8" s="1"/>
  <c r="AH199" i="2"/>
  <c r="AH145" i="2"/>
  <c r="AH51" i="2"/>
  <c r="AH49" i="2" s="1"/>
  <c r="AI132" i="2"/>
  <c r="AI124" i="2"/>
  <c r="AI128" i="2" s="1"/>
  <c r="AP36" i="9" l="1"/>
  <c r="AQ81" i="9"/>
  <c r="AQ104" i="9"/>
  <c r="AQ171" i="9"/>
  <c r="AQ65" i="9"/>
  <c r="AP26" i="9"/>
  <c r="AP19" i="9"/>
  <c r="AP42" i="9" s="1"/>
  <c r="AN124" i="8"/>
  <c r="AN128" i="8" s="1"/>
  <c r="AN132" i="8"/>
  <c r="AM145" i="8"/>
  <c r="AM51" i="8"/>
  <c r="AM49" i="8" s="1"/>
  <c r="AM199" i="8"/>
  <c r="AI121" i="2"/>
  <c r="AI137" i="2"/>
  <c r="AH31" i="2"/>
  <c r="AH200" i="2"/>
  <c r="AH116" i="2" s="1"/>
  <c r="AP35" i="9" l="1"/>
  <c r="AP61" i="9" s="1"/>
  <c r="AP21" i="9"/>
  <c r="AP114" i="9" s="1"/>
  <c r="AQ125" i="9"/>
  <c r="AQ80" i="9"/>
  <c r="AM200" i="8"/>
  <c r="AM116" i="8" s="1"/>
  <c r="AN121" i="8"/>
  <c r="AN190" i="8" s="1"/>
  <c r="AN137" i="8"/>
  <c r="AM31" i="8"/>
  <c r="AH201" i="2"/>
  <c r="AI190" i="2"/>
  <c r="AI141" i="2"/>
  <c r="AI143" i="2" s="1"/>
  <c r="AI147" i="2"/>
  <c r="AH53" i="2"/>
  <c r="AH45" i="2" s="1"/>
  <c r="AH55" i="2" s="1"/>
  <c r="AH59" i="2" s="1"/>
  <c r="AH207" i="2"/>
  <c r="AH117" i="2"/>
  <c r="AP188" i="9" l="1"/>
  <c r="AP193" i="9" s="1"/>
  <c r="AP194" i="9" s="1"/>
  <c r="AP195" i="9" s="1"/>
  <c r="AH95" i="4"/>
  <c r="AH208" i="2"/>
  <c r="AI187" i="2"/>
  <c r="AQ103" i="9"/>
  <c r="AQ102" i="9" s="1"/>
  <c r="AQ79" i="9"/>
  <c r="AQ78" i="9" s="1"/>
  <c r="AN141" i="8"/>
  <c r="AN143" i="8" s="1"/>
  <c r="AN147" i="8"/>
  <c r="AM201" i="8"/>
  <c r="AM207" i="8"/>
  <c r="AM208" i="8" s="1"/>
  <c r="AM53" i="8"/>
  <c r="AM45" i="8" s="1"/>
  <c r="AM55" i="8" s="1"/>
  <c r="AM59" i="8" s="1"/>
  <c r="AM117" i="8"/>
  <c r="AI57" i="2"/>
  <c r="AI112" i="2"/>
  <c r="AH30" i="2"/>
  <c r="AH29" i="2" s="1"/>
  <c r="AH27" i="2" s="1"/>
  <c r="AH94" i="4" s="1"/>
  <c r="AI138" i="2"/>
  <c r="AI71" i="2"/>
  <c r="AJ155" i="2" s="1"/>
  <c r="AI76" i="2"/>
  <c r="AI99" i="2" s="1"/>
  <c r="AI85" i="6" s="1"/>
  <c r="AI52" i="2"/>
  <c r="AI192" i="2" s="1"/>
  <c r="AQ243" i="13" l="1"/>
  <c r="AQ143" i="6"/>
  <c r="AI181" i="13"/>
  <c r="AI37" i="13" s="1"/>
  <c r="AM101" i="4"/>
  <c r="AN187" i="8"/>
  <c r="AI89" i="2"/>
  <c r="AP196" i="9"/>
  <c r="AP129" i="9" s="1"/>
  <c r="AP126" i="9" s="1"/>
  <c r="AP115" i="9"/>
  <c r="AP50" i="9"/>
  <c r="AP206" i="9"/>
  <c r="AQ101" i="9"/>
  <c r="AN112" i="8"/>
  <c r="AM30" i="8"/>
  <c r="AM29" i="8" s="1"/>
  <c r="AM27" i="8" s="1"/>
  <c r="AM25" i="8" s="1"/>
  <c r="AM99" i="4" s="1"/>
  <c r="AN138" i="8"/>
  <c r="AN71" i="8"/>
  <c r="AN57" i="8"/>
  <c r="AN76" i="8"/>
  <c r="AN52" i="8"/>
  <c r="AN192" i="8" s="1"/>
  <c r="AI98" i="2"/>
  <c r="AI191" i="2"/>
  <c r="AI48" i="2"/>
  <c r="AI46" i="2" s="1"/>
  <c r="AH25" i="2"/>
  <c r="AH93" i="4" s="1"/>
  <c r="AI15" i="2"/>
  <c r="AI75" i="2"/>
  <c r="AI66" i="2"/>
  <c r="AI84" i="6" l="1"/>
  <c r="AI36" i="13"/>
  <c r="AI32" i="13" s="1"/>
  <c r="AI180" i="13"/>
  <c r="AI176" i="13" s="1"/>
  <c r="AN89" i="8"/>
  <c r="AO155" i="8"/>
  <c r="AM100" i="4"/>
  <c r="AP130" i="9"/>
  <c r="AP197" i="9"/>
  <c r="AN48" i="8"/>
  <c r="AN46" i="8" s="1"/>
  <c r="AN66" i="8"/>
  <c r="AN191" i="8"/>
  <c r="AN99" i="8"/>
  <c r="AN75" i="8"/>
  <c r="AN15" i="8"/>
  <c r="AI88" i="2"/>
  <c r="AI9" i="2"/>
  <c r="AJ154" i="2"/>
  <c r="AJ43" i="2" s="1"/>
  <c r="AJ169" i="2"/>
  <c r="AJ93" i="6" s="1"/>
  <c r="AI12" i="2"/>
  <c r="AI11" i="2" s="1"/>
  <c r="AI7" i="2"/>
  <c r="AN217" i="13" l="1"/>
  <c r="AN216" i="13" s="1"/>
  <c r="AN212" i="13" s="1"/>
  <c r="AN119" i="6"/>
  <c r="AN118" i="6" s="1"/>
  <c r="AI80" i="6"/>
  <c r="AJ191" i="13"/>
  <c r="AJ45" i="13" s="1"/>
  <c r="AP198" i="9"/>
  <c r="AP144" i="9" s="1"/>
  <c r="AP142" i="9" s="1"/>
  <c r="AQ120" i="9"/>
  <c r="AN98" i="8"/>
  <c r="AN9" i="8" s="1"/>
  <c r="AO169" i="8"/>
  <c r="AO127" i="6" s="1"/>
  <c r="AN7" i="8"/>
  <c r="AN12" i="8"/>
  <c r="AN11" i="8" s="1"/>
  <c r="AO154" i="8"/>
  <c r="AO43" i="8" s="1"/>
  <c r="AI6" i="2"/>
  <c r="AI17" i="2" s="1"/>
  <c r="AI19" i="2" s="1"/>
  <c r="AI42" i="2" s="1"/>
  <c r="AJ170" i="2"/>
  <c r="AJ168" i="2" s="1"/>
  <c r="AI36" i="2"/>
  <c r="AI83" i="2"/>
  <c r="AI84" i="2" s="1"/>
  <c r="AO227" i="13" l="1"/>
  <c r="AN114" i="6"/>
  <c r="AQ124" i="9"/>
  <c r="AQ132" i="9"/>
  <c r="AP145" i="9"/>
  <c r="AP51" i="9"/>
  <c r="AP49" i="9" s="1"/>
  <c r="AP199" i="9"/>
  <c r="AN88" i="8"/>
  <c r="AN83" i="8" s="1"/>
  <c r="AN84" i="8" s="1"/>
  <c r="AN26" i="8" s="1"/>
  <c r="AN6" i="8"/>
  <c r="AN17" i="8" s="1"/>
  <c r="AN19" i="8" s="1"/>
  <c r="AN42" i="8" s="1"/>
  <c r="AO170" i="8"/>
  <c r="AO168" i="8" s="1"/>
  <c r="AJ104" i="2"/>
  <c r="AJ81" i="2"/>
  <c r="AJ171" i="2"/>
  <c r="AJ80" i="2" s="1"/>
  <c r="AJ103" i="2" s="1"/>
  <c r="AJ65" i="2"/>
  <c r="AI26" i="2"/>
  <c r="AI35" i="2"/>
  <c r="AI21" i="2"/>
  <c r="AI114" i="2" s="1"/>
  <c r="AN36" i="8" l="1"/>
  <c r="AN35" i="8" s="1"/>
  <c r="AN61" i="8" s="1"/>
  <c r="AO65" i="8"/>
  <c r="AP200" i="9"/>
  <c r="AP116" i="9" s="1"/>
  <c r="AQ137" i="9"/>
  <c r="AP31" i="9"/>
  <c r="AQ128" i="9"/>
  <c r="AQ121" i="9"/>
  <c r="AN21" i="8"/>
  <c r="AN114" i="8" s="1"/>
  <c r="AO104" i="8"/>
  <c r="AO81" i="8"/>
  <c r="AO171" i="8"/>
  <c r="AJ79" i="2"/>
  <c r="AJ78" i="2" s="1"/>
  <c r="AJ102" i="2"/>
  <c r="AJ75" i="6" s="1"/>
  <c r="AI61" i="2"/>
  <c r="AI188" i="2"/>
  <c r="AI193" i="2" s="1"/>
  <c r="AJ125" i="2"/>
  <c r="AJ171" i="13" l="1"/>
  <c r="AJ27" i="13" s="1"/>
  <c r="AQ141" i="9"/>
  <c r="AQ147" i="9"/>
  <c r="AP201" i="9"/>
  <c r="AQ190" i="9"/>
  <c r="AP53" i="9"/>
  <c r="AP45" i="9" s="1"/>
  <c r="AP55" i="9" s="1"/>
  <c r="AP59" i="9" s="1"/>
  <c r="AP207" i="9"/>
  <c r="AP208" i="9" s="1"/>
  <c r="AP117" i="9"/>
  <c r="AN188" i="8"/>
  <c r="AN193" i="8" s="1"/>
  <c r="AN194" i="8" s="1"/>
  <c r="AO125" i="8"/>
  <c r="AO80" i="8"/>
  <c r="AO103" i="8" s="1"/>
  <c r="AJ101" i="2"/>
  <c r="AI194" i="2"/>
  <c r="AP107" i="4" l="1"/>
  <c r="AQ187" i="9"/>
  <c r="AQ52" i="9"/>
  <c r="AQ192" i="9" s="1"/>
  <c r="AQ76" i="9"/>
  <c r="AQ143" i="9"/>
  <c r="AQ138" i="9"/>
  <c r="AQ71" i="9"/>
  <c r="AR155" i="9" s="1"/>
  <c r="AP30" i="9"/>
  <c r="AP29" i="9" s="1"/>
  <c r="AP27" i="9" s="1"/>
  <c r="AP25" i="9" s="1"/>
  <c r="AP105" i="4" s="1"/>
  <c r="AQ112" i="9"/>
  <c r="AQ57" i="9"/>
  <c r="AO79" i="8"/>
  <c r="AO78" i="8" s="1"/>
  <c r="AO102" i="8"/>
  <c r="AN206" i="8"/>
  <c r="AN115" i="8"/>
  <c r="AN50" i="8"/>
  <c r="AN195" i="8"/>
  <c r="AI206" i="2"/>
  <c r="AI50" i="2"/>
  <c r="AI115" i="2"/>
  <c r="AI195" i="2"/>
  <c r="AO207" i="13" l="1"/>
  <c r="AO109" i="6"/>
  <c r="AP106" i="4"/>
  <c r="AQ191" i="9"/>
  <c r="AQ89" i="9"/>
  <c r="AQ66" i="9"/>
  <c r="AQ48" i="9"/>
  <c r="AQ46" i="9" s="1"/>
  <c r="AQ15" i="9"/>
  <c r="AQ99" i="9"/>
  <c r="AQ75" i="9"/>
  <c r="AO101" i="8"/>
  <c r="AN196" i="8"/>
  <c r="AN129" i="8" s="1"/>
  <c r="AN126" i="8" s="1"/>
  <c r="AI196" i="2"/>
  <c r="AI129" i="2" s="1"/>
  <c r="AI126" i="2" s="1"/>
  <c r="AQ253" i="13" l="1"/>
  <c r="AQ252" i="13" s="1"/>
  <c r="AQ248" i="13" s="1"/>
  <c r="AQ153" i="6"/>
  <c r="AQ152" i="6" s="1"/>
  <c r="AQ98" i="9"/>
  <c r="AQ9" i="9" s="1"/>
  <c r="AR154" i="9"/>
  <c r="AR43" i="9" s="1"/>
  <c r="AR169" i="9"/>
  <c r="AR161" i="6" s="1"/>
  <c r="AQ12" i="9"/>
  <c r="AQ11" i="9" s="1"/>
  <c r="AQ7" i="9"/>
  <c r="AN130" i="8"/>
  <c r="AN197" i="8"/>
  <c r="AI197" i="2"/>
  <c r="AI130" i="2"/>
  <c r="AQ6" i="9" l="1"/>
  <c r="AQ17" i="9" s="1"/>
  <c r="AQ148" i="6"/>
  <c r="AQ88" i="9"/>
  <c r="AQ83" i="9" s="1"/>
  <c r="AQ84" i="9" s="1"/>
  <c r="AR263" i="13"/>
  <c r="AR170" i="9"/>
  <c r="AR168" i="9" s="1"/>
  <c r="AO120" i="8"/>
  <c r="AN198" i="8"/>
  <c r="AN144" i="8" s="1"/>
  <c r="AN142" i="8" s="1"/>
  <c r="AJ120" i="2"/>
  <c r="AI198" i="2"/>
  <c r="AI144" i="2" s="1"/>
  <c r="AI142" i="2" s="1"/>
  <c r="AQ36" i="9" l="1"/>
  <c r="AR65" i="9"/>
  <c r="AQ26" i="9"/>
  <c r="AR104" i="9"/>
  <c r="AR81" i="9"/>
  <c r="AR171" i="9"/>
  <c r="AQ19" i="9"/>
  <c r="AQ42" i="9" s="1"/>
  <c r="AO124" i="8"/>
  <c r="AO128" i="8" s="1"/>
  <c r="AO132" i="8"/>
  <c r="AN199" i="8"/>
  <c r="AN200" i="8" s="1"/>
  <c r="AN145" i="8"/>
  <c r="AN51" i="8"/>
  <c r="AN49" i="8" s="1"/>
  <c r="AI145" i="2"/>
  <c r="AI51" i="2"/>
  <c r="AI49" i="2" s="1"/>
  <c r="AJ132" i="2"/>
  <c r="AJ124" i="2"/>
  <c r="AJ128" i="2" s="1"/>
  <c r="AI199" i="2"/>
  <c r="AQ35" i="9" l="1"/>
  <c r="AQ61" i="9" s="1"/>
  <c r="AQ21" i="9"/>
  <c r="AQ114" i="9" s="1"/>
  <c r="AR125" i="9"/>
  <c r="AR80" i="9"/>
  <c r="AN116" i="8"/>
  <c r="AN117" i="8" s="1"/>
  <c r="AN201" i="8"/>
  <c r="AO137" i="8"/>
  <c r="AN31" i="8"/>
  <c r="AO121" i="8"/>
  <c r="AJ121" i="2"/>
  <c r="AI200" i="2"/>
  <c r="AI116" i="2" s="1"/>
  <c r="AJ137" i="2"/>
  <c r="AI31" i="2"/>
  <c r="AQ188" i="9" l="1"/>
  <c r="AQ193" i="9" s="1"/>
  <c r="AO187" i="8"/>
  <c r="AR103" i="9"/>
  <c r="AR102" i="9" s="1"/>
  <c r="AR79" i="9"/>
  <c r="AR78" i="9" s="1"/>
  <c r="AQ194" i="9"/>
  <c r="AQ195" i="9" s="1"/>
  <c r="AN53" i="8"/>
  <c r="AN45" i="8" s="1"/>
  <c r="AN55" i="8" s="1"/>
  <c r="AN59" i="8" s="1"/>
  <c r="AN207" i="8"/>
  <c r="AN208" i="8" s="1"/>
  <c r="AO141" i="8"/>
  <c r="AO143" i="8" s="1"/>
  <c r="AO147" i="8"/>
  <c r="AO112" i="8"/>
  <c r="AN30" i="8"/>
  <c r="AN29" i="8" s="1"/>
  <c r="AN27" i="8" s="1"/>
  <c r="AN25" i="8" s="1"/>
  <c r="AN99" i="4" s="1"/>
  <c r="AO190" i="8"/>
  <c r="AI201" i="2"/>
  <c r="AI207" i="2"/>
  <c r="AI53" i="2"/>
  <c r="AI45" i="2" s="1"/>
  <c r="AI55" i="2" s="1"/>
  <c r="AI59" i="2" s="1"/>
  <c r="AI117" i="2"/>
  <c r="AJ190" i="2"/>
  <c r="AJ141" i="2"/>
  <c r="AJ143" i="2" s="1"/>
  <c r="AJ147" i="2"/>
  <c r="AR243" i="13" l="1"/>
  <c r="AR143" i="6"/>
  <c r="AN100" i="4"/>
  <c r="AI95" i="4"/>
  <c r="AN101" i="4"/>
  <c r="AO57" i="8"/>
  <c r="AI208" i="2"/>
  <c r="AQ196" i="9"/>
  <c r="AQ129" i="9" s="1"/>
  <c r="AQ126" i="9" s="1"/>
  <c r="AQ115" i="9"/>
  <c r="AQ50" i="9"/>
  <c r="AQ206" i="9"/>
  <c r="AR101" i="9"/>
  <c r="AO76" i="8"/>
  <c r="AO52" i="8"/>
  <c r="AO192" i="8" s="1"/>
  <c r="AO138" i="8"/>
  <c r="AO71" i="8"/>
  <c r="AI30" i="2"/>
  <c r="AI29" i="2" s="1"/>
  <c r="AI27" i="2" s="1"/>
  <c r="AI25" i="2" s="1"/>
  <c r="AI93" i="4" s="1"/>
  <c r="AJ112" i="2"/>
  <c r="AJ57" i="2"/>
  <c r="AJ187" i="2"/>
  <c r="AJ52" i="2"/>
  <c r="AJ192" i="2" s="1"/>
  <c r="AJ76" i="2"/>
  <c r="AJ99" i="2" s="1"/>
  <c r="AJ85" i="6" s="1"/>
  <c r="AJ138" i="2"/>
  <c r="AJ71" i="2"/>
  <c r="AK155" i="2" s="1"/>
  <c r="AJ181" i="13" l="1"/>
  <c r="AJ37" i="13" s="1"/>
  <c r="AO89" i="8"/>
  <c r="AP155" i="8"/>
  <c r="AI94" i="4"/>
  <c r="AJ89" i="2"/>
  <c r="AQ130" i="9"/>
  <c r="AQ197" i="9"/>
  <c r="AO48" i="8"/>
  <c r="AO46" i="8" s="1"/>
  <c r="AO191" i="8"/>
  <c r="AO66" i="8"/>
  <c r="AO99" i="8"/>
  <c r="AO75" i="8"/>
  <c r="AO15" i="8"/>
  <c r="AJ191" i="2"/>
  <c r="AJ98" i="2"/>
  <c r="AJ84" i="6"/>
  <c r="AJ66" i="2"/>
  <c r="AJ48" i="2"/>
  <c r="AJ46" i="2" s="1"/>
  <c r="AJ15" i="2"/>
  <c r="AJ75" i="2"/>
  <c r="AO217" i="13" l="1"/>
  <c r="AO216" i="13" s="1"/>
  <c r="AO212" i="13" s="1"/>
  <c r="AO119" i="6"/>
  <c r="AO118" i="6" s="1"/>
  <c r="AJ80" i="6"/>
  <c r="AJ180" i="13"/>
  <c r="AJ176" i="13" s="1"/>
  <c r="AJ36" i="13"/>
  <c r="AJ32" i="13" s="1"/>
  <c r="AQ198" i="9"/>
  <c r="AQ144" i="9" s="1"/>
  <c r="AQ142" i="9" s="1"/>
  <c r="AR120" i="9"/>
  <c r="AO98" i="8"/>
  <c r="AO9" i="8" s="1"/>
  <c r="AP169" i="8"/>
  <c r="AP127" i="6" s="1"/>
  <c r="AO7" i="8"/>
  <c r="AO12" i="8"/>
  <c r="AO11" i="8" s="1"/>
  <c r="AP154" i="8"/>
  <c r="AP43" i="8" s="1"/>
  <c r="AJ88" i="2"/>
  <c r="AK154" i="2"/>
  <c r="AK43" i="2" s="1"/>
  <c r="AK169" i="2"/>
  <c r="AK93" i="6" s="1"/>
  <c r="AJ9" i="2"/>
  <c r="AJ7" i="2"/>
  <c r="AJ12" i="2"/>
  <c r="AJ11" i="2" s="1"/>
  <c r="AP227" i="13" l="1"/>
  <c r="AO114" i="6"/>
  <c r="AK191" i="13"/>
  <c r="AK45" i="13" s="1"/>
  <c r="AO6" i="8"/>
  <c r="AO17" i="8" s="1"/>
  <c r="AR132" i="9"/>
  <c r="AR124" i="9"/>
  <c r="AQ145" i="9"/>
  <c r="AQ51" i="9"/>
  <c r="AQ49" i="9" s="1"/>
  <c r="AQ199" i="9"/>
  <c r="AO88" i="8"/>
  <c r="AO83" i="8" s="1"/>
  <c r="AO84" i="8" s="1"/>
  <c r="AO26" i="8" s="1"/>
  <c r="AP170" i="8"/>
  <c r="AP168" i="8" s="1"/>
  <c r="AJ6" i="2"/>
  <c r="AJ17" i="2" s="1"/>
  <c r="AJ19" i="2" s="1"/>
  <c r="AJ42" i="2" s="1"/>
  <c r="AK170" i="2"/>
  <c r="AK168" i="2" s="1"/>
  <c r="AJ36" i="2"/>
  <c r="AJ83" i="2"/>
  <c r="AJ84" i="2" s="1"/>
  <c r="AQ200" i="9" l="1"/>
  <c r="AQ116" i="9" s="1"/>
  <c r="AR137" i="9"/>
  <c r="AQ31" i="9"/>
  <c r="AR128" i="9"/>
  <c r="AR121" i="9"/>
  <c r="AP65" i="8"/>
  <c r="AO36" i="8"/>
  <c r="AP104" i="8"/>
  <c r="AP81" i="8"/>
  <c r="AP171" i="8"/>
  <c r="AO19" i="8"/>
  <c r="AO42" i="8" s="1"/>
  <c r="AK104" i="2"/>
  <c r="AK81" i="2"/>
  <c r="AJ21" i="2"/>
  <c r="AJ114" i="2" s="1"/>
  <c r="AK65" i="2"/>
  <c r="AJ26" i="2"/>
  <c r="AJ35" i="2"/>
  <c r="AK171" i="2"/>
  <c r="AK80" i="2" s="1"/>
  <c r="AK103" i="2" s="1"/>
  <c r="AO35" i="8" l="1"/>
  <c r="AO61" i="8" s="1"/>
  <c r="AR190" i="9"/>
  <c r="AR141" i="9"/>
  <c r="AR147" i="9"/>
  <c r="AQ201" i="9"/>
  <c r="AQ53" i="9"/>
  <c r="AQ45" i="9" s="1"/>
  <c r="AQ55" i="9" s="1"/>
  <c r="AQ59" i="9" s="1"/>
  <c r="AQ207" i="9"/>
  <c r="AQ208" i="9" s="1"/>
  <c r="AQ117" i="9"/>
  <c r="AO21" i="8"/>
  <c r="AO114" i="8" s="1"/>
  <c r="AP125" i="8"/>
  <c r="AP80" i="8"/>
  <c r="AP103" i="8" s="1"/>
  <c r="AK79" i="2"/>
  <c r="AK78" i="2" s="1"/>
  <c r="AK102" i="2"/>
  <c r="AK75" i="6" s="1"/>
  <c r="AJ188" i="2"/>
  <c r="AJ193" i="2" s="1"/>
  <c r="AJ61" i="2"/>
  <c r="AK125" i="2"/>
  <c r="AK171" i="13" l="1"/>
  <c r="AK27" i="13" s="1"/>
  <c r="AQ107" i="4"/>
  <c r="AO188" i="8"/>
  <c r="AO193" i="8" s="1"/>
  <c r="AO194" i="8" s="1"/>
  <c r="AR187" i="9"/>
  <c r="AR76" i="9"/>
  <c r="AR52" i="9"/>
  <c r="AR192" i="9" s="1"/>
  <c r="AR143" i="9"/>
  <c r="AR138" i="9"/>
  <c r="AR71" i="9"/>
  <c r="AS155" i="9" s="1"/>
  <c r="AR112" i="9"/>
  <c r="AQ30" i="9"/>
  <c r="AQ29" i="9" s="1"/>
  <c r="AQ27" i="9" s="1"/>
  <c r="AQ25" i="9" s="1"/>
  <c r="AQ105" i="4" s="1"/>
  <c r="AR57" i="9"/>
  <c r="AP79" i="8"/>
  <c r="AP78" i="8" s="1"/>
  <c r="AP102" i="8"/>
  <c r="AK101" i="2"/>
  <c r="AJ194" i="2"/>
  <c r="AP207" i="13" l="1"/>
  <c r="AP109" i="6"/>
  <c r="AQ106" i="4"/>
  <c r="AR89" i="9"/>
  <c r="AR66" i="9"/>
  <c r="AR191" i="9"/>
  <c r="AR48" i="9"/>
  <c r="AR46" i="9" s="1"/>
  <c r="AR15" i="9"/>
  <c r="AR99" i="9"/>
  <c r="AR75" i="9"/>
  <c r="AP101" i="8"/>
  <c r="AO206" i="8"/>
  <c r="AO115" i="8"/>
  <c r="AO50" i="8"/>
  <c r="AO195" i="8"/>
  <c r="AJ206" i="2"/>
  <c r="AJ50" i="2"/>
  <c r="AJ115" i="2"/>
  <c r="AJ195" i="2"/>
  <c r="AR253" i="13" l="1"/>
  <c r="AR252" i="13" s="1"/>
  <c r="AR248" i="13" s="1"/>
  <c r="AR153" i="6"/>
  <c r="AR152" i="6" s="1"/>
  <c r="AR98" i="9"/>
  <c r="AR9" i="9" s="1"/>
  <c r="AR12" i="9"/>
  <c r="AR11" i="9" s="1"/>
  <c r="AR7" i="9"/>
  <c r="AS154" i="9"/>
  <c r="AS43" i="9" s="1"/>
  <c r="AS169" i="9"/>
  <c r="AS161" i="6" s="1"/>
  <c r="AO196" i="8"/>
  <c r="AO129" i="8" s="1"/>
  <c r="AO126" i="8" s="1"/>
  <c r="AJ196" i="2"/>
  <c r="AJ129" i="2" s="1"/>
  <c r="AJ126" i="2" s="1"/>
  <c r="AR148" i="6" l="1"/>
  <c r="AS263" i="13"/>
  <c r="AR88" i="9"/>
  <c r="AR83" i="9" s="1"/>
  <c r="AR84" i="9" s="1"/>
  <c r="AR6" i="9"/>
  <c r="AR17" i="9" s="1"/>
  <c r="AR19" i="9" s="1"/>
  <c r="AR42" i="9" s="1"/>
  <c r="AS170" i="9"/>
  <c r="AS168" i="9" s="1"/>
  <c r="AS171" i="9" s="1"/>
  <c r="AS125" i="9" s="1"/>
  <c r="AO130" i="8"/>
  <c r="AO197" i="8"/>
  <c r="AJ130" i="2"/>
  <c r="AJ197" i="2"/>
  <c r="AR36" i="9" l="1"/>
  <c r="AR35" i="9" s="1"/>
  <c r="AS81" i="9"/>
  <c r="AS104" i="9"/>
  <c r="AS80" i="9"/>
  <c r="AS103" i="9" s="1"/>
  <c r="AR21" i="9"/>
  <c r="AR114" i="9" s="1"/>
  <c r="AS65" i="9"/>
  <c r="AR26" i="9"/>
  <c r="AO198" i="8"/>
  <c r="AO144" i="8" s="1"/>
  <c r="AO142" i="8" s="1"/>
  <c r="AP120" i="8"/>
  <c r="AJ198" i="2"/>
  <c r="AJ144" i="2" s="1"/>
  <c r="AJ142" i="2" s="1"/>
  <c r="AK120" i="2"/>
  <c r="AS102" i="9" l="1"/>
  <c r="AS143" i="6" s="1"/>
  <c r="AS79" i="9"/>
  <c r="AS78" i="9" s="1"/>
  <c r="AR61" i="9"/>
  <c r="AR188" i="9"/>
  <c r="AR193" i="9" s="1"/>
  <c r="AP124" i="8"/>
  <c r="AP128" i="8" s="1"/>
  <c r="AP132" i="8"/>
  <c r="AO199" i="8"/>
  <c r="AO200" i="8" s="1"/>
  <c r="AO116" i="8" s="1"/>
  <c r="AO145" i="8"/>
  <c r="AO51" i="8"/>
  <c r="AO49" i="8" s="1"/>
  <c r="AK124" i="2"/>
  <c r="AK128" i="2" s="1"/>
  <c r="AK132" i="2"/>
  <c r="AJ145" i="2"/>
  <c r="AJ51" i="2"/>
  <c r="AJ49" i="2" s="1"/>
  <c r="AJ199" i="2"/>
  <c r="AS101" i="9" l="1"/>
  <c r="AS243" i="13"/>
  <c r="AR194" i="9"/>
  <c r="AR195" i="9" s="1"/>
  <c r="AP137" i="8"/>
  <c r="AO31" i="8"/>
  <c r="AO201" i="8"/>
  <c r="AO207" i="8"/>
  <c r="AO208" i="8" s="1"/>
  <c r="AO53" i="8"/>
  <c r="AO45" i="8" s="1"/>
  <c r="AO55" i="8" s="1"/>
  <c r="AO59" i="8" s="1"/>
  <c r="AO117" i="8"/>
  <c r="AP121" i="8"/>
  <c r="AK137" i="2"/>
  <c r="AJ31" i="2"/>
  <c r="AJ200" i="2"/>
  <c r="AJ116" i="2" s="1"/>
  <c r="AK121" i="2"/>
  <c r="AO101" i="4" l="1"/>
  <c r="AR196" i="9"/>
  <c r="AR129" i="9" s="1"/>
  <c r="AR126" i="9" s="1"/>
  <c r="AR206" i="9"/>
  <c r="AR115" i="9"/>
  <c r="AR50" i="9"/>
  <c r="AP141" i="8"/>
  <c r="AP143" i="8" s="1"/>
  <c r="AP147" i="8"/>
  <c r="AP57" i="8"/>
  <c r="AP187" i="8"/>
  <c r="AP112" i="8"/>
  <c r="AO30" i="8"/>
  <c r="AO29" i="8" s="1"/>
  <c r="AO27" i="8" s="1"/>
  <c r="AO25" i="8" s="1"/>
  <c r="AO99" i="4" s="1"/>
  <c r="AP190" i="8"/>
  <c r="AJ201" i="2"/>
  <c r="AK147" i="2"/>
  <c r="AK141" i="2"/>
  <c r="AK143" i="2" s="1"/>
  <c r="AJ207" i="2"/>
  <c r="AJ53" i="2"/>
  <c r="AJ45" i="2" s="1"/>
  <c r="AJ55" i="2" s="1"/>
  <c r="AJ59" i="2" s="1"/>
  <c r="AJ117" i="2"/>
  <c r="AK190" i="2"/>
  <c r="AJ95" i="4" l="1"/>
  <c r="AO100" i="4"/>
  <c r="AJ208" i="2"/>
  <c r="AR130" i="9"/>
  <c r="AR197" i="9"/>
  <c r="AP76" i="8"/>
  <c r="AP52" i="8"/>
  <c r="AP192" i="8" s="1"/>
  <c r="AP138" i="8"/>
  <c r="AP71" i="8"/>
  <c r="AJ30" i="2"/>
  <c r="AJ29" i="2" s="1"/>
  <c r="AJ27" i="2" s="1"/>
  <c r="AJ25" i="2" s="1"/>
  <c r="AJ93" i="4" s="1"/>
  <c r="AK112" i="2"/>
  <c r="AK138" i="2"/>
  <c r="AK71" i="2"/>
  <c r="AL155" i="2" s="1"/>
  <c r="AK52" i="2"/>
  <c r="AK192" i="2" s="1"/>
  <c r="AK76" i="2"/>
  <c r="AK99" i="2" s="1"/>
  <c r="AK85" i="6" s="1"/>
  <c r="AK57" i="2"/>
  <c r="AK187" i="2"/>
  <c r="AK181" i="13" l="1"/>
  <c r="AK37" i="13" s="1"/>
  <c r="AP89" i="8"/>
  <c r="AQ155" i="8"/>
  <c r="AJ94" i="4"/>
  <c r="AK89" i="2"/>
  <c r="AR198" i="9"/>
  <c r="AR144" i="9" s="1"/>
  <c r="AR142" i="9" s="1"/>
  <c r="AS120" i="9"/>
  <c r="AP191" i="8"/>
  <c r="AP48" i="8"/>
  <c r="AP46" i="8" s="1"/>
  <c r="AP66" i="8"/>
  <c r="AP75" i="8"/>
  <c r="AP99" i="8"/>
  <c r="AP15" i="8"/>
  <c r="AK191" i="2"/>
  <c r="AK98" i="2"/>
  <c r="AK84" i="6"/>
  <c r="AK66" i="2"/>
  <c r="AK48" i="2"/>
  <c r="AK46" i="2" s="1"/>
  <c r="AK75" i="2"/>
  <c r="AK15" i="2"/>
  <c r="AP217" i="13" l="1"/>
  <c r="AP216" i="13" s="1"/>
  <c r="AP212" i="13" s="1"/>
  <c r="AP119" i="6"/>
  <c r="AP118" i="6" s="1"/>
  <c r="AK80" i="6"/>
  <c r="AK180" i="13"/>
  <c r="AK176" i="13" s="1"/>
  <c r="AK36" i="13"/>
  <c r="AK32" i="13" s="1"/>
  <c r="AS124" i="9"/>
  <c r="AS132" i="9"/>
  <c r="AR145" i="9"/>
  <c r="AR51" i="9"/>
  <c r="AR49" i="9" s="1"/>
  <c r="AR199" i="9"/>
  <c r="AP98" i="8"/>
  <c r="AP9" i="8" s="1"/>
  <c r="AQ169" i="8"/>
  <c r="AQ127" i="6" s="1"/>
  <c r="AP7" i="8"/>
  <c r="AP12" i="8"/>
  <c r="AP11" i="8" s="1"/>
  <c r="AQ154" i="8"/>
  <c r="AQ43" i="8" s="1"/>
  <c r="AK88" i="2"/>
  <c r="AL169" i="2"/>
  <c r="AL93" i="6" s="1"/>
  <c r="AL154" i="2"/>
  <c r="AL43" i="2" s="1"/>
  <c r="AK9" i="2"/>
  <c r="AK7" i="2"/>
  <c r="AK12" i="2"/>
  <c r="AK11" i="2" s="1"/>
  <c r="AQ227" i="13" l="1"/>
  <c r="AP114" i="6"/>
  <c r="AL191" i="13"/>
  <c r="AL45" i="13" s="1"/>
  <c r="AP6" i="8"/>
  <c r="AP17" i="8" s="1"/>
  <c r="AP19" i="8" s="1"/>
  <c r="AP42" i="8" s="1"/>
  <c r="AR200" i="9"/>
  <c r="AR116" i="9" s="1"/>
  <c r="AS137" i="9"/>
  <c r="AR31" i="9"/>
  <c r="AS128" i="9"/>
  <c r="AS121" i="9"/>
  <c r="AP88" i="8"/>
  <c r="AP83" i="8" s="1"/>
  <c r="AP84" i="8" s="1"/>
  <c r="AQ65" i="8" s="1"/>
  <c r="AQ170" i="8"/>
  <c r="AQ168" i="8" s="1"/>
  <c r="AK6" i="2"/>
  <c r="AK17" i="2" s="1"/>
  <c r="AK19" i="2" s="1"/>
  <c r="AK42" i="2" s="1"/>
  <c r="AL170" i="2"/>
  <c r="AL168" i="2" s="1"/>
  <c r="AK83" i="2"/>
  <c r="AK84" i="2" s="1"/>
  <c r="AK36" i="2"/>
  <c r="AR201" i="9" l="1"/>
  <c r="AS141" i="9"/>
  <c r="AS147" i="9"/>
  <c r="AS190" i="9"/>
  <c r="AR207" i="9"/>
  <c r="AR208" i="9" s="1"/>
  <c r="AR53" i="9"/>
  <c r="AR45" i="9" s="1"/>
  <c r="AR55" i="9" s="1"/>
  <c r="AR59" i="9" s="1"/>
  <c r="AR117" i="9"/>
  <c r="AP36" i="8"/>
  <c r="AP35" i="8" s="1"/>
  <c r="AP61" i="8" s="1"/>
  <c r="AP26" i="8"/>
  <c r="AP21" i="8"/>
  <c r="AP114" i="8" s="1"/>
  <c r="AQ104" i="8"/>
  <c r="AQ81" i="8"/>
  <c r="AQ171" i="8"/>
  <c r="AL104" i="2"/>
  <c r="AL81" i="2"/>
  <c r="AL171" i="2"/>
  <c r="AL80" i="2" s="1"/>
  <c r="AL103" i="2" s="1"/>
  <c r="AK35" i="2"/>
  <c r="AK26" i="2"/>
  <c r="AL65" i="2"/>
  <c r="AK21" i="2"/>
  <c r="AK114" i="2" s="1"/>
  <c r="AR107" i="4" l="1"/>
  <c r="AS187" i="9"/>
  <c r="AS112" i="9"/>
  <c r="AR30" i="9"/>
  <c r="AR29" i="9" s="1"/>
  <c r="AR27" i="9" s="1"/>
  <c r="AR25" i="9" s="1"/>
  <c r="AR105" i="4" s="1"/>
  <c r="AS76" i="9"/>
  <c r="AS52" i="9"/>
  <c r="AS192" i="9" s="1"/>
  <c r="AS143" i="9"/>
  <c r="AS138" i="9"/>
  <c r="AS71" i="9"/>
  <c r="AT155" i="9" s="1"/>
  <c r="AS57" i="9"/>
  <c r="AP188" i="8"/>
  <c r="AP193" i="8" s="1"/>
  <c r="AP194" i="8" s="1"/>
  <c r="AQ125" i="8"/>
  <c r="AQ80" i="8"/>
  <c r="AQ103" i="8" s="1"/>
  <c r="AL79" i="2"/>
  <c r="AL78" i="2" s="1"/>
  <c r="AL102" i="2"/>
  <c r="AL75" i="6" s="1"/>
  <c r="AL125" i="2"/>
  <c r="AK188" i="2"/>
  <c r="AK193" i="2" s="1"/>
  <c r="AK61" i="2"/>
  <c r="AL171" i="13" l="1"/>
  <c r="AL27" i="13" s="1"/>
  <c r="AR106" i="4"/>
  <c r="AS191" i="9"/>
  <c r="AS48" i="9"/>
  <c r="AS46" i="9" s="1"/>
  <c r="AS89" i="9"/>
  <c r="AS66" i="9"/>
  <c r="AS99" i="9"/>
  <c r="AS75" i="9"/>
  <c r="AS15" i="9"/>
  <c r="AP206" i="8"/>
  <c r="AP115" i="8"/>
  <c r="AP50" i="8"/>
  <c r="AP195" i="8"/>
  <c r="AQ79" i="8"/>
  <c r="AQ78" i="8" s="1"/>
  <c r="AQ102" i="8"/>
  <c r="AL101" i="2"/>
  <c r="AK194" i="2"/>
  <c r="AK195" i="2" s="1"/>
  <c r="AS253" i="13" l="1"/>
  <c r="AS252" i="13" s="1"/>
  <c r="AS248" i="13" s="1"/>
  <c r="AS153" i="6"/>
  <c r="AS152" i="6" s="1"/>
  <c r="AQ207" i="13"/>
  <c r="AQ109" i="6"/>
  <c r="AS98" i="9"/>
  <c r="AS9" i="9" s="1"/>
  <c r="AT169" i="9"/>
  <c r="AT161" i="6" s="1"/>
  <c r="AT154" i="9"/>
  <c r="AT43" i="9" s="1"/>
  <c r="AS7" i="9"/>
  <c r="AS12" i="9"/>
  <c r="AS11" i="9" s="1"/>
  <c r="AQ101" i="8"/>
  <c r="AP196" i="8"/>
  <c r="AP129" i="8" s="1"/>
  <c r="AP126" i="8" s="1"/>
  <c r="AK196" i="2"/>
  <c r="AK129" i="2" s="1"/>
  <c r="AK126" i="2" s="1"/>
  <c r="AK115" i="2"/>
  <c r="AK206" i="2"/>
  <c r="AK50" i="2"/>
  <c r="AS148" i="6" l="1"/>
  <c r="AT263" i="13"/>
  <c r="AS6" i="9"/>
  <c r="AS17" i="9" s="1"/>
  <c r="AS88" i="9"/>
  <c r="AS36" i="9" s="1"/>
  <c r="AT170" i="9"/>
  <c r="AT168" i="9" s="1"/>
  <c r="AT171" i="9" s="1"/>
  <c r="AT125" i="9" s="1"/>
  <c r="AP130" i="8"/>
  <c r="AP197" i="8"/>
  <c r="AK130" i="2"/>
  <c r="AK197" i="2"/>
  <c r="AS83" i="9" l="1"/>
  <c r="AS84" i="9" s="1"/>
  <c r="AT65" i="9" s="1"/>
  <c r="AT104" i="9"/>
  <c r="AT81" i="9"/>
  <c r="AT80" i="9"/>
  <c r="AT103" i="9" s="1"/>
  <c r="AT102" i="9" s="1"/>
  <c r="AS19" i="9"/>
  <c r="AS42" i="9" s="1"/>
  <c r="AS35" i="9" s="1"/>
  <c r="AP198" i="8"/>
  <c r="AP144" i="8" s="1"/>
  <c r="AP142" i="8" s="1"/>
  <c r="AQ120" i="8"/>
  <c r="AK198" i="2"/>
  <c r="AK144" i="2" s="1"/>
  <c r="AK142" i="2" s="1"/>
  <c r="AL120" i="2"/>
  <c r="AT243" i="13" l="1"/>
  <c r="AT143" i="6"/>
  <c r="AS26" i="9"/>
  <c r="AT79" i="9"/>
  <c r="AT78" i="9" s="1"/>
  <c r="AS61" i="9"/>
  <c r="AS188" i="9"/>
  <c r="AS193" i="9" s="1"/>
  <c r="AT101" i="9"/>
  <c r="AS21" i="9"/>
  <c r="AS114" i="9" s="1"/>
  <c r="AQ124" i="8"/>
  <c r="AQ128" i="8" s="1"/>
  <c r="AQ132" i="8"/>
  <c r="AP199" i="8"/>
  <c r="AP145" i="8"/>
  <c r="AP51" i="8"/>
  <c r="AP49" i="8" s="1"/>
  <c r="AK145" i="2"/>
  <c r="AK51" i="2"/>
  <c r="AK49" i="2" s="1"/>
  <c r="AL132" i="2"/>
  <c r="AL124" i="2"/>
  <c r="AL128" i="2" s="1"/>
  <c r="AK199" i="2"/>
  <c r="AS194" i="9" l="1"/>
  <c r="AS195" i="9" s="1"/>
  <c r="AP200" i="8"/>
  <c r="AP116" i="8" s="1"/>
  <c r="AQ137" i="8"/>
  <c r="AP31" i="8"/>
  <c r="AQ121" i="8"/>
  <c r="AL121" i="2"/>
  <c r="AK200" i="2"/>
  <c r="AK116" i="2" s="1"/>
  <c r="AL137" i="2"/>
  <c r="AK31" i="2"/>
  <c r="AS196" i="9" l="1"/>
  <c r="AS129" i="9" s="1"/>
  <c r="AS126" i="9" s="1"/>
  <c r="AS206" i="9"/>
  <c r="AS115" i="9"/>
  <c r="AS50" i="9"/>
  <c r="AQ141" i="8"/>
  <c r="AQ143" i="8" s="1"/>
  <c r="AQ147" i="8"/>
  <c r="AQ190" i="8"/>
  <c r="AP207" i="8"/>
  <c r="AP208" i="8" s="1"/>
  <c r="AP53" i="8"/>
  <c r="AP45" i="8" s="1"/>
  <c r="AP55" i="8" s="1"/>
  <c r="AP59" i="8" s="1"/>
  <c r="AP117" i="8"/>
  <c r="AP201" i="8"/>
  <c r="AK53" i="2"/>
  <c r="AK45" i="2" s="1"/>
  <c r="AK55" i="2" s="1"/>
  <c r="AK59" i="2" s="1"/>
  <c r="AK207" i="2"/>
  <c r="AK117" i="2"/>
  <c r="AL190" i="2"/>
  <c r="AK201" i="2"/>
  <c r="AL147" i="2"/>
  <c r="AL141" i="2"/>
  <c r="AL143" i="2" s="1"/>
  <c r="AP101" i="4" l="1"/>
  <c r="AK95" i="4"/>
  <c r="AK208" i="2"/>
  <c r="AS130" i="9"/>
  <c r="AS197" i="9"/>
  <c r="AQ112" i="8"/>
  <c r="AP30" i="8"/>
  <c r="AP29" i="8" s="1"/>
  <c r="AP27" i="8" s="1"/>
  <c r="AP25" i="8" s="1"/>
  <c r="AP99" i="4" s="1"/>
  <c r="AQ57" i="8"/>
  <c r="AQ52" i="8"/>
  <c r="AQ192" i="8" s="1"/>
  <c r="AQ76" i="8"/>
  <c r="AQ187" i="8"/>
  <c r="AQ138" i="8"/>
  <c r="AQ191" i="8" s="1"/>
  <c r="AQ71" i="8"/>
  <c r="AK30" i="2"/>
  <c r="AK29" i="2" s="1"/>
  <c r="AK27" i="2" s="1"/>
  <c r="AK25" i="2" s="1"/>
  <c r="AK93" i="4" s="1"/>
  <c r="AL112" i="2"/>
  <c r="AL57" i="2"/>
  <c r="AL138" i="2"/>
  <c r="AL191" i="2" s="1"/>
  <c r="AL71" i="2"/>
  <c r="AM155" i="2" s="1"/>
  <c r="AL52" i="2"/>
  <c r="AL192" i="2" s="1"/>
  <c r="AL76" i="2"/>
  <c r="AL99" i="2" s="1"/>
  <c r="AL85" i="6" s="1"/>
  <c r="AL187" i="2"/>
  <c r="AL181" i="13" l="1"/>
  <c r="AL37" i="13" s="1"/>
  <c r="AQ89" i="8"/>
  <c r="AR155" i="8"/>
  <c r="AP100" i="4"/>
  <c r="AK94" i="4"/>
  <c r="AL89" i="2"/>
  <c r="AS198" i="9"/>
  <c r="AS144" i="9" s="1"/>
  <c r="AS142" i="9" s="1"/>
  <c r="AT120" i="9"/>
  <c r="AQ75" i="8"/>
  <c r="AQ99" i="8"/>
  <c r="AQ15" i="8"/>
  <c r="AQ66" i="8"/>
  <c r="AQ48" i="8"/>
  <c r="AQ46" i="8" s="1"/>
  <c r="AL98" i="2"/>
  <c r="AL15" i="2"/>
  <c r="AL75" i="2"/>
  <c r="AL48" i="2"/>
  <c r="AL46" i="2" s="1"/>
  <c r="AL66" i="2"/>
  <c r="AQ217" i="13" l="1"/>
  <c r="AQ216" i="13" s="1"/>
  <c r="AQ212" i="13" s="1"/>
  <c r="AQ119" i="6"/>
  <c r="AQ118" i="6" s="1"/>
  <c r="AL84" i="6"/>
  <c r="AL180" i="13"/>
  <c r="AL176" i="13" s="1"/>
  <c r="AL36" i="13"/>
  <c r="AL32" i="13" s="1"/>
  <c r="AT124" i="9"/>
  <c r="AT132" i="9"/>
  <c r="AS145" i="9"/>
  <c r="AS51" i="9"/>
  <c r="AS49" i="9" s="1"/>
  <c r="AS199" i="9"/>
  <c r="AQ98" i="8"/>
  <c r="AQ9" i="8" s="1"/>
  <c r="AR169" i="8"/>
  <c r="AR127" i="6" s="1"/>
  <c r="AQ7" i="8"/>
  <c r="AQ12" i="8"/>
  <c r="AQ11" i="8" s="1"/>
  <c r="AR154" i="8"/>
  <c r="AR43" i="8" s="1"/>
  <c r="AL88" i="2"/>
  <c r="AL9" i="2"/>
  <c r="AM169" i="2"/>
  <c r="AM93" i="6" s="1"/>
  <c r="AM154" i="2"/>
  <c r="AM43" i="2" s="1"/>
  <c r="AL7" i="2"/>
  <c r="AL12" i="2"/>
  <c r="AL11" i="2" s="1"/>
  <c r="AR227" i="13" l="1"/>
  <c r="AQ114" i="6"/>
  <c r="AL80" i="6"/>
  <c r="AM191" i="13"/>
  <c r="AM45" i="13" s="1"/>
  <c r="AS200" i="9"/>
  <c r="AS116" i="9" s="1"/>
  <c r="AT137" i="9"/>
  <c r="AS31" i="9"/>
  <c r="AT128" i="9"/>
  <c r="AT121" i="9"/>
  <c r="AQ6" i="8"/>
  <c r="AQ17" i="8" s="1"/>
  <c r="AQ19" i="8" s="1"/>
  <c r="AQ42" i="8" s="1"/>
  <c r="AR170" i="8"/>
  <c r="AR168" i="8" s="1"/>
  <c r="AQ88" i="8"/>
  <c r="AL6" i="2"/>
  <c r="AL17" i="2" s="1"/>
  <c r="AL19" i="2" s="1"/>
  <c r="AL42" i="2" s="1"/>
  <c r="AM170" i="2"/>
  <c r="AM168" i="2" s="1"/>
  <c r="AL83" i="2"/>
  <c r="AL84" i="2" s="1"/>
  <c r="AL36" i="2"/>
  <c r="AS201" i="9" l="1"/>
  <c r="AT147" i="9"/>
  <c r="AT141" i="9"/>
  <c r="AT190" i="9"/>
  <c r="AS207" i="9"/>
  <c r="AS208" i="9" s="1"/>
  <c r="AS53" i="9"/>
  <c r="AS45" i="9" s="1"/>
  <c r="AS55" i="9" s="1"/>
  <c r="AS59" i="9" s="1"/>
  <c r="AS117" i="9"/>
  <c r="AQ36" i="8"/>
  <c r="AQ35" i="8" s="1"/>
  <c r="AQ61" i="8" s="1"/>
  <c r="AQ83" i="8"/>
  <c r="AQ84" i="8" s="1"/>
  <c r="AR81" i="8"/>
  <c r="AR104" i="8"/>
  <c r="AR171" i="8"/>
  <c r="AQ21" i="8"/>
  <c r="AQ114" i="8" s="1"/>
  <c r="AM104" i="2"/>
  <c r="AM81" i="2"/>
  <c r="AM171" i="2"/>
  <c r="AM80" i="2" s="1"/>
  <c r="AM103" i="2" s="1"/>
  <c r="AL35" i="2"/>
  <c r="AL21" i="2"/>
  <c r="AL114" i="2" s="1"/>
  <c r="AM65" i="2"/>
  <c r="AL26" i="2"/>
  <c r="AS107" i="4" l="1"/>
  <c r="AT187" i="9"/>
  <c r="AS30" i="9"/>
  <c r="AS29" i="9" s="1"/>
  <c r="AS27" i="9" s="1"/>
  <c r="AS25" i="9" s="1"/>
  <c r="AS105" i="4" s="1"/>
  <c r="AT112" i="9"/>
  <c r="AT143" i="9"/>
  <c r="AT138" i="9"/>
  <c r="AT71" i="9"/>
  <c r="AU155" i="9" s="1"/>
  <c r="AT57" i="9"/>
  <c r="AT76" i="9"/>
  <c r="AT52" i="9"/>
  <c r="AT192" i="9" s="1"/>
  <c r="AQ26" i="8"/>
  <c r="AR65" i="8"/>
  <c r="AQ188" i="8"/>
  <c r="AQ193" i="8" s="1"/>
  <c r="AQ194" i="8" s="1"/>
  <c r="AR125" i="8"/>
  <c r="AR80" i="8"/>
  <c r="AR103" i="8" s="1"/>
  <c r="AM79" i="2"/>
  <c r="AM78" i="2" s="1"/>
  <c r="AM102" i="2"/>
  <c r="AM75" i="6" s="1"/>
  <c r="AM125" i="2"/>
  <c r="AL188" i="2"/>
  <c r="AL193" i="2" s="1"/>
  <c r="AL61" i="2"/>
  <c r="AM171" i="13" l="1"/>
  <c r="AM27" i="13" s="1"/>
  <c r="AS106" i="4"/>
  <c r="AT15" i="9"/>
  <c r="AT99" i="9"/>
  <c r="AT75" i="9"/>
  <c r="AT89" i="9"/>
  <c r="AT66" i="9"/>
  <c r="AT191" i="9"/>
  <c r="AT48" i="9"/>
  <c r="AT46" i="9" s="1"/>
  <c r="AQ206" i="8"/>
  <c r="AQ115" i="8"/>
  <c r="AQ50" i="8"/>
  <c r="AQ195" i="8"/>
  <c r="AR79" i="8"/>
  <c r="AR78" i="8" s="1"/>
  <c r="AR102" i="8"/>
  <c r="AM101" i="2"/>
  <c r="AL194" i="2"/>
  <c r="AT253" i="13" l="1"/>
  <c r="AT252" i="13" s="1"/>
  <c r="AT248" i="13" s="1"/>
  <c r="AT153" i="6"/>
  <c r="AT152" i="6" s="1"/>
  <c r="AR207" i="13"/>
  <c r="AR109" i="6"/>
  <c r="AU154" i="9"/>
  <c r="AU43" i="9" s="1"/>
  <c r="AU169" i="9"/>
  <c r="AU161" i="6" s="1"/>
  <c r="AT7" i="9"/>
  <c r="AT12" i="9"/>
  <c r="AT11" i="9" s="1"/>
  <c r="AT98" i="9"/>
  <c r="AT9" i="9" s="1"/>
  <c r="AR101" i="8"/>
  <c r="AQ196" i="8"/>
  <c r="AQ129" i="8" s="1"/>
  <c r="AQ126" i="8" s="1"/>
  <c r="AL206" i="2"/>
  <c r="AL50" i="2"/>
  <c r="AL115" i="2"/>
  <c r="AL195" i="2"/>
  <c r="AT148" i="6" l="1"/>
  <c r="AU263" i="13"/>
  <c r="AU170" i="9"/>
  <c r="AU168" i="9" s="1"/>
  <c r="AU171" i="9" s="1"/>
  <c r="AU80" i="9" s="1"/>
  <c r="AT88" i="9"/>
  <c r="AT36" i="9" s="1"/>
  <c r="AT6" i="9"/>
  <c r="AT17" i="9" s="1"/>
  <c r="AT19" i="9" s="1"/>
  <c r="AT42" i="9" s="1"/>
  <c r="AQ197" i="8"/>
  <c r="AQ130" i="8"/>
  <c r="AL196" i="2"/>
  <c r="AL129" i="2" s="1"/>
  <c r="AL126" i="2" s="1"/>
  <c r="AU81" i="9" l="1"/>
  <c r="AU79" i="9" s="1"/>
  <c r="AU78" i="9" s="1"/>
  <c r="AT83" i="9"/>
  <c r="AT84" i="9" s="1"/>
  <c r="AU65" i="9" s="1"/>
  <c r="AU104" i="9"/>
  <c r="AU125" i="9"/>
  <c r="AT35" i="9"/>
  <c r="AT21" i="9"/>
  <c r="AT114" i="9" s="1"/>
  <c r="AU103" i="9"/>
  <c r="AU102" i="9" s="1"/>
  <c r="AR120" i="8"/>
  <c r="AQ198" i="8"/>
  <c r="AQ144" i="8" s="1"/>
  <c r="AQ142" i="8" s="1"/>
  <c r="AL197" i="2"/>
  <c r="AL130" i="2"/>
  <c r="AU243" i="13" l="1"/>
  <c r="AU143" i="6"/>
  <c r="AT26" i="9"/>
  <c r="AU101" i="9"/>
  <c r="AT61" i="9"/>
  <c r="AT188" i="9"/>
  <c r="AT193" i="9" s="1"/>
  <c r="AR124" i="8"/>
  <c r="AR128" i="8" s="1"/>
  <c r="AR132" i="8"/>
  <c r="AQ145" i="8"/>
  <c r="AQ51" i="8"/>
  <c r="AQ49" i="8" s="1"/>
  <c r="AQ199" i="8"/>
  <c r="AM120" i="2"/>
  <c r="AL198" i="2"/>
  <c r="AL144" i="2" s="1"/>
  <c r="AL142" i="2" s="1"/>
  <c r="AT194" i="9" l="1"/>
  <c r="AT195" i="9" s="1"/>
  <c r="AR121" i="8"/>
  <c r="AQ200" i="8"/>
  <c r="AQ116" i="8" s="1"/>
  <c r="AR137" i="8"/>
  <c r="AQ31" i="8"/>
  <c r="AL145" i="2"/>
  <c r="AL51" i="2"/>
  <c r="AL49" i="2" s="1"/>
  <c r="AM132" i="2"/>
  <c r="AM124" i="2"/>
  <c r="AM128" i="2" s="1"/>
  <c r="AL199" i="2"/>
  <c r="AT196" i="9" l="1"/>
  <c r="AT129" i="9" s="1"/>
  <c r="AT126" i="9" s="1"/>
  <c r="AT206" i="9"/>
  <c r="AT115" i="9"/>
  <c r="AT50" i="9"/>
  <c r="AR141" i="8"/>
  <c r="AR143" i="8" s="1"/>
  <c r="AR147" i="8"/>
  <c r="AQ201" i="8"/>
  <c r="AR190" i="8"/>
  <c r="AQ207" i="8"/>
  <c r="AQ208" i="8" s="1"/>
  <c r="AQ53" i="8"/>
  <c r="AQ45" i="8" s="1"/>
  <c r="AQ55" i="8" s="1"/>
  <c r="AQ59" i="8" s="1"/>
  <c r="AQ117" i="8"/>
  <c r="AM121" i="2"/>
  <c r="AL200" i="2"/>
  <c r="AL116" i="2" s="1"/>
  <c r="AM137" i="2"/>
  <c r="AL31" i="2"/>
  <c r="AQ101" i="4" l="1"/>
  <c r="AR187" i="8"/>
  <c r="AT130" i="9"/>
  <c r="AT197" i="9"/>
  <c r="AR76" i="8"/>
  <c r="AR52" i="8"/>
  <c r="AR192" i="8" s="1"/>
  <c r="AR138" i="8"/>
  <c r="AR71" i="8"/>
  <c r="AR112" i="8"/>
  <c r="AQ30" i="8"/>
  <c r="AQ29" i="8" s="1"/>
  <c r="AQ27" i="8" s="1"/>
  <c r="AQ25" i="8" s="1"/>
  <c r="AQ99" i="4" s="1"/>
  <c r="AR57" i="8"/>
  <c r="AL207" i="2"/>
  <c r="AL53" i="2"/>
  <c r="AL45" i="2" s="1"/>
  <c r="AL55" i="2" s="1"/>
  <c r="AL59" i="2" s="1"/>
  <c r="AL117" i="2"/>
  <c r="AM141" i="2"/>
  <c r="AM143" i="2" s="1"/>
  <c r="AM147" i="2"/>
  <c r="AL201" i="2"/>
  <c r="AM190" i="2"/>
  <c r="AR89" i="8" l="1"/>
  <c r="AS155" i="8"/>
  <c r="AL95" i="4"/>
  <c r="AQ100" i="4"/>
  <c r="AL208" i="2"/>
  <c r="AT198" i="9"/>
  <c r="AT144" i="9" s="1"/>
  <c r="AT142" i="9" s="1"/>
  <c r="AU120" i="9"/>
  <c r="AR48" i="8"/>
  <c r="AR46" i="8" s="1"/>
  <c r="AR191" i="8"/>
  <c r="AR66" i="8"/>
  <c r="AR75" i="8"/>
  <c r="AR99" i="8"/>
  <c r="AR15" i="8"/>
  <c r="AM52" i="2"/>
  <c r="AM192" i="2" s="1"/>
  <c r="AM76" i="2"/>
  <c r="AM99" i="2" s="1"/>
  <c r="AM85" i="6" s="1"/>
  <c r="AM57" i="2"/>
  <c r="AM138" i="2"/>
  <c r="AM191" i="2" s="1"/>
  <c r="AM71" i="2"/>
  <c r="AN155" i="2" s="1"/>
  <c r="AM112" i="2"/>
  <c r="AL30" i="2"/>
  <c r="AL29" i="2" s="1"/>
  <c r="AL27" i="2" s="1"/>
  <c r="AL25" i="2" s="1"/>
  <c r="AL93" i="4" s="1"/>
  <c r="AM187" i="2"/>
  <c r="AR217" i="13" l="1"/>
  <c r="AR216" i="13" s="1"/>
  <c r="AR212" i="13" s="1"/>
  <c r="AR119" i="6"/>
  <c r="AR118" i="6" s="1"/>
  <c r="AM181" i="13"/>
  <c r="AM37" i="13" s="1"/>
  <c r="AL94" i="4"/>
  <c r="AM89" i="2"/>
  <c r="AU124" i="9"/>
  <c r="AU132" i="9"/>
  <c r="AT145" i="9"/>
  <c r="AT51" i="9"/>
  <c r="AT49" i="9" s="1"/>
  <c r="AT199" i="9"/>
  <c r="AR98" i="8"/>
  <c r="AR9" i="8" s="1"/>
  <c r="AS169" i="8"/>
  <c r="AS127" i="6" s="1"/>
  <c r="AR7" i="8"/>
  <c r="AR12" i="8"/>
  <c r="AR11" i="8" s="1"/>
  <c r="AS154" i="8"/>
  <c r="AS43" i="8" s="1"/>
  <c r="AM98" i="2"/>
  <c r="AM84" i="6"/>
  <c r="AM48" i="2"/>
  <c r="AM46" i="2" s="1"/>
  <c r="AM15" i="2"/>
  <c r="AM75" i="2"/>
  <c r="AM66" i="2"/>
  <c r="AS227" i="13" l="1"/>
  <c r="AM80" i="6"/>
  <c r="AR114" i="6"/>
  <c r="AM180" i="13"/>
  <c r="AM176" i="13" s="1"/>
  <c r="AM36" i="13"/>
  <c r="AM32" i="13" s="1"/>
  <c r="AR88" i="8"/>
  <c r="AR83" i="8" s="1"/>
  <c r="AR84" i="8" s="1"/>
  <c r="AS65" i="8" s="1"/>
  <c r="AT200" i="9"/>
  <c r="AT116" i="9" s="1"/>
  <c r="AU137" i="9"/>
  <c r="AT31" i="9"/>
  <c r="AU128" i="9"/>
  <c r="AU121" i="9"/>
  <c r="AR6" i="8"/>
  <c r="AR17" i="8" s="1"/>
  <c r="AR19" i="8" s="1"/>
  <c r="AR42" i="8" s="1"/>
  <c r="AS170" i="8"/>
  <c r="AS168" i="8" s="1"/>
  <c r="AM88" i="2"/>
  <c r="AN169" i="2"/>
  <c r="AN93" i="6" s="1"/>
  <c r="AN154" i="2"/>
  <c r="AN43" i="2" s="1"/>
  <c r="AM12" i="2"/>
  <c r="AM11" i="2" s="1"/>
  <c r="AM7" i="2"/>
  <c r="AM9" i="2"/>
  <c r="AN191" i="13" l="1"/>
  <c r="AN45" i="13" s="1"/>
  <c r="AR26" i="8"/>
  <c r="AR36" i="8"/>
  <c r="AR35" i="8" s="1"/>
  <c r="AR61" i="8" s="1"/>
  <c r="AU141" i="9"/>
  <c r="AU147" i="9"/>
  <c r="AT201" i="9"/>
  <c r="AU190" i="9"/>
  <c r="AT207" i="9"/>
  <c r="AT208" i="9" s="1"/>
  <c r="AT53" i="9"/>
  <c r="AT45" i="9" s="1"/>
  <c r="AT55" i="9" s="1"/>
  <c r="AT59" i="9" s="1"/>
  <c r="AT117" i="9"/>
  <c r="AS104" i="8"/>
  <c r="AS81" i="8"/>
  <c r="AS171" i="8"/>
  <c r="AR21" i="8"/>
  <c r="AR114" i="8" s="1"/>
  <c r="AM36" i="2"/>
  <c r="AM83" i="2"/>
  <c r="AM84" i="2" s="1"/>
  <c r="AM6" i="2"/>
  <c r="AM17" i="2" s="1"/>
  <c r="AN170" i="2"/>
  <c r="AN168" i="2" s="1"/>
  <c r="AT107" i="4" l="1"/>
  <c r="AU187" i="9"/>
  <c r="AU52" i="9"/>
  <c r="AU192" i="9" s="1"/>
  <c r="AU76" i="9"/>
  <c r="AU143" i="9"/>
  <c r="AU138" i="9"/>
  <c r="AU71" i="9"/>
  <c r="AV155" i="9" s="1"/>
  <c r="AU57" i="9"/>
  <c r="AU112" i="9"/>
  <c r="AT30" i="9"/>
  <c r="AT29" i="9" s="1"/>
  <c r="AT27" i="9" s="1"/>
  <c r="AT25" i="9" s="1"/>
  <c r="AT105" i="4" s="1"/>
  <c r="AR188" i="8"/>
  <c r="AR193" i="8" s="1"/>
  <c r="AR194" i="8" s="1"/>
  <c r="AS125" i="8"/>
  <c r="AS80" i="8"/>
  <c r="AS103" i="8" s="1"/>
  <c r="AN104" i="2"/>
  <c r="AN81" i="2"/>
  <c r="AN171" i="2"/>
  <c r="AN80" i="2" s="1"/>
  <c r="AN103" i="2" s="1"/>
  <c r="AM19" i="2"/>
  <c r="AM42" i="2" s="1"/>
  <c r="AM35" i="2" s="1"/>
  <c r="AN65" i="2"/>
  <c r="AM26" i="2"/>
  <c r="AT106" i="4" l="1"/>
  <c r="AU191" i="9"/>
  <c r="AU89" i="9"/>
  <c r="AU66" i="9"/>
  <c r="AU48" i="9"/>
  <c r="AU46" i="9" s="1"/>
  <c r="AU75" i="9"/>
  <c r="AU99" i="9"/>
  <c r="AU15" i="9"/>
  <c r="AR206" i="8"/>
  <c r="AR115" i="8"/>
  <c r="AR50" i="8"/>
  <c r="AR195" i="8"/>
  <c r="AS79" i="8"/>
  <c r="AS78" i="8" s="1"/>
  <c r="AS102" i="8"/>
  <c r="AN79" i="2"/>
  <c r="AN78" i="2" s="1"/>
  <c r="AN102" i="2"/>
  <c r="AN75" i="6" s="1"/>
  <c r="AM61" i="2"/>
  <c r="AM188" i="2"/>
  <c r="AM193" i="2" s="1"/>
  <c r="AM21" i="2"/>
  <c r="AM114" i="2" s="1"/>
  <c r="AN125" i="2"/>
  <c r="AU253" i="13" l="1"/>
  <c r="AU252" i="13" s="1"/>
  <c r="AU248" i="13" s="1"/>
  <c r="AU153" i="6"/>
  <c r="AU152" i="6" s="1"/>
  <c r="AS207" i="13"/>
  <c r="AS109" i="6"/>
  <c r="AN171" i="13"/>
  <c r="AN27" i="13" s="1"/>
  <c r="AU98" i="9"/>
  <c r="AU9" i="9" s="1"/>
  <c r="AV154" i="9"/>
  <c r="AV43" i="9" s="1"/>
  <c r="AV169" i="9"/>
  <c r="AV161" i="6" s="1"/>
  <c r="AU12" i="9"/>
  <c r="AU11" i="9" s="1"/>
  <c r="AU7" i="9"/>
  <c r="AS101" i="8"/>
  <c r="AR196" i="8"/>
  <c r="AR129" i="8" s="1"/>
  <c r="AR126" i="8" s="1"/>
  <c r="AN101" i="2"/>
  <c r="AM194" i="2"/>
  <c r="AM195" i="2" s="1"/>
  <c r="AU148" i="6" l="1"/>
  <c r="AV263" i="13"/>
  <c r="AU88" i="9"/>
  <c r="AU36" i="9" s="1"/>
  <c r="AU6" i="9"/>
  <c r="AU17" i="9" s="1"/>
  <c r="AV170" i="9"/>
  <c r="AV168" i="9" s="1"/>
  <c r="AV171" i="9" s="1"/>
  <c r="AV125" i="9" s="1"/>
  <c r="AR197" i="8"/>
  <c r="AR130" i="8"/>
  <c r="AM196" i="2"/>
  <c r="AM129" i="2" s="1"/>
  <c r="AM126" i="2" s="1"/>
  <c r="AM50" i="2"/>
  <c r="AM206" i="2"/>
  <c r="AM115" i="2"/>
  <c r="AU83" i="9" l="1"/>
  <c r="AU84" i="9" s="1"/>
  <c r="AU26" i="9" s="1"/>
  <c r="AV81" i="9"/>
  <c r="AV104" i="9"/>
  <c r="AV80" i="9"/>
  <c r="AV103" i="9" s="1"/>
  <c r="AV102" i="9" s="1"/>
  <c r="AU19" i="9"/>
  <c r="AU42" i="9" s="1"/>
  <c r="AU35" i="9" s="1"/>
  <c r="AS120" i="8"/>
  <c r="AR198" i="8"/>
  <c r="AR144" i="8" s="1"/>
  <c r="AR142" i="8" s="1"/>
  <c r="AM130" i="2"/>
  <c r="AM197" i="2"/>
  <c r="AV243" i="13" l="1"/>
  <c r="AV143" i="6"/>
  <c r="AV65" i="9"/>
  <c r="AV79" i="9"/>
  <c r="AV78" i="9" s="1"/>
  <c r="AU21" i="9"/>
  <c r="AU114" i="9" s="1"/>
  <c r="AU61" i="9"/>
  <c r="AU188" i="9"/>
  <c r="AU193" i="9" s="1"/>
  <c r="AV101" i="9"/>
  <c r="AS124" i="8"/>
  <c r="AS128" i="8" s="1"/>
  <c r="AS132" i="8"/>
  <c r="AR199" i="8"/>
  <c r="AR145" i="8"/>
  <c r="AR51" i="8"/>
  <c r="AR49" i="8" s="1"/>
  <c r="AM198" i="2"/>
  <c r="AM144" i="2" s="1"/>
  <c r="AM142" i="2" s="1"/>
  <c r="AN120" i="2"/>
  <c r="AU194" i="9" l="1"/>
  <c r="AU195" i="9" s="1"/>
  <c r="AS121" i="8"/>
  <c r="AS137" i="8"/>
  <c r="AR31" i="8"/>
  <c r="AR200" i="8"/>
  <c r="AR116" i="8" s="1"/>
  <c r="AN132" i="2"/>
  <c r="AN124" i="2"/>
  <c r="AN128" i="2" s="1"/>
  <c r="AM145" i="2"/>
  <c r="AM51" i="2"/>
  <c r="AM49" i="2" s="1"/>
  <c r="AM199" i="2"/>
  <c r="AU196" i="9" l="1"/>
  <c r="AU129" i="9" s="1"/>
  <c r="AU126" i="9" s="1"/>
  <c r="AU206" i="9"/>
  <c r="AU115" i="9"/>
  <c r="AU50" i="9"/>
  <c r="AS141" i="8"/>
  <c r="AS143" i="8" s="1"/>
  <c r="AS147" i="8"/>
  <c r="AR207" i="8"/>
  <c r="AR208" i="8" s="1"/>
  <c r="AR53" i="8"/>
  <c r="AR45" i="8" s="1"/>
  <c r="AR55" i="8" s="1"/>
  <c r="AR59" i="8" s="1"/>
  <c r="AR117" i="8"/>
  <c r="AR201" i="8"/>
  <c r="AS190" i="8"/>
  <c r="AM200" i="2"/>
  <c r="AM116" i="2" s="1"/>
  <c r="AN121" i="2"/>
  <c r="AN137" i="2"/>
  <c r="AM31" i="2"/>
  <c r="AR101" i="4" l="1"/>
  <c r="AU130" i="9"/>
  <c r="AU197" i="9"/>
  <c r="AS76" i="8"/>
  <c r="AS52" i="8"/>
  <c r="AS192" i="8" s="1"/>
  <c r="AS187" i="8"/>
  <c r="AS112" i="8"/>
  <c r="AR30" i="8"/>
  <c r="AR29" i="8" s="1"/>
  <c r="AR27" i="8" s="1"/>
  <c r="AR25" i="8" s="1"/>
  <c r="AR99" i="4" s="1"/>
  <c r="AS57" i="8"/>
  <c r="AS138" i="8"/>
  <c r="AS71" i="8"/>
  <c r="AM201" i="2"/>
  <c r="AN141" i="2"/>
  <c r="AN143" i="2" s="1"/>
  <c r="AN147" i="2"/>
  <c r="AN190" i="2"/>
  <c r="AM53" i="2"/>
  <c r="AM45" i="2" s="1"/>
  <c r="AM55" i="2" s="1"/>
  <c r="AM59" i="2" s="1"/>
  <c r="AM207" i="2"/>
  <c r="AM117" i="2"/>
  <c r="AS89" i="8" l="1"/>
  <c r="AT155" i="8"/>
  <c r="AM95" i="4"/>
  <c r="AR100" i="4"/>
  <c r="AM208" i="2"/>
  <c r="AN187" i="2"/>
  <c r="AU198" i="9"/>
  <c r="AU144" i="9" s="1"/>
  <c r="AU142" i="9" s="1"/>
  <c r="AV120" i="9"/>
  <c r="AS66" i="8"/>
  <c r="AS48" i="8"/>
  <c r="AS46" i="8" s="1"/>
  <c r="AS191" i="8"/>
  <c r="AS75" i="8"/>
  <c r="AS99" i="8"/>
  <c r="AS15" i="8"/>
  <c r="AN76" i="2"/>
  <c r="AN99" i="2" s="1"/>
  <c r="AN85" i="6" s="1"/>
  <c r="AN52" i="2"/>
  <c r="AN192" i="2" s="1"/>
  <c r="AN57" i="2"/>
  <c r="AM30" i="2"/>
  <c r="AM29" i="2" s="1"/>
  <c r="AM27" i="2" s="1"/>
  <c r="AM94" i="4" s="1"/>
  <c r="AN112" i="2"/>
  <c r="AN138" i="2"/>
  <c r="AN71" i="2"/>
  <c r="AO155" i="2" s="1"/>
  <c r="AS217" i="13" l="1"/>
  <c r="AS216" i="13" s="1"/>
  <c r="AS212" i="13" s="1"/>
  <c r="AS119" i="6"/>
  <c r="AS118" i="6" s="1"/>
  <c r="AN181" i="13"/>
  <c r="AN37" i="13" s="1"/>
  <c r="AN89" i="2"/>
  <c r="AV124" i="9"/>
  <c r="AV132" i="9"/>
  <c r="AU145" i="9"/>
  <c r="AU51" i="9"/>
  <c r="AU49" i="9" s="1"/>
  <c r="AU199" i="9"/>
  <c r="AS98" i="8"/>
  <c r="AS9" i="8" s="1"/>
  <c r="AT169" i="8"/>
  <c r="AT127" i="6" s="1"/>
  <c r="AS7" i="8"/>
  <c r="AS12" i="8"/>
  <c r="AS11" i="8" s="1"/>
  <c r="AT154" i="8"/>
  <c r="AT43" i="8" s="1"/>
  <c r="AN98" i="2"/>
  <c r="AN84" i="6"/>
  <c r="AN66" i="2"/>
  <c r="AN191" i="2"/>
  <c r="AN48" i="2"/>
  <c r="AN46" i="2" s="1"/>
  <c r="AM25" i="2"/>
  <c r="AM93" i="4" s="1"/>
  <c r="AN15" i="2"/>
  <c r="AN75" i="2"/>
  <c r="AT227" i="13" l="1"/>
  <c r="AN80" i="6"/>
  <c r="AS114" i="6"/>
  <c r="AN180" i="13"/>
  <c r="AN176" i="13" s="1"/>
  <c r="AN36" i="13"/>
  <c r="AN32" i="13" s="1"/>
  <c r="AU200" i="9"/>
  <c r="AU116" i="9" s="1"/>
  <c r="AV137" i="9"/>
  <c r="AU31" i="9"/>
  <c r="AV128" i="9"/>
  <c r="AV121" i="9"/>
  <c r="AS6" i="8"/>
  <c r="AS17" i="8" s="1"/>
  <c r="AS88" i="8"/>
  <c r="AS83" i="8" s="1"/>
  <c r="AS84" i="8" s="1"/>
  <c r="AT65" i="8" s="1"/>
  <c r="AT170" i="8"/>
  <c r="AT168" i="8" s="1"/>
  <c r="AN88" i="2"/>
  <c r="AN9" i="2"/>
  <c r="AO169" i="2"/>
  <c r="AO93" i="6" s="1"/>
  <c r="AO154" i="2"/>
  <c r="AO43" i="2" s="1"/>
  <c r="AN12" i="2"/>
  <c r="AN11" i="2" s="1"/>
  <c r="AN7" i="2"/>
  <c r="AO191" i="13" l="1"/>
  <c r="AO45" i="13" s="1"/>
  <c r="AV147" i="9"/>
  <c r="AV141" i="9"/>
  <c r="AU201" i="9"/>
  <c r="AV190" i="9"/>
  <c r="AU207" i="9"/>
  <c r="AU208" i="9" s="1"/>
  <c r="AU53" i="9"/>
  <c r="AU45" i="9" s="1"/>
  <c r="AU55" i="9" s="1"/>
  <c r="AU59" i="9" s="1"/>
  <c r="AU117" i="9"/>
  <c r="AS36" i="8"/>
  <c r="AS26" i="8"/>
  <c r="AN6" i="2"/>
  <c r="AN17" i="2" s="1"/>
  <c r="AN19" i="2" s="1"/>
  <c r="AN42" i="2" s="1"/>
  <c r="AT104" i="8"/>
  <c r="AT81" i="8"/>
  <c r="AT171" i="8"/>
  <c r="AS19" i="8"/>
  <c r="AS42" i="8" s="1"/>
  <c r="AO170" i="2"/>
  <c r="AO168" i="2" s="1"/>
  <c r="AN36" i="2"/>
  <c r="AN83" i="2"/>
  <c r="AN84" i="2" s="1"/>
  <c r="AU107" i="4" l="1"/>
  <c r="AS35" i="8"/>
  <c r="AS61" i="8" s="1"/>
  <c r="AV143" i="9"/>
  <c r="AV138" i="9"/>
  <c r="AV71" i="9"/>
  <c r="AW155" i="9" s="1"/>
  <c r="AV76" i="9"/>
  <c r="AV52" i="9"/>
  <c r="AV192" i="9" s="1"/>
  <c r="AV187" i="9"/>
  <c r="AU30" i="9"/>
  <c r="AU29" i="9" s="1"/>
  <c r="AU27" i="9" s="1"/>
  <c r="AU25" i="9" s="1"/>
  <c r="AU105" i="4" s="1"/>
  <c r="AV112" i="9"/>
  <c r="AV57" i="9"/>
  <c r="AS21" i="8"/>
  <c r="AS114" i="8" s="1"/>
  <c r="AT125" i="8"/>
  <c r="AT80" i="8"/>
  <c r="AT103" i="8" s="1"/>
  <c r="AO104" i="2"/>
  <c r="AO81" i="2"/>
  <c r="AN21" i="2"/>
  <c r="AN114" i="2" s="1"/>
  <c r="AO171" i="2"/>
  <c r="AO80" i="2" s="1"/>
  <c r="AO103" i="2" s="1"/>
  <c r="AN26" i="2"/>
  <c r="AO65" i="2"/>
  <c r="AN35" i="2"/>
  <c r="AV191" i="9" l="1"/>
  <c r="AS188" i="8"/>
  <c r="AS193" i="8" s="1"/>
  <c r="AS194" i="8" s="1"/>
  <c r="AU106" i="4"/>
  <c r="AV99" i="9"/>
  <c r="AV15" i="9"/>
  <c r="AV75" i="9"/>
  <c r="AV89" i="9"/>
  <c r="AV66" i="9"/>
  <c r="AV48" i="9"/>
  <c r="AV46" i="9" s="1"/>
  <c r="AT79" i="8"/>
  <c r="AT78" i="8" s="1"/>
  <c r="AT102" i="8"/>
  <c r="AO79" i="2"/>
  <c r="AO78" i="2" s="1"/>
  <c r="AO102" i="2"/>
  <c r="AO75" i="6" s="1"/>
  <c r="AN188" i="2"/>
  <c r="AN193" i="2" s="1"/>
  <c r="AN61" i="2"/>
  <c r="AO125" i="2"/>
  <c r="AV253" i="13" l="1"/>
  <c r="AV252" i="13" s="1"/>
  <c r="AV248" i="13" s="1"/>
  <c r="AV153" i="6"/>
  <c r="AV152" i="6" s="1"/>
  <c r="AT207" i="13"/>
  <c r="AT109" i="6"/>
  <c r="AO171" i="13"/>
  <c r="AO27" i="13" s="1"/>
  <c r="AV12" i="9"/>
  <c r="AV11" i="9" s="1"/>
  <c r="AV7" i="9"/>
  <c r="AW154" i="9"/>
  <c r="AW43" i="9" s="1"/>
  <c r="AW169" i="9"/>
  <c r="AW161" i="6" s="1"/>
  <c r="AV98" i="9"/>
  <c r="AV9" i="9" s="1"/>
  <c r="AT101" i="8"/>
  <c r="AS206" i="8"/>
  <c r="AS115" i="8"/>
  <c r="AS50" i="8"/>
  <c r="AS195" i="8"/>
  <c r="AO101" i="2"/>
  <c r="AN194" i="2"/>
  <c r="AV148" i="6" l="1"/>
  <c r="AW263" i="13"/>
  <c r="AV88" i="9"/>
  <c r="AV83" i="9" s="1"/>
  <c r="AV84" i="9" s="1"/>
  <c r="AW170" i="9"/>
  <c r="AW168" i="9" s="1"/>
  <c r="AV6" i="9"/>
  <c r="AV17" i="9" s="1"/>
  <c r="AS196" i="8"/>
  <c r="AS129" i="8" s="1"/>
  <c r="AS126" i="8" s="1"/>
  <c r="AN115" i="2"/>
  <c r="AN206" i="2"/>
  <c r="AN50" i="2"/>
  <c r="AN195" i="2"/>
  <c r="AV36" i="9" l="1"/>
  <c r="AV19" i="9"/>
  <c r="AV42" i="9" s="1"/>
  <c r="AV35" i="9" s="1"/>
  <c r="AW104" i="9"/>
  <c r="AW81" i="9"/>
  <c r="AW171" i="9"/>
  <c r="AV26" i="9"/>
  <c r="AW65" i="9"/>
  <c r="AS197" i="8"/>
  <c r="AS130" i="8"/>
  <c r="AN196" i="2"/>
  <c r="AN129" i="2" s="1"/>
  <c r="AN126" i="2" s="1"/>
  <c r="AV61" i="9" l="1"/>
  <c r="AV188" i="9"/>
  <c r="AV193" i="9" s="1"/>
  <c r="AW80" i="9"/>
  <c r="AW125" i="9"/>
  <c r="AV21" i="9"/>
  <c r="AV114" i="9" s="1"/>
  <c r="AT120" i="8"/>
  <c r="AS198" i="8"/>
  <c r="AS144" i="8" s="1"/>
  <c r="AS142" i="8" s="1"/>
  <c r="AN197" i="2"/>
  <c r="AN130" i="2"/>
  <c r="AW103" i="9" l="1"/>
  <c r="AW102" i="9" s="1"/>
  <c r="AW79" i="9"/>
  <c r="AW78" i="9" s="1"/>
  <c r="AV194" i="9"/>
  <c r="AV195" i="9" s="1"/>
  <c r="AT124" i="8"/>
  <c r="AT128" i="8" s="1"/>
  <c r="AT132" i="8"/>
  <c r="AS145" i="8"/>
  <c r="AS51" i="8"/>
  <c r="AS49" i="8" s="1"/>
  <c r="AS199" i="8"/>
  <c r="AO120" i="2"/>
  <c r="AN198" i="2"/>
  <c r="AN144" i="2" s="1"/>
  <c r="AN142" i="2" s="1"/>
  <c r="AW243" i="13" l="1"/>
  <c r="AW143" i="6"/>
  <c r="AV196" i="9"/>
  <c r="AV129" i="9" s="1"/>
  <c r="AV126" i="9" s="1"/>
  <c r="AV115" i="9"/>
  <c r="AV50" i="9"/>
  <c r="AV206" i="9"/>
  <c r="AW101" i="9"/>
  <c r="AT121" i="8"/>
  <c r="AS200" i="8"/>
  <c r="AS116" i="8" s="1"/>
  <c r="AT137" i="8"/>
  <c r="AS31" i="8"/>
  <c r="AN145" i="2"/>
  <c r="AN51" i="2"/>
  <c r="AN49" i="2" s="1"/>
  <c r="AO132" i="2"/>
  <c r="AO124" i="2"/>
  <c r="AO128" i="2" s="1"/>
  <c r="AN199" i="2"/>
  <c r="AV130" i="9" l="1"/>
  <c r="AV197" i="9"/>
  <c r="AT141" i="8"/>
  <c r="AT143" i="8" s="1"/>
  <c r="AT147" i="8"/>
  <c r="AS201" i="8"/>
  <c r="AT190" i="8"/>
  <c r="AS207" i="8"/>
  <c r="AS208" i="8" s="1"/>
  <c r="AS53" i="8"/>
  <c r="AS45" i="8" s="1"/>
  <c r="AS55" i="8" s="1"/>
  <c r="AS59" i="8" s="1"/>
  <c r="AS117" i="8"/>
  <c r="AO121" i="2"/>
  <c r="AN200" i="2"/>
  <c r="AN116" i="2" s="1"/>
  <c r="AO137" i="2"/>
  <c r="AN31" i="2"/>
  <c r="AS101" i="4" l="1"/>
  <c r="AT187" i="8"/>
  <c r="AV198" i="9"/>
  <c r="AV144" i="9" s="1"/>
  <c r="AV142" i="9" s="1"/>
  <c r="AW120" i="9"/>
  <c r="AT138" i="8"/>
  <c r="AT71" i="8"/>
  <c r="AT76" i="8"/>
  <c r="AT52" i="8"/>
  <c r="AT192" i="8" s="1"/>
  <c r="AT57" i="8"/>
  <c r="AT112" i="8"/>
  <c r="AS30" i="8"/>
  <c r="AS29" i="8" s="1"/>
  <c r="AS27" i="8" s="1"/>
  <c r="AS25" i="8" s="1"/>
  <c r="AS99" i="4" s="1"/>
  <c r="AN53" i="2"/>
  <c r="AN45" i="2" s="1"/>
  <c r="AN55" i="2" s="1"/>
  <c r="AN59" i="2" s="1"/>
  <c r="AN207" i="2"/>
  <c r="AN117" i="2"/>
  <c r="AO190" i="2"/>
  <c r="AN201" i="2"/>
  <c r="AO147" i="2"/>
  <c r="AO141" i="2"/>
  <c r="AO143" i="2" s="1"/>
  <c r="AT89" i="8" l="1"/>
  <c r="AU155" i="8"/>
  <c r="AN95" i="4"/>
  <c r="AS100" i="4"/>
  <c r="AN208" i="2"/>
  <c r="AW124" i="9"/>
  <c r="AW132" i="9"/>
  <c r="AV145" i="9"/>
  <c r="AV51" i="9"/>
  <c r="AV49" i="9" s="1"/>
  <c r="AV199" i="9"/>
  <c r="AT75" i="8"/>
  <c r="AT99" i="8"/>
  <c r="AT15" i="8"/>
  <c r="AT66" i="8"/>
  <c r="AT48" i="8"/>
  <c r="AT46" i="8" s="1"/>
  <c r="AT191" i="8"/>
  <c r="AO138" i="2"/>
  <c r="AO71" i="2"/>
  <c r="AP155" i="2" s="1"/>
  <c r="AO57" i="2"/>
  <c r="AN30" i="2"/>
  <c r="AN29" i="2" s="1"/>
  <c r="AN27" i="2" s="1"/>
  <c r="AN25" i="2" s="1"/>
  <c r="AN93" i="4" s="1"/>
  <c r="AO112" i="2"/>
  <c r="AO76" i="2"/>
  <c r="AO99" i="2" s="1"/>
  <c r="AO85" i="6" s="1"/>
  <c r="AO52" i="2"/>
  <c r="AO192" i="2" s="1"/>
  <c r="AO187" i="2"/>
  <c r="AT217" i="13" l="1"/>
  <c r="AT216" i="13" s="1"/>
  <c r="AT212" i="13" s="1"/>
  <c r="AT119" i="6"/>
  <c r="AT118" i="6" s="1"/>
  <c r="AO181" i="13"/>
  <c r="AO37" i="13" s="1"/>
  <c r="AN94" i="4"/>
  <c r="AO89" i="2"/>
  <c r="AV200" i="9"/>
  <c r="AV116" i="9" s="1"/>
  <c r="AW137" i="9"/>
  <c r="AV31" i="9"/>
  <c r="AW128" i="9"/>
  <c r="AW121" i="9"/>
  <c r="AT98" i="8"/>
  <c r="AT9" i="8" s="1"/>
  <c r="AU169" i="8"/>
  <c r="AU127" i="6" s="1"/>
  <c r="AT7" i="8"/>
  <c r="AT12" i="8"/>
  <c r="AT11" i="8" s="1"/>
  <c r="AU154" i="8"/>
  <c r="AU43" i="8" s="1"/>
  <c r="AO98" i="2"/>
  <c r="AO66" i="2"/>
  <c r="AO191" i="2"/>
  <c r="AO15" i="2"/>
  <c r="AO75" i="2"/>
  <c r="AO48" i="2"/>
  <c r="AO46" i="2" s="1"/>
  <c r="AU227" i="13" l="1"/>
  <c r="AT114" i="6"/>
  <c r="AO84" i="6"/>
  <c r="AO180" i="13"/>
  <c r="AO176" i="13" s="1"/>
  <c r="AO36" i="13"/>
  <c r="AO32" i="13" s="1"/>
  <c r="AW147" i="9"/>
  <c r="AW141" i="9"/>
  <c r="AV201" i="9"/>
  <c r="AW190" i="9"/>
  <c r="AV53" i="9"/>
  <c r="AV45" i="9" s="1"/>
  <c r="AV55" i="9" s="1"/>
  <c r="AV59" i="9" s="1"/>
  <c r="AV207" i="9"/>
  <c r="AV208" i="9" s="1"/>
  <c r="AV117" i="9"/>
  <c r="AT6" i="8"/>
  <c r="AT17" i="8" s="1"/>
  <c r="AT19" i="8" s="1"/>
  <c r="AT42" i="8" s="1"/>
  <c r="AU170" i="8"/>
  <c r="AU168" i="8" s="1"/>
  <c r="AT88" i="8"/>
  <c r="AO88" i="2"/>
  <c r="AP169" i="2"/>
  <c r="AP93" i="6" s="1"/>
  <c r="AP154" i="2"/>
  <c r="AP43" i="2" s="1"/>
  <c r="AO9" i="2"/>
  <c r="AO12" i="2"/>
  <c r="AO11" i="2" s="1"/>
  <c r="AO7" i="2"/>
  <c r="AO80" i="6" l="1"/>
  <c r="AP191" i="13"/>
  <c r="AP45" i="13" s="1"/>
  <c r="AV107" i="4"/>
  <c r="AW57" i="9"/>
  <c r="AW187" i="9"/>
  <c r="AW143" i="9"/>
  <c r="AW138" i="9"/>
  <c r="AW48" i="9" s="1"/>
  <c r="AW46" i="9" s="1"/>
  <c r="AW71" i="9"/>
  <c r="AX155" i="9" s="1"/>
  <c r="AW52" i="9"/>
  <c r="AW192" i="9" s="1"/>
  <c r="AW76" i="9"/>
  <c r="AW112" i="9"/>
  <c r="AV30" i="9"/>
  <c r="AV29" i="9" s="1"/>
  <c r="AV27" i="9" s="1"/>
  <c r="AV25" i="9" s="1"/>
  <c r="AV105" i="4" s="1"/>
  <c r="AT83" i="8"/>
  <c r="AT84" i="8" s="1"/>
  <c r="AT36" i="8"/>
  <c r="AT35" i="8" s="1"/>
  <c r="AT61" i="8" s="1"/>
  <c r="AU104" i="8"/>
  <c r="AU81" i="8"/>
  <c r="AU171" i="8"/>
  <c r="AT21" i="8"/>
  <c r="AT114" i="8" s="1"/>
  <c r="AP170" i="2"/>
  <c r="AP168" i="2" s="1"/>
  <c r="AO6" i="2"/>
  <c r="AO17" i="2" s="1"/>
  <c r="AO19" i="2" s="1"/>
  <c r="AO42" i="2" s="1"/>
  <c r="AO36" i="2"/>
  <c r="AO83" i="2"/>
  <c r="AO84" i="2" s="1"/>
  <c r="AV106" i="4" l="1"/>
  <c r="AW89" i="9"/>
  <c r="AW66" i="9"/>
  <c r="AW191" i="9"/>
  <c r="AW99" i="9"/>
  <c r="AW75" i="9"/>
  <c r="AW15" i="9"/>
  <c r="AT188" i="8"/>
  <c r="AT193" i="8" s="1"/>
  <c r="AT194" i="8" s="1"/>
  <c r="AT26" i="8"/>
  <c r="AU65" i="8"/>
  <c r="AU125" i="8"/>
  <c r="AU80" i="8"/>
  <c r="AU103" i="8" s="1"/>
  <c r="AP104" i="2"/>
  <c r="AP81" i="2"/>
  <c r="AO35" i="2"/>
  <c r="AO21" i="2"/>
  <c r="AO114" i="2" s="1"/>
  <c r="AO26" i="2"/>
  <c r="AP65" i="2"/>
  <c r="AP171" i="2"/>
  <c r="AP80" i="2" s="1"/>
  <c r="AP103" i="2" s="1"/>
  <c r="AW253" i="13" l="1"/>
  <c r="AW252" i="13" s="1"/>
  <c r="AW248" i="13" s="1"/>
  <c r="AW153" i="6"/>
  <c r="AW152" i="6" s="1"/>
  <c r="AW98" i="9"/>
  <c r="AW9" i="9" s="1"/>
  <c r="AW12" i="9"/>
  <c r="AW11" i="9" s="1"/>
  <c r="AW7" i="9"/>
  <c r="AX154" i="9"/>
  <c r="AX43" i="9" s="1"/>
  <c r="AX169" i="9"/>
  <c r="AX161" i="6" s="1"/>
  <c r="AU79" i="8"/>
  <c r="AU78" i="8" s="1"/>
  <c r="AU102" i="8"/>
  <c r="AT206" i="8"/>
  <c r="AT115" i="8"/>
  <c r="AT50" i="8"/>
  <c r="AT195" i="8"/>
  <c r="AP79" i="2"/>
  <c r="AP78" i="2" s="1"/>
  <c r="AP102" i="2"/>
  <c r="AP75" i="6" s="1"/>
  <c r="AP125" i="2"/>
  <c r="AO188" i="2"/>
  <c r="AO193" i="2" s="1"/>
  <c r="AO61" i="2"/>
  <c r="AU207" i="13" l="1"/>
  <c r="AU109" i="6"/>
  <c r="AW148" i="6"/>
  <c r="AP171" i="13"/>
  <c r="AP27" i="13" s="1"/>
  <c r="AX263" i="13"/>
  <c r="AW88" i="9"/>
  <c r="AW36" i="9" s="1"/>
  <c r="AW6" i="9"/>
  <c r="AW17" i="9" s="1"/>
  <c r="AX170" i="9"/>
  <c r="AX168" i="9" s="1"/>
  <c r="AX171" i="9" s="1"/>
  <c r="AX125" i="9" s="1"/>
  <c r="AU101" i="8"/>
  <c r="AT196" i="8"/>
  <c r="AT129" i="8" s="1"/>
  <c r="AT126" i="8" s="1"/>
  <c r="AP101" i="2"/>
  <c r="AO194" i="2"/>
  <c r="AW83" i="9" l="1"/>
  <c r="AW84" i="9" s="1"/>
  <c r="AW26" i="9" s="1"/>
  <c r="AX81" i="9"/>
  <c r="AX104" i="9"/>
  <c r="AX80" i="9"/>
  <c r="AW19" i="9"/>
  <c r="AW42" i="9" s="1"/>
  <c r="AW35" i="9" s="1"/>
  <c r="AT197" i="8"/>
  <c r="AT130" i="8"/>
  <c r="AO50" i="2"/>
  <c r="AO115" i="2"/>
  <c r="AO206" i="2"/>
  <c r="AO195" i="2"/>
  <c r="AX79" i="9" l="1"/>
  <c r="AX78" i="9" s="1"/>
  <c r="AX65" i="9"/>
  <c r="AX103" i="9"/>
  <c r="AX102" i="9" s="1"/>
  <c r="AX143" i="6" s="1"/>
  <c r="AW61" i="9"/>
  <c r="AW188" i="9"/>
  <c r="AW193" i="9" s="1"/>
  <c r="AW21" i="9"/>
  <c r="AW114" i="9" s="1"/>
  <c r="AU120" i="8"/>
  <c r="AT198" i="8"/>
  <c r="AT144" i="8" s="1"/>
  <c r="AT142" i="8" s="1"/>
  <c r="AO196" i="2"/>
  <c r="AO129" i="2" s="1"/>
  <c r="AO126" i="2" s="1"/>
  <c r="AX101" i="9" l="1"/>
  <c r="AX243" i="13"/>
  <c r="AW194" i="9"/>
  <c r="AW195" i="9" s="1"/>
  <c r="AU124" i="8"/>
  <c r="AU128" i="8" s="1"/>
  <c r="AU132" i="8"/>
  <c r="AT145" i="8"/>
  <c r="AT51" i="8"/>
  <c r="AT49" i="8" s="1"/>
  <c r="AT199" i="8"/>
  <c r="AO130" i="2"/>
  <c r="AO197" i="2"/>
  <c r="AW196" i="9" l="1"/>
  <c r="AW129" i="9" s="1"/>
  <c r="AW126" i="9" s="1"/>
  <c r="AW115" i="9"/>
  <c r="AW50" i="9"/>
  <c r="AW206" i="9"/>
  <c r="AU121" i="8"/>
  <c r="AT200" i="8"/>
  <c r="AT116" i="8" s="1"/>
  <c r="AU137" i="8"/>
  <c r="AT31" i="8"/>
  <c r="AO198" i="2"/>
  <c r="AO144" i="2" s="1"/>
  <c r="AO142" i="2" s="1"/>
  <c r="AP120" i="2"/>
  <c r="AW130" i="9" l="1"/>
  <c r="AW197" i="9"/>
  <c r="AU141" i="8"/>
  <c r="AU143" i="8" s="1"/>
  <c r="AU147" i="8"/>
  <c r="AT201" i="8"/>
  <c r="AU190" i="8"/>
  <c r="AT207" i="8"/>
  <c r="AT208" i="8" s="1"/>
  <c r="AT53" i="8"/>
  <c r="AT45" i="8" s="1"/>
  <c r="AT55" i="8" s="1"/>
  <c r="AT59" i="8" s="1"/>
  <c r="AT117" i="8"/>
  <c r="AP124" i="2"/>
  <c r="AP128" i="2" s="1"/>
  <c r="AP132" i="2"/>
  <c r="AO145" i="2"/>
  <c r="AO51" i="2"/>
  <c r="AO49" i="2" s="1"/>
  <c r="AO199" i="2"/>
  <c r="AT101" i="4" l="1"/>
  <c r="AU187" i="8"/>
  <c r="AW198" i="9"/>
  <c r="AW144" i="9" s="1"/>
  <c r="AW142" i="9" s="1"/>
  <c r="AX120" i="9"/>
  <c r="AU138" i="8"/>
  <c r="AU71" i="8"/>
  <c r="AU76" i="8"/>
  <c r="AU52" i="8"/>
  <c r="AU192" i="8" s="1"/>
  <c r="AU112" i="8"/>
  <c r="AT30" i="8"/>
  <c r="AT29" i="8" s="1"/>
  <c r="AT27" i="8" s="1"/>
  <c r="AT25" i="8" s="1"/>
  <c r="AT99" i="4" s="1"/>
  <c r="AU57" i="8"/>
  <c r="AO200" i="2"/>
  <c r="AO116" i="2" s="1"/>
  <c r="AP137" i="2"/>
  <c r="AO31" i="2"/>
  <c r="AP121" i="2"/>
  <c r="AU89" i="8" l="1"/>
  <c r="AV155" i="8"/>
  <c r="AT100" i="4"/>
  <c r="AW199" i="9"/>
  <c r="AW200" i="9" s="1"/>
  <c r="AW116" i="9" s="1"/>
  <c r="AX124" i="9"/>
  <c r="AX132" i="9"/>
  <c r="AW145" i="9"/>
  <c r="AW51" i="9"/>
  <c r="AW49" i="9" s="1"/>
  <c r="AU66" i="8"/>
  <c r="AU48" i="8"/>
  <c r="AU46" i="8" s="1"/>
  <c r="AU191" i="8"/>
  <c r="AU75" i="8"/>
  <c r="AU99" i="8"/>
  <c r="AU15" i="8"/>
  <c r="AO207" i="2"/>
  <c r="AO53" i="2"/>
  <c r="AO45" i="2" s="1"/>
  <c r="AO55" i="2" s="1"/>
  <c r="AO59" i="2" s="1"/>
  <c r="AO117" i="2"/>
  <c r="AP147" i="2"/>
  <c r="AP141" i="2"/>
  <c r="AP143" i="2" s="1"/>
  <c r="AP190" i="2"/>
  <c r="AO201" i="2"/>
  <c r="AU217" i="13" l="1"/>
  <c r="AU216" i="13" s="1"/>
  <c r="AU212" i="13" s="1"/>
  <c r="AU119" i="6"/>
  <c r="AU118" i="6" s="1"/>
  <c r="AO95" i="4"/>
  <c r="AO208" i="2"/>
  <c r="AW201" i="9"/>
  <c r="AX137" i="9"/>
  <c r="AW31" i="9"/>
  <c r="AW207" i="9"/>
  <c r="AW208" i="9" s="1"/>
  <c r="AW53" i="9"/>
  <c r="AW45" i="9" s="1"/>
  <c r="AW55" i="9" s="1"/>
  <c r="AW59" i="9" s="1"/>
  <c r="AW117" i="9"/>
  <c r="AX128" i="9"/>
  <c r="AX121" i="9"/>
  <c r="AU98" i="8"/>
  <c r="AU9" i="8" s="1"/>
  <c r="AV169" i="8"/>
  <c r="AV127" i="6" s="1"/>
  <c r="AU7" i="8"/>
  <c r="AU12" i="8"/>
  <c r="AU11" i="8" s="1"/>
  <c r="AV154" i="8"/>
  <c r="AV43" i="8" s="1"/>
  <c r="AP57" i="2"/>
  <c r="AO30" i="2"/>
  <c r="AO29" i="2" s="1"/>
  <c r="AO27" i="2" s="1"/>
  <c r="AO25" i="2" s="1"/>
  <c r="AO93" i="4" s="1"/>
  <c r="AP112" i="2"/>
  <c r="AP187" i="2"/>
  <c r="AP138" i="2"/>
  <c r="AP71" i="2"/>
  <c r="AQ155" i="2" s="1"/>
  <c r="AP52" i="2"/>
  <c r="AP192" i="2" s="1"/>
  <c r="AP76" i="2"/>
  <c r="AP99" i="2" s="1"/>
  <c r="AP85" i="6" s="1"/>
  <c r="AV227" i="13" l="1"/>
  <c r="AU114" i="6"/>
  <c r="AP181" i="13"/>
  <c r="AP37" i="13" s="1"/>
  <c r="AW107" i="4"/>
  <c r="AO94" i="4"/>
  <c r="AX187" i="9"/>
  <c r="AP89" i="2"/>
  <c r="AX190" i="9"/>
  <c r="AX112" i="9"/>
  <c r="AW30" i="9"/>
  <c r="AW29" i="9" s="1"/>
  <c r="AW27" i="9" s="1"/>
  <c r="AW25" i="9" s="1"/>
  <c r="AW105" i="4" s="1"/>
  <c r="AX57" i="9"/>
  <c r="AX141" i="9"/>
  <c r="AX147" i="9"/>
  <c r="AU88" i="8"/>
  <c r="AU36" i="8" s="1"/>
  <c r="AU6" i="8"/>
  <c r="AU17" i="8" s="1"/>
  <c r="AU19" i="8" s="1"/>
  <c r="AU42" i="8" s="1"/>
  <c r="AV170" i="8"/>
  <c r="AV168" i="8" s="1"/>
  <c r="AP98" i="2"/>
  <c r="AP75" i="2"/>
  <c r="AP15" i="2"/>
  <c r="AP66" i="2"/>
  <c r="AP191" i="2"/>
  <c r="AP48" i="2"/>
  <c r="AP46" i="2" s="1"/>
  <c r="AP84" i="6" l="1"/>
  <c r="AP180" i="13"/>
  <c r="AP176" i="13" s="1"/>
  <c r="AP36" i="13"/>
  <c r="AP32" i="13" s="1"/>
  <c r="AW106" i="4"/>
  <c r="AX52" i="9"/>
  <c r="AX192" i="9" s="1"/>
  <c r="AX76" i="9"/>
  <c r="AX143" i="9"/>
  <c r="AX138" i="9"/>
  <c r="AX48" i="9" s="1"/>
  <c r="AX46" i="9" s="1"/>
  <c r="AX71" i="9"/>
  <c r="AY155" i="9" s="1"/>
  <c r="AU83" i="8"/>
  <c r="AU84" i="8" s="1"/>
  <c r="AV65" i="8" s="1"/>
  <c r="AU35" i="8"/>
  <c r="AU61" i="8" s="1"/>
  <c r="AV104" i="8"/>
  <c r="AV81" i="8"/>
  <c r="AV171" i="8"/>
  <c r="AU21" i="8"/>
  <c r="AU114" i="8" s="1"/>
  <c r="AP88" i="2"/>
  <c r="AQ169" i="2"/>
  <c r="AQ93" i="6" s="1"/>
  <c r="AQ154" i="2"/>
  <c r="AQ43" i="2" s="1"/>
  <c r="AP9" i="2"/>
  <c r="AP7" i="2"/>
  <c r="AP12" i="2"/>
  <c r="AP11" i="2" s="1"/>
  <c r="AP80" i="6" l="1"/>
  <c r="AQ191" i="13"/>
  <c r="AQ45" i="13" s="1"/>
  <c r="AX191" i="9"/>
  <c r="AU188" i="8"/>
  <c r="AU193" i="8" s="1"/>
  <c r="AU194" i="8" s="1"/>
  <c r="AX89" i="9"/>
  <c r="AX66" i="9"/>
  <c r="AX99" i="9"/>
  <c r="AX75" i="9"/>
  <c r="AX15" i="9"/>
  <c r="AU26" i="8"/>
  <c r="AV125" i="8"/>
  <c r="AV80" i="8"/>
  <c r="AV103" i="8" s="1"/>
  <c r="AP6" i="2"/>
  <c r="AP17" i="2" s="1"/>
  <c r="AP19" i="2" s="1"/>
  <c r="AP42" i="2" s="1"/>
  <c r="AP36" i="2"/>
  <c r="AP83" i="2"/>
  <c r="AP84" i="2" s="1"/>
  <c r="AQ170" i="2"/>
  <c r="AQ168" i="2" s="1"/>
  <c r="AX253" i="13" l="1"/>
  <c r="AX252" i="13" s="1"/>
  <c r="AX248" i="13" s="1"/>
  <c r="AX153" i="6"/>
  <c r="AX152" i="6" s="1"/>
  <c r="AX98" i="9"/>
  <c r="AX9" i="9" s="1"/>
  <c r="AY154" i="9"/>
  <c r="AY43" i="9" s="1"/>
  <c r="AY169" i="9"/>
  <c r="AY161" i="6" s="1"/>
  <c r="AX12" i="9"/>
  <c r="AX11" i="9" s="1"/>
  <c r="AX7" i="9"/>
  <c r="AV79" i="8"/>
  <c r="AV78" i="8" s="1"/>
  <c r="AV102" i="8"/>
  <c r="AU206" i="8"/>
  <c r="AU115" i="8"/>
  <c r="AU50" i="8"/>
  <c r="AU195" i="8"/>
  <c r="AQ104" i="2"/>
  <c r="AQ81" i="2"/>
  <c r="AP35" i="2"/>
  <c r="AP61" i="2" s="1"/>
  <c r="AQ171" i="2"/>
  <c r="AQ80" i="2" s="1"/>
  <c r="AQ103" i="2" s="1"/>
  <c r="AP26" i="2"/>
  <c r="AQ65" i="2"/>
  <c r="AP21" i="2"/>
  <c r="AP114" i="2" s="1"/>
  <c r="AV207" i="13" l="1"/>
  <c r="AV109" i="6"/>
  <c r="AX148" i="6"/>
  <c r="AY263" i="13"/>
  <c r="AX6" i="9"/>
  <c r="AX17" i="9" s="1"/>
  <c r="AX19" i="9" s="1"/>
  <c r="AX42" i="9" s="1"/>
  <c r="AX88" i="9"/>
  <c r="AX36" i="9" s="1"/>
  <c r="AY170" i="9"/>
  <c r="AY168" i="9" s="1"/>
  <c r="AY171" i="9" s="1"/>
  <c r="AY80" i="9" s="1"/>
  <c r="AV101" i="8"/>
  <c r="AU196" i="8"/>
  <c r="AU129" i="8" s="1"/>
  <c r="AU126" i="8" s="1"/>
  <c r="AQ79" i="2"/>
  <c r="AQ78" i="2" s="1"/>
  <c r="AQ102" i="2"/>
  <c r="AQ75" i="6" s="1"/>
  <c r="AP188" i="2"/>
  <c r="AP193" i="2" s="1"/>
  <c r="AP194" i="2" s="1"/>
  <c r="AQ125" i="2"/>
  <c r="AQ171" i="13" l="1"/>
  <c r="AQ27" i="13" s="1"/>
  <c r="AX83" i="9"/>
  <c r="AX84" i="9" s="1"/>
  <c r="AX26" i="9" s="1"/>
  <c r="AY104" i="9"/>
  <c r="AY81" i="9"/>
  <c r="AY79" i="9" s="1"/>
  <c r="AY78" i="9" s="1"/>
  <c r="AY125" i="9"/>
  <c r="AX35" i="9"/>
  <c r="AX188" i="9" s="1"/>
  <c r="AX193" i="9" s="1"/>
  <c r="AX21" i="9"/>
  <c r="AX114" i="9" s="1"/>
  <c r="AY103" i="9"/>
  <c r="AU197" i="8"/>
  <c r="AU130" i="8"/>
  <c r="AQ101" i="2"/>
  <c r="AP50" i="2"/>
  <c r="AP115" i="2"/>
  <c r="AP206" i="2"/>
  <c r="AP195" i="2"/>
  <c r="AY102" i="9" l="1"/>
  <c r="AY101" i="9" s="1"/>
  <c r="AY65" i="9"/>
  <c r="AX61" i="9"/>
  <c r="AX194" i="9"/>
  <c r="AX195" i="9" s="1"/>
  <c r="AV120" i="8"/>
  <c r="AU198" i="8"/>
  <c r="AU144" i="8" s="1"/>
  <c r="AU142" i="8" s="1"/>
  <c r="AP196" i="2"/>
  <c r="AP129" i="2" s="1"/>
  <c r="AP126" i="2" s="1"/>
  <c r="AY243" i="13" l="1"/>
  <c r="AY143" i="6"/>
  <c r="AX196" i="9"/>
  <c r="AX129" i="9" s="1"/>
  <c r="AX126" i="9" s="1"/>
  <c r="AX50" i="9"/>
  <c r="AX206" i="9"/>
  <c r="AX115" i="9"/>
  <c r="AV124" i="8"/>
  <c r="AV128" i="8" s="1"/>
  <c r="AV132" i="8"/>
  <c r="AU145" i="8"/>
  <c r="AU51" i="8"/>
  <c r="AU49" i="8" s="1"/>
  <c r="AU199" i="8"/>
  <c r="AP130" i="2"/>
  <c r="AP197" i="2"/>
  <c r="AX130" i="9" l="1"/>
  <c r="AX197" i="9"/>
  <c r="AV121" i="8"/>
  <c r="AU200" i="8"/>
  <c r="AU116" i="8" s="1"/>
  <c r="AV137" i="8"/>
  <c r="AU31" i="8"/>
  <c r="AP198" i="2"/>
  <c r="AP144" i="2" s="1"/>
  <c r="AP142" i="2" s="1"/>
  <c r="AQ120" i="2"/>
  <c r="AX198" i="9" l="1"/>
  <c r="AX144" i="9" s="1"/>
  <c r="AX142" i="9" s="1"/>
  <c r="AY120" i="9"/>
  <c r="AV141" i="8"/>
  <c r="AV143" i="8" s="1"/>
  <c r="AV147" i="8"/>
  <c r="AU201" i="8"/>
  <c r="AV190" i="8"/>
  <c r="AU207" i="8"/>
  <c r="AU208" i="8" s="1"/>
  <c r="AU53" i="8"/>
  <c r="AU45" i="8" s="1"/>
  <c r="AU55" i="8" s="1"/>
  <c r="AU59" i="8" s="1"/>
  <c r="AU117" i="8"/>
  <c r="AQ124" i="2"/>
  <c r="AQ128" i="2" s="1"/>
  <c r="AQ132" i="2"/>
  <c r="AP145" i="2"/>
  <c r="AP51" i="2"/>
  <c r="AP49" i="2" s="1"/>
  <c r="AP199" i="2"/>
  <c r="AU101" i="4" l="1"/>
  <c r="AV187" i="8"/>
  <c r="AX199" i="9"/>
  <c r="AX200" i="9" s="1"/>
  <c r="AX116" i="9" s="1"/>
  <c r="AY124" i="9"/>
  <c r="AY132" i="9"/>
  <c r="AX145" i="9"/>
  <c r="AX51" i="9"/>
  <c r="AX49" i="9" s="1"/>
  <c r="AV76" i="8"/>
  <c r="AV52" i="8"/>
  <c r="AV192" i="8" s="1"/>
  <c r="AV138" i="8"/>
  <c r="AV71" i="8"/>
  <c r="AV112" i="8"/>
  <c r="AU30" i="8"/>
  <c r="AU29" i="8" s="1"/>
  <c r="AU27" i="8" s="1"/>
  <c r="AU25" i="8" s="1"/>
  <c r="AU99" i="4" s="1"/>
  <c r="AV57" i="8"/>
  <c r="AP200" i="2"/>
  <c r="AP116" i="2" s="1"/>
  <c r="AQ137" i="2"/>
  <c r="AP31" i="2"/>
  <c r="AQ121" i="2"/>
  <c r="AQ190" i="2" s="1"/>
  <c r="AV89" i="8" l="1"/>
  <c r="AW155" i="8"/>
  <c r="AU100" i="4"/>
  <c r="AX201" i="9"/>
  <c r="AY137" i="9"/>
  <c r="AX31" i="9"/>
  <c r="AX207" i="9"/>
  <c r="AX208" i="9" s="1"/>
  <c r="AX53" i="9"/>
  <c r="AX45" i="9" s="1"/>
  <c r="AX55" i="9" s="1"/>
  <c r="AX59" i="9" s="1"/>
  <c r="AX117" i="9"/>
  <c r="AY128" i="9"/>
  <c r="AY121" i="9"/>
  <c r="AV48" i="8"/>
  <c r="AV46" i="8" s="1"/>
  <c r="AV191" i="8"/>
  <c r="AV66" i="8"/>
  <c r="AV99" i="8"/>
  <c r="AV75" i="8"/>
  <c r="AV15" i="8"/>
  <c r="AQ141" i="2"/>
  <c r="AQ143" i="2" s="1"/>
  <c r="AQ147" i="2"/>
  <c r="AP53" i="2"/>
  <c r="AP45" i="2" s="1"/>
  <c r="AP55" i="2" s="1"/>
  <c r="AP59" i="2" s="1"/>
  <c r="AP207" i="2"/>
  <c r="AP117" i="2"/>
  <c r="AP201" i="2"/>
  <c r="AV217" i="13" l="1"/>
  <c r="AV216" i="13" s="1"/>
  <c r="AV212" i="13" s="1"/>
  <c r="AV119" i="6"/>
  <c r="AV118" i="6" s="1"/>
  <c r="AP95" i="4"/>
  <c r="AX107" i="4"/>
  <c r="AY187" i="9"/>
  <c r="AY190" i="9"/>
  <c r="AP208" i="2"/>
  <c r="AY112" i="9"/>
  <c r="AX30" i="9"/>
  <c r="AX29" i="9" s="1"/>
  <c r="AX27" i="9" s="1"/>
  <c r="AX25" i="9" s="1"/>
  <c r="AX105" i="4" s="1"/>
  <c r="AY57" i="9"/>
  <c r="AY141" i="9"/>
  <c r="AY147" i="9"/>
  <c r="AV98" i="8"/>
  <c r="AV9" i="8" s="1"/>
  <c r="AW169" i="8"/>
  <c r="AW127" i="6" s="1"/>
  <c r="AV7" i="8"/>
  <c r="AV12" i="8"/>
  <c r="AV11" i="8" s="1"/>
  <c r="AW154" i="8"/>
  <c r="AW43" i="8" s="1"/>
  <c r="AQ57" i="2"/>
  <c r="AQ138" i="2"/>
  <c r="AQ191" i="2" s="1"/>
  <c r="AQ71" i="2"/>
  <c r="AR155" i="2" s="1"/>
  <c r="AQ76" i="2"/>
  <c r="AQ99" i="2" s="1"/>
  <c r="AQ85" i="6" s="1"/>
  <c r="AQ52" i="2"/>
  <c r="AQ192" i="2" s="1"/>
  <c r="AQ187" i="2"/>
  <c r="AQ112" i="2"/>
  <c r="AP30" i="2"/>
  <c r="AP29" i="2" s="1"/>
  <c r="AP27" i="2" s="1"/>
  <c r="AP25" i="2" s="1"/>
  <c r="AP93" i="4" s="1"/>
  <c r="AW227" i="13" l="1"/>
  <c r="AV114" i="6"/>
  <c r="AQ181" i="13"/>
  <c r="AQ37" i="13" s="1"/>
  <c r="AP94" i="4"/>
  <c r="AX106" i="4"/>
  <c r="AQ89" i="2"/>
  <c r="AY52" i="9"/>
  <c r="AY192" i="9" s="1"/>
  <c r="AY76" i="9"/>
  <c r="AY143" i="9"/>
  <c r="AY138" i="9"/>
  <c r="AY48" i="9" s="1"/>
  <c r="AY46" i="9" s="1"/>
  <c r="AY71" i="9"/>
  <c r="AZ155" i="9" s="1"/>
  <c r="AV6" i="8"/>
  <c r="AV17" i="8" s="1"/>
  <c r="AV88" i="8"/>
  <c r="AV83" i="8" s="1"/>
  <c r="AV84" i="8" s="1"/>
  <c r="AW65" i="8" s="1"/>
  <c r="AW170" i="8"/>
  <c r="AW168" i="8" s="1"/>
  <c r="AQ98" i="2"/>
  <c r="AQ15" i="2"/>
  <c r="AQ75" i="2"/>
  <c r="AQ48" i="2"/>
  <c r="AQ46" i="2" s="1"/>
  <c r="AQ66" i="2"/>
  <c r="AQ84" i="6" l="1"/>
  <c r="AQ36" i="13"/>
  <c r="AQ32" i="13" s="1"/>
  <c r="AQ180" i="13"/>
  <c r="AQ176" i="13" s="1"/>
  <c r="AY89" i="9"/>
  <c r="AY66" i="9"/>
  <c r="AY191" i="9"/>
  <c r="AY99" i="9"/>
  <c r="AY75" i="9"/>
  <c r="AY15" i="9"/>
  <c r="AV26" i="8"/>
  <c r="AV36" i="8"/>
  <c r="AW104" i="8"/>
  <c r="AW81" i="8"/>
  <c r="AW171" i="8"/>
  <c r="AV19" i="8"/>
  <c r="AV42" i="8" s="1"/>
  <c r="AQ88" i="2"/>
  <c r="AR169" i="2"/>
  <c r="AR93" i="6" s="1"/>
  <c r="AR154" i="2"/>
  <c r="AR43" i="2" s="1"/>
  <c r="AQ12" i="2"/>
  <c r="AQ11" i="2" s="1"/>
  <c r="AQ7" i="2"/>
  <c r="AQ9" i="2"/>
  <c r="AY253" i="13" l="1"/>
  <c r="AY252" i="13" s="1"/>
  <c r="AY248" i="13" s="1"/>
  <c r="AY153" i="6"/>
  <c r="AY152" i="6" s="1"/>
  <c r="AQ80" i="6"/>
  <c r="AR191" i="13"/>
  <c r="AR45" i="13" s="1"/>
  <c r="AY98" i="9"/>
  <c r="AY9" i="9" s="1"/>
  <c r="AZ169" i="9"/>
  <c r="AZ161" i="6" s="1"/>
  <c r="AZ154" i="9"/>
  <c r="AY7" i="9"/>
  <c r="AY12" i="9"/>
  <c r="AY11" i="9" s="1"/>
  <c r="AV35" i="8"/>
  <c r="AV61" i="8" s="1"/>
  <c r="AV21" i="8"/>
  <c r="AV114" i="8" s="1"/>
  <c r="AW125" i="8"/>
  <c r="AW80" i="8"/>
  <c r="AW103" i="8" s="1"/>
  <c r="AR170" i="2"/>
  <c r="AR168" i="2" s="1"/>
  <c r="AQ6" i="2"/>
  <c r="AQ17" i="2" s="1"/>
  <c r="AQ36" i="2"/>
  <c r="AQ83" i="2"/>
  <c r="AQ84" i="2" s="1"/>
  <c r="AY148" i="6" l="1"/>
  <c r="AZ170" i="9"/>
  <c r="AZ168" i="9" s="1"/>
  <c r="AZ171" i="9" s="1"/>
  <c r="AZ125" i="9" s="1"/>
  <c r="AZ263" i="13"/>
  <c r="AY6" i="9"/>
  <c r="AY17" i="9" s="1"/>
  <c r="AY19" i="9" s="1"/>
  <c r="AY42" i="9" s="1"/>
  <c r="AY88" i="9"/>
  <c r="AY83" i="9" s="1"/>
  <c r="AY84" i="9" s="1"/>
  <c r="AZ43" i="9"/>
  <c r="AV188" i="8"/>
  <c r="AV193" i="8" s="1"/>
  <c r="AV194" i="8" s="1"/>
  <c r="AW79" i="8"/>
  <c r="AW78" i="8" s="1"/>
  <c r="AW102" i="8"/>
  <c r="AR104" i="2"/>
  <c r="AR81" i="2"/>
  <c r="AQ19" i="2"/>
  <c r="AQ42" i="2" s="1"/>
  <c r="AQ35" i="2" s="1"/>
  <c r="AQ26" i="2"/>
  <c r="AR65" i="2"/>
  <c r="AR171" i="2"/>
  <c r="AR80" i="2" s="1"/>
  <c r="AR103" i="2" s="1"/>
  <c r="AW207" i="13" l="1"/>
  <c r="AW109" i="6"/>
  <c r="AZ80" i="9"/>
  <c r="AZ103" i="9" s="1"/>
  <c r="AZ81" i="9"/>
  <c r="AZ104" i="9"/>
  <c r="AY36" i="9"/>
  <c r="AY35" i="9" s="1"/>
  <c r="AY21" i="9"/>
  <c r="AY114" i="9" s="1"/>
  <c r="AY26" i="9"/>
  <c r="AZ65" i="9"/>
  <c r="AW101" i="8"/>
  <c r="AV206" i="8"/>
  <c r="AV115" i="8"/>
  <c r="AV50" i="8"/>
  <c r="AV195" i="8"/>
  <c r="AR79" i="2"/>
  <c r="AR78" i="2" s="1"/>
  <c r="AR102" i="2"/>
  <c r="AR75" i="6" s="1"/>
  <c r="AR125" i="2"/>
  <c r="AQ188" i="2"/>
  <c r="AQ193" i="2" s="1"/>
  <c r="AQ61" i="2"/>
  <c r="AQ21" i="2"/>
  <c r="AQ114" i="2" s="1"/>
  <c r="AZ102" i="9" l="1"/>
  <c r="AZ243" i="13" s="1"/>
  <c r="AZ79" i="9"/>
  <c r="AZ78" i="9" s="1"/>
  <c r="AR171" i="13"/>
  <c r="AR27" i="13" s="1"/>
  <c r="AY61" i="9"/>
  <c r="AY188" i="9"/>
  <c r="AY193" i="9" s="1"/>
  <c r="AV196" i="8"/>
  <c r="AV129" i="8" s="1"/>
  <c r="AV126" i="8" s="1"/>
  <c r="AR101" i="2"/>
  <c r="AQ194" i="2"/>
  <c r="AZ101" i="9" l="1"/>
  <c r="AZ143" i="6"/>
  <c r="AY194" i="9"/>
  <c r="AY195" i="9" s="1"/>
  <c r="AV130" i="8"/>
  <c r="AV197" i="8"/>
  <c r="AQ206" i="2"/>
  <c r="AQ115" i="2"/>
  <c r="AQ50" i="2"/>
  <c r="AQ195" i="2"/>
  <c r="AY196" i="9" l="1"/>
  <c r="AY129" i="9" s="1"/>
  <c r="AY126" i="9" s="1"/>
  <c r="AY206" i="9"/>
  <c r="AY115" i="9"/>
  <c r="AY50" i="9"/>
  <c r="AW120" i="8"/>
  <c r="AV198" i="8"/>
  <c r="AV144" i="8" s="1"/>
  <c r="AV142" i="8" s="1"/>
  <c r="AQ196" i="2"/>
  <c r="AQ129" i="2" s="1"/>
  <c r="AQ126" i="2" s="1"/>
  <c r="AY130" i="9" l="1"/>
  <c r="AY197" i="9"/>
  <c r="AW124" i="8"/>
  <c r="AW128" i="8" s="1"/>
  <c r="AW132" i="8"/>
  <c r="AV199" i="8"/>
  <c r="AV145" i="8"/>
  <c r="AV51" i="8"/>
  <c r="AV49" i="8" s="1"/>
  <c r="AQ130" i="2"/>
  <c r="AQ197" i="2"/>
  <c r="AY198" i="9" l="1"/>
  <c r="AY144" i="9" s="1"/>
  <c r="AY142" i="9" s="1"/>
  <c r="AZ120" i="9"/>
  <c r="AW121" i="8"/>
  <c r="AW137" i="8"/>
  <c r="AV31" i="8"/>
  <c r="AV200" i="8"/>
  <c r="AV116" i="8" s="1"/>
  <c r="AR120" i="2"/>
  <c r="AQ198" i="2"/>
  <c r="AQ144" i="2" s="1"/>
  <c r="AQ142" i="2" s="1"/>
  <c r="AY199" i="9" l="1"/>
  <c r="AY200" i="9" s="1"/>
  <c r="AY116" i="9" s="1"/>
  <c r="AZ124" i="9"/>
  <c r="AZ132" i="9"/>
  <c r="AY145" i="9"/>
  <c r="AY51" i="9"/>
  <c r="AY49" i="9" s="1"/>
  <c r="AW141" i="8"/>
  <c r="AW143" i="8" s="1"/>
  <c r="AW147" i="8"/>
  <c r="AW190" i="8"/>
  <c r="AV207" i="8"/>
  <c r="AV208" i="8" s="1"/>
  <c r="AV53" i="8"/>
  <c r="AV45" i="8" s="1"/>
  <c r="AV55" i="8" s="1"/>
  <c r="AV59" i="8" s="1"/>
  <c r="AV117" i="8"/>
  <c r="AV201" i="8"/>
  <c r="AQ145" i="2"/>
  <c r="AQ51" i="2"/>
  <c r="AQ49" i="2" s="1"/>
  <c r="AR132" i="2"/>
  <c r="AR124" i="2"/>
  <c r="AR128" i="2" s="1"/>
  <c r="AQ199" i="2"/>
  <c r="AV101" i="4" l="1"/>
  <c r="AZ137" i="9"/>
  <c r="AY31" i="9"/>
  <c r="AY201" i="9"/>
  <c r="AY207" i="9"/>
  <c r="AY208" i="9" s="1"/>
  <c r="AY53" i="9"/>
  <c r="AY45" i="9" s="1"/>
  <c r="AY55" i="9" s="1"/>
  <c r="AY59" i="9" s="1"/>
  <c r="AY117" i="9"/>
  <c r="AZ128" i="9"/>
  <c r="AZ121" i="9"/>
  <c r="AW187" i="8"/>
  <c r="AW112" i="8"/>
  <c r="AV30" i="8"/>
  <c r="AV29" i="8" s="1"/>
  <c r="AV27" i="8" s="1"/>
  <c r="AV25" i="8" s="1"/>
  <c r="AV99" i="4" s="1"/>
  <c r="AW57" i="8"/>
  <c r="AW52" i="8"/>
  <c r="AW192" i="8" s="1"/>
  <c r="AW76" i="8"/>
  <c r="AW138" i="8"/>
  <c r="AW71" i="8"/>
  <c r="AR121" i="2"/>
  <c r="AQ200" i="2"/>
  <c r="AQ116" i="2" s="1"/>
  <c r="AR137" i="2"/>
  <c r="AQ31" i="2"/>
  <c r="AW89" i="8" l="1"/>
  <c r="AX155" i="8"/>
  <c r="AY107" i="4"/>
  <c r="AV100" i="4"/>
  <c r="AZ190" i="9"/>
  <c r="AZ112" i="9"/>
  <c r="AY30" i="9"/>
  <c r="AY29" i="9" s="1"/>
  <c r="AY27" i="9" s="1"/>
  <c r="AY25" i="9" s="1"/>
  <c r="AY105" i="4" s="1"/>
  <c r="AZ57" i="9"/>
  <c r="AZ187" i="9"/>
  <c r="AZ147" i="9"/>
  <c r="AZ141" i="9"/>
  <c r="AW99" i="8"/>
  <c r="AW75" i="8"/>
  <c r="AW15" i="8"/>
  <c r="AW66" i="8"/>
  <c r="AW48" i="8"/>
  <c r="AW46" i="8" s="1"/>
  <c r="AW191" i="8"/>
  <c r="AQ201" i="2"/>
  <c r="AQ53" i="2"/>
  <c r="AQ45" i="2" s="1"/>
  <c r="AQ55" i="2" s="1"/>
  <c r="AQ59" i="2" s="1"/>
  <c r="AQ207" i="2"/>
  <c r="AQ117" i="2"/>
  <c r="AR147" i="2"/>
  <c r="AR141" i="2"/>
  <c r="AR143" i="2" s="1"/>
  <c r="AR190" i="2"/>
  <c r="AW217" i="13" l="1"/>
  <c r="AW216" i="13" s="1"/>
  <c r="AW212" i="13" s="1"/>
  <c r="AW119" i="6"/>
  <c r="AW118" i="6" s="1"/>
  <c r="AQ95" i="4"/>
  <c r="AY106" i="4"/>
  <c r="AQ208" i="2"/>
  <c r="AZ143" i="9"/>
  <c r="AZ138" i="9"/>
  <c r="AZ71" i="9"/>
  <c r="BA155" i="9" s="1"/>
  <c r="AZ76" i="9"/>
  <c r="AZ52" i="9"/>
  <c r="AW98" i="8"/>
  <c r="AW9" i="8" s="1"/>
  <c r="AX169" i="8"/>
  <c r="AX127" i="6" s="1"/>
  <c r="AW7" i="8"/>
  <c r="AW12" i="8"/>
  <c r="AW11" i="8" s="1"/>
  <c r="AX154" i="8"/>
  <c r="AX43" i="8" s="1"/>
  <c r="AR57" i="2"/>
  <c r="AR52" i="2"/>
  <c r="AR192" i="2" s="1"/>
  <c r="AR76" i="2"/>
  <c r="AR99" i="2" s="1"/>
  <c r="AR85" i="6" s="1"/>
  <c r="AR112" i="2"/>
  <c r="AQ30" i="2"/>
  <c r="AQ29" i="2" s="1"/>
  <c r="AQ27" i="2" s="1"/>
  <c r="AQ25" i="2" s="1"/>
  <c r="AQ93" i="4" s="1"/>
  <c r="AR187" i="2"/>
  <c r="AR138" i="2"/>
  <c r="AR71" i="2"/>
  <c r="AS155" i="2" s="1"/>
  <c r="AX227" i="13" l="1"/>
  <c r="AW114" i="6"/>
  <c r="AR181" i="13"/>
  <c r="AR37" i="13" s="1"/>
  <c r="AQ94" i="4"/>
  <c r="AR89" i="2"/>
  <c r="AZ191" i="9"/>
  <c r="AZ192" i="9"/>
  <c r="AZ99" i="9"/>
  <c r="AZ75" i="9"/>
  <c r="AZ15" i="9"/>
  <c r="AZ89" i="9"/>
  <c r="AZ66" i="9"/>
  <c r="AZ48" i="9"/>
  <c r="AW88" i="8"/>
  <c r="AW36" i="8" s="1"/>
  <c r="AW6" i="8"/>
  <c r="AW17" i="8" s="1"/>
  <c r="AW19" i="8" s="1"/>
  <c r="AW42" i="8" s="1"/>
  <c r="AX170" i="8"/>
  <c r="AX168" i="8" s="1"/>
  <c r="AR98" i="2"/>
  <c r="AR191" i="2"/>
  <c r="AR66" i="2"/>
  <c r="AR75" i="2"/>
  <c r="AR15" i="2"/>
  <c r="AR48" i="2"/>
  <c r="AR46" i="2" s="1"/>
  <c r="AZ253" i="13" l="1"/>
  <c r="AZ252" i="13" s="1"/>
  <c r="AZ248" i="13" s="1"/>
  <c r="AZ153" i="6"/>
  <c r="AR84" i="6"/>
  <c r="AR180" i="13"/>
  <c r="AR176" i="13" s="1"/>
  <c r="AR36" i="13"/>
  <c r="AR32" i="13" s="1"/>
  <c r="AZ7" i="9"/>
  <c r="AZ12" i="9"/>
  <c r="AZ46" i="9"/>
  <c r="AZ98" i="9"/>
  <c r="AZ88" i="9" s="1"/>
  <c r="BA154" i="9"/>
  <c r="BA169" i="9"/>
  <c r="BA161" i="6" s="1"/>
  <c r="N155" i="9"/>
  <c r="AW35" i="8"/>
  <c r="AW61" i="8" s="1"/>
  <c r="AW83" i="8"/>
  <c r="AW84" i="8" s="1"/>
  <c r="AW26" i="8" s="1"/>
  <c r="AX104" i="8"/>
  <c r="AX81" i="8"/>
  <c r="AX171" i="8"/>
  <c r="AW21" i="8"/>
  <c r="AW114" i="8" s="1"/>
  <c r="AR88" i="2"/>
  <c r="AR9" i="2"/>
  <c r="AS154" i="2"/>
  <c r="AS43" i="2" s="1"/>
  <c r="AS169" i="2"/>
  <c r="AS93" i="6" s="1"/>
  <c r="AR12" i="2"/>
  <c r="AR11" i="2" s="1"/>
  <c r="AR7" i="2"/>
  <c r="AR80" i="6" l="1"/>
  <c r="AS191" i="13"/>
  <c r="AS45" i="13" s="1"/>
  <c r="BA170" i="9"/>
  <c r="N170" i="9" s="1"/>
  <c r="BA263" i="13"/>
  <c r="N263" i="13" s="1"/>
  <c r="N161" i="6"/>
  <c r="K45" i="6" s="1"/>
  <c r="N169" i="9"/>
  <c r="AZ36" i="9"/>
  <c r="AZ83" i="9"/>
  <c r="BA43" i="9"/>
  <c r="N43" i="9" s="1"/>
  <c r="N154" i="9"/>
  <c r="AZ152" i="6"/>
  <c r="AZ9" i="9"/>
  <c r="AZ6" i="9" s="1"/>
  <c r="AZ11" i="9"/>
  <c r="AW188" i="8"/>
  <c r="AW193" i="8" s="1"/>
  <c r="AW194" i="8" s="1"/>
  <c r="AX65" i="8"/>
  <c r="AR6" i="2"/>
  <c r="AR17" i="2" s="1"/>
  <c r="AR19" i="2" s="1"/>
  <c r="AR42" i="2" s="1"/>
  <c r="AX125" i="8"/>
  <c r="AX80" i="8"/>
  <c r="AX103" i="8" s="1"/>
  <c r="AS170" i="2"/>
  <c r="AS168" i="2" s="1"/>
  <c r="AR83" i="2"/>
  <c r="AR84" i="2" s="1"/>
  <c r="AR36" i="2"/>
  <c r="BA168" i="9" l="1"/>
  <c r="BA104" i="9" s="1"/>
  <c r="N104" i="9" s="1"/>
  <c r="AZ17" i="9"/>
  <c r="AZ84" i="9"/>
  <c r="AZ148" i="6"/>
  <c r="AX79" i="8"/>
  <c r="AX78" i="8" s="1"/>
  <c r="AX102" i="8"/>
  <c r="AW206" i="8"/>
  <c r="AW115" i="8"/>
  <c r="AW50" i="8"/>
  <c r="AW195" i="8"/>
  <c r="AS104" i="2"/>
  <c r="AS81" i="2"/>
  <c r="AR21" i="2"/>
  <c r="AR114" i="2" s="1"/>
  <c r="AR35" i="2"/>
  <c r="AR61" i="2" s="1"/>
  <c r="AR26" i="2"/>
  <c r="AS65" i="2"/>
  <c r="AS171" i="2"/>
  <c r="AS80" i="2" s="1"/>
  <c r="AS103" i="2" s="1"/>
  <c r="AX207" i="13" l="1"/>
  <c r="AX109" i="6"/>
  <c r="BA171" i="9"/>
  <c r="BA80" i="9" s="1"/>
  <c r="N168" i="9"/>
  <c r="BA81" i="9"/>
  <c r="N81" i="9" s="1"/>
  <c r="BA65" i="9"/>
  <c r="AZ26" i="9"/>
  <c r="AZ19" i="9"/>
  <c r="AZ21" i="9" s="1"/>
  <c r="AX101" i="8"/>
  <c r="AW196" i="8"/>
  <c r="AW129" i="8" s="1"/>
  <c r="AW126" i="8" s="1"/>
  <c r="AS79" i="2"/>
  <c r="AS78" i="2" s="1"/>
  <c r="AS102" i="2"/>
  <c r="AS75" i="6" s="1"/>
  <c r="AR188" i="2"/>
  <c r="AR193" i="2" s="1"/>
  <c r="AR194" i="2" s="1"/>
  <c r="AS125" i="2"/>
  <c r="BA125" i="9" l="1"/>
  <c r="N125" i="9" s="1"/>
  <c r="N171" i="9"/>
  <c r="AS171" i="13"/>
  <c r="AS27" i="13" s="1"/>
  <c r="AZ114" i="9"/>
  <c r="AZ42" i="9"/>
  <c r="BA103" i="9"/>
  <c r="N80" i="9"/>
  <c r="BA79" i="9"/>
  <c r="AW130" i="8"/>
  <c r="AW197" i="8"/>
  <c r="AS101" i="2"/>
  <c r="AR206" i="2"/>
  <c r="AR115" i="2"/>
  <c r="AR50" i="2"/>
  <c r="AR195" i="2"/>
  <c r="BA102" i="9" l="1"/>
  <c r="N103" i="9"/>
  <c r="AZ35" i="9"/>
  <c r="BA78" i="9"/>
  <c r="N78" i="9" s="1"/>
  <c r="N79" i="9"/>
  <c r="AX120" i="8"/>
  <c r="AW198" i="8"/>
  <c r="AW144" i="8" s="1"/>
  <c r="AW142" i="8" s="1"/>
  <c r="AR196" i="2"/>
  <c r="AR129" i="2" s="1"/>
  <c r="AR126" i="2" s="1"/>
  <c r="BA243" i="13" l="1"/>
  <c r="N243" i="13" s="1"/>
  <c r="BA143" i="6"/>
  <c r="N143" i="6" s="1"/>
  <c r="AZ61" i="9"/>
  <c r="AZ188" i="9"/>
  <c r="BA101" i="9"/>
  <c r="N101" i="9" s="1"/>
  <c r="N102" i="9"/>
  <c r="AX124" i="8"/>
  <c r="AX128" i="8" s="1"/>
  <c r="AX132" i="8"/>
  <c r="AW199" i="8"/>
  <c r="AW200" i="8" s="1"/>
  <c r="AW116" i="8" s="1"/>
  <c r="AW145" i="8"/>
  <c r="AW51" i="8"/>
  <c r="AW49" i="8" s="1"/>
  <c r="AR130" i="2"/>
  <c r="AR197" i="2"/>
  <c r="AZ193" i="9" l="1"/>
  <c r="AW201" i="8"/>
  <c r="AX121" i="8"/>
  <c r="AX137" i="8"/>
  <c r="AW31" i="8"/>
  <c r="AW207" i="8"/>
  <c r="AW208" i="8" s="1"/>
  <c r="AW53" i="8"/>
  <c r="AW45" i="8" s="1"/>
  <c r="AW55" i="8" s="1"/>
  <c r="AW59" i="8" s="1"/>
  <c r="AW117" i="8"/>
  <c r="AR198" i="2"/>
  <c r="AR144" i="2" s="1"/>
  <c r="AR142" i="2" s="1"/>
  <c r="AS120" i="2"/>
  <c r="AW101" i="4" l="1"/>
  <c r="AX187" i="8"/>
  <c r="AZ194" i="9"/>
  <c r="AZ195" i="9" s="1"/>
  <c r="AX141" i="8"/>
  <c r="AX143" i="8" s="1"/>
  <c r="AX147" i="8"/>
  <c r="AX57" i="8"/>
  <c r="AX190" i="8"/>
  <c r="AX112" i="8"/>
  <c r="AW30" i="8"/>
  <c r="AW29" i="8" s="1"/>
  <c r="AW27" i="8" s="1"/>
  <c r="AW25" i="8" s="1"/>
  <c r="AW99" i="4" s="1"/>
  <c r="AR145" i="2"/>
  <c r="AR51" i="2"/>
  <c r="AR49" i="2" s="1"/>
  <c r="AS132" i="2"/>
  <c r="AS124" i="2"/>
  <c r="AS128" i="2" s="1"/>
  <c r="AR199" i="2"/>
  <c r="AW100" i="4" l="1"/>
  <c r="AZ196" i="9"/>
  <c r="AZ50" i="9"/>
  <c r="AZ206" i="9"/>
  <c r="AZ115" i="9"/>
  <c r="AX138" i="8"/>
  <c r="AX71" i="8"/>
  <c r="AX76" i="8"/>
  <c r="AX52" i="8"/>
  <c r="AX192" i="8" s="1"/>
  <c r="AR200" i="2"/>
  <c r="AR116" i="2" s="1"/>
  <c r="AS121" i="2"/>
  <c r="AS137" i="2"/>
  <c r="AR31" i="2"/>
  <c r="AX89" i="8" l="1"/>
  <c r="AY155" i="8"/>
  <c r="AZ129" i="9"/>
  <c r="AZ197" i="9"/>
  <c r="AX75" i="8"/>
  <c r="AX99" i="8"/>
  <c r="AX15" i="8"/>
  <c r="AX66" i="8"/>
  <c r="AX48" i="8"/>
  <c r="AX46" i="8" s="1"/>
  <c r="AX191" i="8"/>
  <c r="AR201" i="2"/>
  <c r="AR207" i="2"/>
  <c r="AR53" i="2"/>
  <c r="AR45" i="2" s="1"/>
  <c r="AR55" i="2" s="1"/>
  <c r="AR59" i="2" s="1"/>
  <c r="AR117" i="2"/>
  <c r="AS190" i="2"/>
  <c r="AS147" i="2"/>
  <c r="AS141" i="2"/>
  <c r="AS143" i="2" s="1"/>
  <c r="AX217" i="13" l="1"/>
  <c r="AX216" i="13" s="1"/>
  <c r="AX212" i="13" s="1"/>
  <c r="AX119" i="6"/>
  <c r="AX118" i="6" s="1"/>
  <c r="AR95" i="4"/>
  <c r="AR208" i="2"/>
  <c r="AZ198" i="9"/>
  <c r="AZ199" i="9" s="1"/>
  <c r="AZ126" i="9"/>
  <c r="AX98" i="8"/>
  <c r="AX9" i="8" s="1"/>
  <c r="AY169" i="8"/>
  <c r="AY127" i="6" s="1"/>
  <c r="AX7" i="8"/>
  <c r="AX12" i="8"/>
  <c r="AX11" i="8" s="1"/>
  <c r="AY154" i="8"/>
  <c r="AY43" i="8" s="1"/>
  <c r="AR30" i="2"/>
  <c r="AR29" i="2" s="1"/>
  <c r="AR27" i="2" s="1"/>
  <c r="AR25" i="2" s="1"/>
  <c r="AR93" i="4" s="1"/>
  <c r="AS112" i="2"/>
  <c r="AS57" i="2"/>
  <c r="AS52" i="2"/>
  <c r="AS192" i="2" s="1"/>
  <c r="AS76" i="2"/>
  <c r="AS99" i="2" s="1"/>
  <c r="AS85" i="6" s="1"/>
  <c r="AS138" i="2"/>
  <c r="AS71" i="2"/>
  <c r="AT155" i="2" s="1"/>
  <c r="AS187" i="2"/>
  <c r="AY227" i="13" l="1"/>
  <c r="AX114" i="6"/>
  <c r="AS181" i="13"/>
  <c r="AS37" i="13" s="1"/>
  <c r="AR94" i="4"/>
  <c r="AS89" i="2"/>
  <c r="AZ130" i="9"/>
  <c r="AZ200" i="9"/>
  <c r="AZ201" i="9" s="1"/>
  <c r="AZ144" i="9"/>
  <c r="AX6" i="8"/>
  <c r="AX17" i="8" s="1"/>
  <c r="AY170" i="8"/>
  <c r="AY168" i="8" s="1"/>
  <c r="AX88" i="8"/>
  <c r="AS98" i="2"/>
  <c r="AS191" i="2"/>
  <c r="AS15" i="2"/>
  <c r="AS75" i="2"/>
  <c r="AS66" i="2"/>
  <c r="AS48" i="2"/>
  <c r="AS46" i="2" s="1"/>
  <c r="AS84" i="6" l="1"/>
  <c r="AS180" i="13"/>
  <c r="AS176" i="13" s="1"/>
  <c r="AS36" i="13"/>
  <c r="AS32" i="13" s="1"/>
  <c r="AZ142" i="9"/>
  <c r="BA187" i="9"/>
  <c r="AZ116" i="9"/>
  <c r="BA120" i="9"/>
  <c r="AX36" i="8"/>
  <c r="AX83" i="8"/>
  <c r="AX84" i="8" s="1"/>
  <c r="AX19" i="8"/>
  <c r="AX42" i="8" s="1"/>
  <c r="AY104" i="8"/>
  <c r="AY81" i="8"/>
  <c r="AY171" i="8"/>
  <c r="AS88" i="2"/>
  <c r="AT154" i="2"/>
  <c r="AT43" i="2" s="1"/>
  <c r="AT169" i="2"/>
  <c r="AT93" i="6" s="1"/>
  <c r="AS12" i="2"/>
  <c r="AS11" i="2" s="1"/>
  <c r="AS7" i="2"/>
  <c r="AS9" i="2"/>
  <c r="AS80" i="6" l="1"/>
  <c r="AT191" i="13"/>
  <c r="AT45" i="13" s="1"/>
  <c r="BA124" i="9"/>
  <c r="BA132" i="9"/>
  <c r="AZ207" i="9"/>
  <c r="AZ53" i="9"/>
  <c r="AZ117" i="9"/>
  <c r="AZ145" i="9"/>
  <c r="AZ51" i="9"/>
  <c r="AX35" i="8"/>
  <c r="AX61" i="8" s="1"/>
  <c r="AX26" i="8"/>
  <c r="AY65" i="8"/>
  <c r="AY125" i="8"/>
  <c r="AY80" i="8"/>
  <c r="AY103" i="8" s="1"/>
  <c r="AX21" i="8"/>
  <c r="AX114" i="8" s="1"/>
  <c r="AT170" i="2"/>
  <c r="AT168" i="2" s="1"/>
  <c r="AS6" i="2"/>
  <c r="AS17" i="2" s="1"/>
  <c r="AS83" i="2"/>
  <c r="AS84" i="2" s="1"/>
  <c r="AS36" i="2"/>
  <c r="BA112" i="9" l="1"/>
  <c r="AZ30" i="9"/>
  <c r="AZ208" i="9"/>
  <c r="AZ49" i="9"/>
  <c r="BA137" i="9"/>
  <c r="AZ31" i="9"/>
  <c r="N132" i="9"/>
  <c r="BA128" i="9"/>
  <c r="BA121" i="9"/>
  <c r="N124" i="9"/>
  <c r="AX188" i="8"/>
  <c r="AX193" i="8" s="1"/>
  <c r="AX194" i="8" s="1"/>
  <c r="AY79" i="8"/>
  <c r="AY78" i="8" s="1"/>
  <c r="AY102" i="8"/>
  <c r="AT104" i="2"/>
  <c r="AT81" i="2"/>
  <c r="AT171" i="2"/>
  <c r="AT80" i="2" s="1"/>
  <c r="AT103" i="2" s="1"/>
  <c r="AT65" i="2"/>
  <c r="AS26" i="2"/>
  <c r="AS19" i="2"/>
  <c r="AS42" i="2" s="1"/>
  <c r="AS35" i="2" s="1"/>
  <c r="AY207" i="13" l="1"/>
  <c r="AY109" i="6"/>
  <c r="AZ29" i="9"/>
  <c r="AZ27" i="9" s="1"/>
  <c r="AZ25" i="9" s="1"/>
  <c r="AZ105" i="4" s="1"/>
  <c r="BA190" i="9"/>
  <c r="N190" i="9" s="1"/>
  <c r="BA141" i="9"/>
  <c r="BA147" i="9"/>
  <c r="N128" i="9"/>
  <c r="N121" i="9"/>
  <c r="AZ45" i="9"/>
  <c r="AY101" i="8"/>
  <c r="AX206" i="8"/>
  <c r="AX115" i="8"/>
  <c r="AX50" i="8"/>
  <c r="AX195" i="8"/>
  <c r="AT79" i="2"/>
  <c r="AT78" i="2" s="1"/>
  <c r="AT102" i="2"/>
  <c r="AT75" i="6" s="1"/>
  <c r="AS61" i="2"/>
  <c r="AS188" i="2"/>
  <c r="AS193" i="2" s="1"/>
  <c r="AT125" i="2"/>
  <c r="AS21" i="2"/>
  <c r="AS114" i="2" s="1"/>
  <c r="AT171" i="13" l="1"/>
  <c r="AT27" i="13" s="1"/>
  <c r="AZ55" i="9"/>
  <c r="N147" i="9"/>
  <c r="BA76" i="9"/>
  <c r="BA52" i="9"/>
  <c r="BA143" i="9"/>
  <c r="BA138" i="9"/>
  <c r="N141" i="9"/>
  <c r="BA71" i="9"/>
  <c r="AX196" i="8"/>
  <c r="AX129" i="8" s="1"/>
  <c r="AX126" i="8" s="1"/>
  <c r="AT101" i="2"/>
  <c r="AS194" i="2"/>
  <c r="BA191" i="9" l="1"/>
  <c r="N191" i="9" s="1"/>
  <c r="N138" i="9"/>
  <c r="BA48" i="9"/>
  <c r="N143" i="9"/>
  <c r="BA192" i="9"/>
  <c r="N192" i="9" s="1"/>
  <c r="N52" i="9"/>
  <c r="BA99" i="9"/>
  <c r="BA75" i="9"/>
  <c r="N75" i="9" s="1"/>
  <c r="BA15" i="9"/>
  <c r="N15" i="9" s="1"/>
  <c r="N76" i="9"/>
  <c r="BA89" i="9"/>
  <c r="N89" i="9" s="1"/>
  <c r="BA66" i="9"/>
  <c r="N71" i="9"/>
  <c r="N94" i="9" s="1"/>
  <c r="AZ59" i="9"/>
  <c r="AX130" i="8"/>
  <c r="AX197" i="8"/>
  <c r="AS50" i="2"/>
  <c r="AS115" i="2"/>
  <c r="AS206" i="2"/>
  <c r="AS195" i="2"/>
  <c r="BA253" i="13" l="1"/>
  <c r="BA252" i="13" s="1"/>
  <c r="BA153" i="6"/>
  <c r="AZ106" i="4"/>
  <c r="AZ107" i="4"/>
  <c r="N66" i="9"/>
  <c r="BA7" i="9"/>
  <c r="BA12" i="9"/>
  <c r="AJ94" i="9"/>
  <c r="AJ142" i="6" s="1"/>
  <c r="R90" i="9"/>
  <c r="R138" i="6" s="1"/>
  <c r="AS92" i="9"/>
  <c r="AS140" i="6" s="1"/>
  <c r="AH91" i="9"/>
  <c r="AH139" i="6" s="1"/>
  <c r="AU92" i="9"/>
  <c r="AU140" i="6" s="1"/>
  <c r="AT92" i="9"/>
  <c r="AT140" i="6" s="1"/>
  <c r="AZ90" i="9"/>
  <c r="AZ138" i="6" s="1"/>
  <c r="BA90" i="9"/>
  <c r="BA138" i="6" s="1"/>
  <c r="S90" i="9"/>
  <c r="S138" i="6" s="1"/>
  <c r="U92" i="9"/>
  <c r="U140" i="6" s="1"/>
  <c r="Y90" i="9"/>
  <c r="Y138" i="6" s="1"/>
  <c r="AP90" i="9"/>
  <c r="AP138" i="6" s="1"/>
  <c r="AH90" i="9"/>
  <c r="AH138" i="6" s="1"/>
  <c r="AJ91" i="9"/>
  <c r="AJ139" i="6" s="1"/>
  <c r="AQ93" i="9"/>
  <c r="AQ141" i="6" s="1"/>
  <c r="X93" i="9"/>
  <c r="X141" i="6" s="1"/>
  <c r="BA93" i="9"/>
  <c r="BA141" i="6" s="1"/>
  <c r="T93" i="9"/>
  <c r="T141" i="6" s="1"/>
  <c r="AL93" i="9"/>
  <c r="AL141" i="6" s="1"/>
  <c r="AU91" i="9"/>
  <c r="AU139" i="6" s="1"/>
  <c r="AF90" i="9"/>
  <c r="AF138" i="6" s="1"/>
  <c r="AK92" i="9"/>
  <c r="AK140" i="6" s="1"/>
  <c r="AV91" i="9"/>
  <c r="AV139" i="6" s="1"/>
  <c r="BA92" i="9"/>
  <c r="BA140" i="6" s="1"/>
  <c r="AI92" i="9"/>
  <c r="AI140" i="6" s="1"/>
  <c r="AA90" i="9"/>
  <c r="AA138" i="6" s="1"/>
  <c r="AD92" i="9"/>
  <c r="AD140" i="6" s="1"/>
  <c r="AG90" i="9"/>
  <c r="AG138" i="6" s="1"/>
  <c r="AT91" i="9"/>
  <c r="AT139" i="6" s="1"/>
  <c r="AE90" i="9"/>
  <c r="AE138" i="6" s="1"/>
  <c r="AF92" i="9"/>
  <c r="AF140" i="6" s="1"/>
  <c r="AV90" i="9"/>
  <c r="AV138" i="6" s="1"/>
  <c r="AX91" i="9"/>
  <c r="AX139" i="6" s="1"/>
  <c r="R93" i="9"/>
  <c r="R141" i="6" s="1"/>
  <c r="V93" i="9"/>
  <c r="V141" i="6" s="1"/>
  <c r="AZ93" i="9"/>
  <c r="AZ141" i="6" s="1"/>
  <c r="W93" i="9"/>
  <c r="W141" i="6" s="1"/>
  <c r="AH93" i="9"/>
  <c r="AH141" i="6" s="1"/>
  <c r="BA91" i="9"/>
  <c r="BA139" i="6" s="1"/>
  <c r="AT90" i="9"/>
  <c r="AT138" i="6" s="1"/>
  <c r="AH92" i="9"/>
  <c r="AH140" i="6" s="1"/>
  <c r="U90" i="9"/>
  <c r="U138" i="6" s="1"/>
  <c r="AB92" i="9"/>
  <c r="AB140" i="6" s="1"/>
  <c r="V90" i="9"/>
  <c r="V138" i="6" s="1"/>
  <c r="AO90" i="9"/>
  <c r="AO138" i="6" s="1"/>
  <c r="W91" i="9"/>
  <c r="W139" i="6" s="1"/>
  <c r="AM90" i="9"/>
  <c r="AM138" i="6" s="1"/>
  <c r="U91" i="9"/>
  <c r="U139" i="6" s="1"/>
  <c r="Q92" i="9"/>
  <c r="Q140" i="6" s="1"/>
  <c r="AD91" i="9"/>
  <c r="AD139" i="6" s="1"/>
  <c r="AD90" i="9"/>
  <c r="AD138" i="6" s="1"/>
  <c r="Y91" i="9"/>
  <c r="Y139" i="6" s="1"/>
  <c r="AF93" i="9"/>
  <c r="AF141" i="6" s="1"/>
  <c r="AB93" i="9"/>
  <c r="AB141" i="6" s="1"/>
  <c r="AY93" i="9"/>
  <c r="AY141" i="6" s="1"/>
  <c r="Z93" i="9"/>
  <c r="Z141" i="6" s="1"/>
  <c r="AV93" i="9"/>
  <c r="AV141" i="6" s="1"/>
  <c r="AB91" i="9"/>
  <c r="AB139" i="6" s="1"/>
  <c r="AW92" i="9"/>
  <c r="AW140" i="6" s="1"/>
  <c r="AA91" i="9"/>
  <c r="AA139" i="6" s="1"/>
  <c r="AI90" i="9"/>
  <c r="AI138" i="6" s="1"/>
  <c r="AX92" i="9"/>
  <c r="AX140" i="6" s="1"/>
  <c r="AE91" i="9"/>
  <c r="AE139" i="6" s="1"/>
  <c r="AU90" i="9"/>
  <c r="AU138" i="6" s="1"/>
  <c r="AC91" i="9"/>
  <c r="AC139" i="6" s="1"/>
  <c r="Y92" i="9"/>
  <c r="Y140" i="6" s="1"/>
  <c r="AI91" i="9"/>
  <c r="AI139" i="6" s="1"/>
  <c r="W92" i="9"/>
  <c r="W140" i="6" s="1"/>
  <c r="AR91" i="9"/>
  <c r="AR139" i="6" s="1"/>
  <c r="AN92" i="9"/>
  <c r="AN140" i="6" s="1"/>
  <c r="AK90" i="9"/>
  <c r="AK138" i="6" s="1"/>
  <c r="AD93" i="9"/>
  <c r="AD141" i="6" s="1"/>
  <c r="AP93" i="9"/>
  <c r="AP141" i="6" s="1"/>
  <c r="AR93" i="9"/>
  <c r="AR141" i="6" s="1"/>
  <c r="AX93" i="9"/>
  <c r="AX141" i="6" s="1"/>
  <c r="AT93" i="9"/>
  <c r="AT141" i="6" s="1"/>
  <c r="AP91" i="9"/>
  <c r="AP139" i="6" s="1"/>
  <c r="X92" i="9"/>
  <c r="X140" i="6" s="1"/>
  <c r="S92" i="9"/>
  <c r="S140" i="6" s="1"/>
  <c r="AW90" i="9"/>
  <c r="AW138" i="6" s="1"/>
  <c r="AG92" i="9"/>
  <c r="AG140" i="6" s="1"/>
  <c r="AK91" i="9"/>
  <c r="AK139" i="6" s="1"/>
  <c r="AM92" i="9"/>
  <c r="AM140" i="6" s="1"/>
  <c r="AQ91" i="9"/>
  <c r="AQ139" i="6" s="1"/>
  <c r="AY92" i="9"/>
  <c r="AY140" i="6" s="1"/>
  <c r="AW91" i="9"/>
  <c r="AW139" i="6" s="1"/>
  <c r="AC92" i="9"/>
  <c r="AC140" i="6" s="1"/>
  <c r="S91" i="9"/>
  <c r="S139" i="6" s="1"/>
  <c r="AL92" i="9"/>
  <c r="AL140" i="6" s="1"/>
  <c r="AY90" i="9"/>
  <c r="AY138" i="6" s="1"/>
  <c r="AJ93" i="9"/>
  <c r="AJ141" i="6" s="1"/>
  <c r="AN93" i="9"/>
  <c r="AN141" i="6" s="1"/>
  <c r="S93" i="9"/>
  <c r="S141" i="6" s="1"/>
  <c r="Y93" i="9"/>
  <c r="Y141" i="6" s="1"/>
  <c r="U93" i="9"/>
  <c r="U141" i="6" s="1"/>
  <c r="Q91" i="9"/>
  <c r="Q139" i="6" s="1"/>
  <c r="V92" i="9"/>
  <c r="V140" i="6" s="1"/>
  <c r="AM91" i="9"/>
  <c r="AM139" i="6" s="1"/>
  <c r="X90" i="9"/>
  <c r="X138" i="6" s="1"/>
  <c r="T92" i="9"/>
  <c r="T140" i="6" s="1"/>
  <c r="AY91" i="9"/>
  <c r="AY139" i="6" s="1"/>
  <c r="AP92" i="9"/>
  <c r="AP140" i="6" s="1"/>
  <c r="R91" i="9"/>
  <c r="R139" i="6" s="1"/>
  <c r="AB90" i="9"/>
  <c r="AB138" i="6" s="1"/>
  <c r="AF91" i="9"/>
  <c r="AF139" i="6" s="1"/>
  <c r="AQ92" i="9"/>
  <c r="AQ140" i="6" s="1"/>
  <c r="AG91" i="9"/>
  <c r="AG139" i="6" s="1"/>
  <c r="AZ92" i="9"/>
  <c r="AZ140" i="6" s="1"/>
  <c r="Z90" i="9"/>
  <c r="Z138" i="6" s="1"/>
  <c r="Q93" i="9"/>
  <c r="Q141" i="6" s="1"/>
  <c r="AA93" i="9"/>
  <c r="AA141" i="6" s="1"/>
  <c r="AG93" i="9"/>
  <c r="AG141" i="6" s="1"/>
  <c r="AE93" i="9"/>
  <c r="AE141" i="6" s="1"/>
  <c r="AC90" i="9"/>
  <c r="AC138" i="6" s="1"/>
  <c r="AJ92" i="9"/>
  <c r="AJ140" i="6" s="1"/>
  <c r="AS91" i="9"/>
  <c r="AS139" i="6" s="1"/>
  <c r="AL90" i="9"/>
  <c r="AL138" i="6" s="1"/>
  <c r="AO91" i="9"/>
  <c r="AO139" i="6" s="1"/>
  <c r="Z91" i="9"/>
  <c r="Z139" i="6" s="1"/>
  <c r="AE92" i="9"/>
  <c r="AE140" i="6" s="1"/>
  <c r="X91" i="9"/>
  <c r="X139" i="6" s="1"/>
  <c r="W90" i="9"/>
  <c r="W138" i="6" s="1"/>
  <c r="AJ90" i="9"/>
  <c r="AJ138" i="6" s="1"/>
  <c r="Z92" i="9"/>
  <c r="Z140" i="6" s="1"/>
  <c r="AS90" i="9"/>
  <c r="AS138" i="6" s="1"/>
  <c r="AA92" i="9"/>
  <c r="AA140" i="6" s="1"/>
  <c r="AN90" i="9"/>
  <c r="AN138" i="6" s="1"/>
  <c r="AI93" i="9"/>
  <c r="AI141" i="6" s="1"/>
  <c r="AO93" i="9"/>
  <c r="AO141" i="6" s="1"/>
  <c r="AM93" i="9"/>
  <c r="AM141" i="6" s="1"/>
  <c r="AK93" i="9"/>
  <c r="AK141" i="6" s="1"/>
  <c r="AQ90" i="9"/>
  <c r="AQ138" i="6" s="1"/>
  <c r="R92" i="9"/>
  <c r="R140" i="6" s="1"/>
  <c r="T91" i="9"/>
  <c r="T139" i="6" s="1"/>
  <c r="AO92" i="9"/>
  <c r="AO140" i="6" s="1"/>
  <c r="Q90" i="9"/>
  <c r="Q138" i="6" s="1"/>
  <c r="AN91" i="9"/>
  <c r="AN139" i="6" s="1"/>
  <c r="AL91" i="9"/>
  <c r="AL139" i="6" s="1"/>
  <c r="AR90" i="9"/>
  <c r="AR138" i="6" s="1"/>
  <c r="AV92" i="9"/>
  <c r="AV140" i="6" s="1"/>
  <c r="AX90" i="9"/>
  <c r="AX138" i="6" s="1"/>
  <c r="AZ91" i="9"/>
  <c r="AZ139" i="6" s="1"/>
  <c r="T90" i="9"/>
  <c r="T138" i="6" s="1"/>
  <c r="V91" i="9"/>
  <c r="V139" i="6" s="1"/>
  <c r="AR92" i="9"/>
  <c r="AR140" i="6" s="1"/>
  <c r="AW93" i="9"/>
  <c r="AW141" i="6" s="1"/>
  <c r="AU93" i="9"/>
  <c r="AU141" i="6" s="1"/>
  <c r="AS93" i="9"/>
  <c r="AS141" i="6" s="1"/>
  <c r="AC93" i="9"/>
  <c r="AC141" i="6" s="1"/>
  <c r="BA57" i="9"/>
  <c r="BA46" i="9"/>
  <c r="N48" i="9"/>
  <c r="AH94" i="9"/>
  <c r="AH142" i="6" s="1"/>
  <c r="V94" i="9"/>
  <c r="V142" i="6" s="1"/>
  <c r="AK94" i="9"/>
  <c r="AK142" i="6" s="1"/>
  <c r="AX94" i="9"/>
  <c r="AX142" i="6" s="1"/>
  <c r="AR94" i="9"/>
  <c r="AR142" i="6" s="1"/>
  <c r="AZ94" i="9"/>
  <c r="AZ142" i="6" s="1"/>
  <c r="AV94" i="9"/>
  <c r="AV142" i="6" s="1"/>
  <c r="W94" i="9"/>
  <c r="W142" i="6" s="1"/>
  <c r="AW94" i="9"/>
  <c r="AW142" i="6" s="1"/>
  <c r="AT94" i="9"/>
  <c r="AT142" i="6" s="1"/>
  <c r="AA94" i="9"/>
  <c r="AA142" i="6" s="1"/>
  <c r="X94" i="9"/>
  <c r="X142" i="6" s="1"/>
  <c r="AY94" i="9"/>
  <c r="AY142" i="6" s="1"/>
  <c r="AN94" i="9"/>
  <c r="AN142" i="6" s="1"/>
  <c r="AC94" i="9"/>
  <c r="AC142" i="6" s="1"/>
  <c r="AL94" i="9"/>
  <c r="AL142" i="6" s="1"/>
  <c r="BA94" i="9"/>
  <c r="BA142" i="6" s="1"/>
  <c r="AP94" i="9"/>
  <c r="AP142" i="6" s="1"/>
  <c r="T94" i="9"/>
  <c r="T142" i="6" s="1"/>
  <c r="AO94" i="9"/>
  <c r="AO142" i="6" s="1"/>
  <c r="R94" i="9"/>
  <c r="R142" i="6" s="1"/>
  <c r="U94" i="9"/>
  <c r="U142" i="6" s="1"/>
  <c r="AD94" i="9"/>
  <c r="AD142" i="6" s="1"/>
  <c r="AQ94" i="9"/>
  <c r="AQ142" i="6" s="1"/>
  <c r="AM94" i="9"/>
  <c r="AM142" i="6" s="1"/>
  <c r="AB94" i="9"/>
  <c r="AB142" i="6" s="1"/>
  <c r="AU94" i="9"/>
  <c r="AU142" i="6" s="1"/>
  <c r="Q94" i="9"/>
  <c r="Q142" i="6" s="1"/>
  <c r="AS94" i="9"/>
  <c r="AS142" i="6" s="1"/>
  <c r="AE94" i="9"/>
  <c r="AE142" i="6" s="1"/>
  <c r="AG94" i="9"/>
  <c r="AG142" i="6" s="1"/>
  <c r="AF94" i="9"/>
  <c r="AF142" i="6" s="1"/>
  <c r="Z94" i="9"/>
  <c r="Z142" i="6" s="1"/>
  <c r="AI94" i="9"/>
  <c r="AI142" i="6" s="1"/>
  <c r="Y94" i="9"/>
  <c r="Y142" i="6" s="1"/>
  <c r="S94" i="9"/>
  <c r="S142" i="6" s="1"/>
  <c r="BA98" i="9"/>
  <c r="N99" i="9"/>
  <c r="AY120" i="8"/>
  <c r="AX198" i="8"/>
  <c r="AX144" i="8" s="1"/>
  <c r="AX142" i="8" s="1"/>
  <c r="AS196" i="2"/>
  <c r="AS129" i="2" s="1"/>
  <c r="AS126" i="2" s="1"/>
  <c r="N253" i="13" l="1"/>
  <c r="AH242" i="13"/>
  <c r="X239" i="13"/>
  <c r="V240" i="13"/>
  <c r="Q240" i="13"/>
  <c r="AI240" i="13"/>
  <c r="AJ242" i="13"/>
  <c r="AF242" i="13"/>
  <c r="AQ242" i="13"/>
  <c r="AL242" i="13"/>
  <c r="W242" i="13"/>
  <c r="V239" i="13"/>
  <c r="Q238" i="13"/>
  <c r="AI241" i="13"/>
  <c r="AE240" i="13"/>
  <c r="AG241" i="13"/>
  <c r="AB238" i="13"/>
  <c r="Q239" i="13"/>
  <c r="S239" i="13"/>
  <c r="AW238" i="13"/>
  <c r="AD241" i="13"/>
  <c r="AU238" i="13"/>
  <c r="Z241" i="13"/>
  <c r="U239" i="13"/>
  <c r="AT238" i="13"/>
  <c r="AV238" i="13"/>
  <c r="BA240" i="13"/>
  <c r="X241" i="13"/>
  <c r="BA238" i="13"/>
  <c r="AM242" i="13"/>
  <c r="AR240" i="13"/>
  <c r="AF239" i="13"/>
  <c r="AP241" i="13"/>
  <c r="AV241" i="13"/>
  <c r="AX239" i="13"/>
  <c r="S238" i="13"/>
  <c r="AG242" i="13"/>
  <c r="AD242" i="13"/>
  <c r="AC242" i="13"/>
  <c r="AV242" i="13"/>
  <c r="T238" i="13"/>
  <c r="AO240" i="13"/>
  <c r="AN238" i="13"/>
  <c r="Z239" i="13"/>
  <c r="AA241" i="13"/>
  <c r="R239" i="13"/>
  <c r="U241" i="13"/>
  <c r="AC240" i="13"/>
  <c r="S240" i="13"/>
  <c r="AK238" i="13"/>
  <c r="AE239" i="13"/>
  <c r="AY241" i="13"/>
  <c r="AM238" i="13"/>
  <c r="BA239" i="13"/>
  <c r="AF240" i="13"/>
  <c r="AV239" i="13"/>
  <c r="AQ241" i="13"/>
  <c r="AZ238" i="13"/>
  <c r="AC239" i="13"/>
  <c r="U242" i="13"/>
  <c r="AZ239" i="13"/>
  <c r="AA240" i="13"/>
  <c r="AO239" i="13"/>
  <c r="Q241" i="13"/>
  <c r="AP240" i="13"/>
  <c r="Y241" i="13"/>
  <c r="AW239" i="13"/>
  <c r="X240" i="13"/>
  <c r="AN240" i="13"/>
  <c r="AX240" i="13"/>
  <c r="AB241" i="13"/>
  <c r="W239" i="13"/>
  <c r="AH241" i="13"/>
  <c r="AE238" i="13"/>
  <c r="AK240" i="13"/>
  <c r="AJ239" i="13"/>
  <c r="AT240" i="13"/>
  <c r="Z242" i="13"/>
  <c r="AN239" i="13"/>
  <c r="AL240" i="13"/>
  <c r="AH240" i="13"/>
  <c r="AZ242" i="13"/>
  <c r="AS242" i="13"/>
  <c r="R242" i="13"/>
  <c r="AY242" i="13"/>
  <c r="AR242" i="13"/>
  <c r="AC241" i="13"/>
  <c r="AX238" i="13"/>
  <c r="R240" i="13"/>
  <c r="AS238" i="13"/>
  <c r="AL238" i="13"/>
  <c r="Z238" i="13"/>
  <c r="AY239" i="13"/>
  <c r="S241" i="13"/>
  <c r="AY240" i="13"/>
  <c r="AP239" i="13"/>
  <c r="AR239" i="13"/>
  <c r="AI238" i="13"/>
  <c r="AF241" i="13"/>
  <c r="AO238" i="13"/>
  <c r="W241" i="13"/>
  <c r="AT239" i="13"/>
  <c r="AF238" i="13"/>
  <c r="AH238" i="13"/>
  <c r="AU240" i="13"/>
  <c r="BA242" i="13"/>
  <c r="AO241" i="13"/>
  <c r="AG240" i="13"/>
  <c r="BA241" i="13"/>
  <c r="AE242" i="13"/>
  <c r="AN242" i="13"/>
  <c r="T239" i="13"/>
  <c r="S242" i="13"/>
  <c r="Q242" i="13"/>
  <c r="AO242" i="13"/>
  <c r="X242" i="13"/>
  <c r="AX242" i="13"/>
  <c r="AS241" i="13"/>
  <c r="AV240" i="13"/>
  <c r="AQ238" i="13"/>
  <c r="Z240" i="13"/>
  <c r="AS239" i="13"/>
  <c r="AZ240" i="13"/>
  <c r="T240" i="13"/>
  <c r="AN241" i="13"/>
  <c r="AQ239" i="13"/>
  <c r="AT241" i="13"/>
  <c r="W240" i="13"/>
  <c r="AA239" i="13"/>
  <c r="Y239" i="13"/>
  <c r="V238" i="13"/>
  <c r="AZ241" i="13"/>
  <c r="AG238" i="13"/>
  <c r="AU239" i="13"/>
  <c r="AP238" i="13"/>
  <c r="AH239" i="13"/>
  <c r="Y242" i="13"/>
  <c r="T242" i="13"/>
  <c r="AA242" i="13"/>
  <c r="AU241" i="13"/>
  <c r="AR238" i="13"/>
  <c r="AK241" i="13"/>
  <c r="AJ238" i="13"/>
  <c r="AJ240" i="13"/>
  <c r="AG239" i="13"/>
  <c r="X238" i="13"/>
  <c r="AJ241" i="13"/>
  <c r="AM240" i="13"/>
  <c r="AX241" i="13"/>
  <c r="AI239" i="13"/>
  <c r="AW240" i="13"/>
  <c r="AD238" i="13"/>
  <c r="AB240" i="13"/>
  <c r="V241" i="13"/>
  <c r="AD240" i="13"/>
  <c r="AL241" i="13"/>
  <c r="Y238" i="13"/>
  <c r="AS240" i="13"/>
  <c r="AW242" i="13"/>
  <c r="AE137" i="6"/>
  <c r="AE241" i="13"/>
  <c r="AU242" i="13"/>
  <c r="AK242" i="13"/>
  <c r="AI242" i="13"/>
  <c r="AB242" i="13"/>
  <c r="AP242" i="13"/>
  <c r="AT242" i="13"/>
  <c r="V242" i="13"/>
  <c r="AW241" i="13"/>
  <c r="AL239" i="13"/>
  <c r="AM241" i="13"/>
  <c r="W238" i="13"/>
  <c r="AC137" i="6"/>
  <c r="AC238" i="13"/>
  <c r="AQ240" i="13"/>
  <c r="AM239" i="13"/>
  <c r="AY238" i="13"/>
  <c r="AK239" i="13"/>
  <c r="AR137" i="6"/>
  <c r="AR241" i="13"/>
  <c r="Y240" i="13"/>
  <c r="AB239" i="13"/>
  <c r="AD239" i="13"/>
  <c r="U238" i="13"/>
  <c r="R241" i="13"/>
  <c r="AA238" i="13"/>
  <c r="T241" i="13"/>
  <c r="U240" i="13"/>
  <c r="R238" i="13"/>
  <c r="BA248" i="13"/>
  <c r="N248" i="13" s="1"/>
  <c r="U133" i="13" s="1"/>
  <c r="N252" i="13"/>
  <c r="N46" i="9"/>
  <c r="BA88" i="9"/>
  <c r="BA9" i="9"/>
  <c r="N9" i="9" s="1"/>
  <c r="N98" i="9"/>
  <c r="BA152" i="6"/>
  <c r="N153" i="6"/>
  <c r="BA11" i="9"/>
  <c r="N11" i="9" s="1"/>
  <c r="N12" i="9"/>
  <c r="N7" i="9"/>
  <c r="AO137" i="6"/>
  <c r="AY124" i="8"/>
  <c r="AY128" i="8" s="1"/>
  <c r="AY132" i="8"/>
  <c r="AX199" i="8"/>
  <c r="AX200" i="8" s="1"/>
  <c r="AX116" i="8" s="1"/>
  <c r="AX145" i="8"/>
  <c r="AX51" i="8"/>
  <c r="AX49" i="8" s="1"/>
  <c r="AS130" i="2"/>
  <c r="AS197" i="2"/>
  <c r="AC237" i="13" l="1"/>
  <c r="AC236" i="13" s="1"/>
  <c r="AC234" i="13" s="1"/>
  <c r="AC260" i="13" s="1"/>
  <c r="AC258" i="13" s="1"/>
  <c r="AF137" i="6"/>
  <c r="AF136" i="6" s="1"/>
  <c r="AF134" i="6" s="1"/>
  <c r="AF113" i="4" s="1"/>
  <c r="AN137" i="6"/>
  <c r="AN136" i="6" s="1"/>
  <c r="AN134" i="6" s="1"/>
  <c r="AN113" i="4" s="1"/>
  <c r="AO136" i="6"/>
  <c r="AO134" i="6" s="1"/>
  <c r="AO113" i="4" s="1"/>
  <c r="AR136" i="6"/>
  <c r="AR134" i="6" s="1"/>
  <c r="AR113" i="4" s="1"/>
  <c r="AQ137" i="6"/>
  <c r="AL137" i="6"/>
  <c r="AP137" i="6"/>
  <c r="AU137" i="6"/>
  <c r="AX137" i="6"/>
  <c r="AG137" i="6"/>
  <c r="Z137" i="6"/>
  <c r="AC136" i="6"/>
  <c r="AC134" i="6" s="1"/>
  <c r="AC113" i="4" s="1"/>
  <c r="AV137" i="6"/>
  <c r="AE136" i="6"/>
  <c r="AE134" i="6" s="1"/>
  <c r="AE113" i="4" s="1"/>
  <c r="X137" i="6"/>
  <c r="AH137" i="6"/>
  <c r="S137" i="6"/>
  <c r="BA137" i="6"/>
  <c r="Q137" i="6"/>
  <c r="Q136" i="6" s="1"/>
  <c r="T137" i="6"/>
  <c r="AA137" i="6"/>
  <c r="AY137" i="6"/>
  <c r="W137" i="6"/>
  <c r="AT137" i="6"/>
  <c r="AM137" i="6"/>
  <c r="R137" i="6"/>
  <c r="Y237" i="13"/>
  <c r="Y236" i="13" s="1"/>
  <c r="Y234" i="13" s="1"/>
  <c r="Y260" i="13" s="1"/>
  <c r="Y258" i="13" s="1"/>
  <c r="AM237" i="13"/>
  <c r="AM236" i="13" s="1"/>
  <c r="AM234" i="13" s="1"/>
  <c r="AM256" i="13" s="1"/>
  <c r="AO237" i="13"/>
  <c r="AO236" i="13" s="1"/>
  <c r="AO234" i="13" s="1"/>
  <c r="AO256" i="13" s="1"/>
  <c r="Y137" i="6"/>
  <c r="AJ137" i="6"/>
  <c r="AZ137" i="6"/>
  <c r="V137" i="6"/>
  <c r="AI137" i="6"/>
  <c r="N140" i="6"/>
  <c r="AW137" i="6"/>
  <c r="AB137" i="6"/>
  <c r="AK137" i="6"/>
  <c r="N139" i="6"/>
  <c r="U137" i="6"/>
  <c r="N142" i="6"/>
  <c r="N141" i="6"/>
  <c r="N138" i="6"/>
  <c r="AD137" i="6"/>
  <c r="AS137" i="6"/>
  <c r="AF237" i="13"/>
  <c r="AF236" i="13" s="1"/>
  <c r="AF234" i="13" s="1"/>
  <c r="AF260" i="13" s="1"/>
  <c r="AF258" i="13" s="1"/>
  <c r="AR237" i="13"/>
  <c r="AR236" i="13" s="1"/>
  <c r="AR234" i="13" s="1"/>
  <c r="AG237" i="13"/>
  <c r="AG236" i="13" s="1"/>
  <c r="AG234" i="13" s="1"/>
  <c r="T237" i="13"/>
  <c r="T236" i="13" s="1"/>
  <c r="T234" i="13" s="1"/>
  <c r="BA237" i="13"/>
  <c r="BA236" i="13" s="1"/>
  <c r="BA234" i="13" s="1"/>
  <c r="AT237" i="13"/>
  <c r="AT236" i="13" s="1"/>
  <c r="AT234" i="13" s="1"/>
  <c r="AB237" i="13"/>
  <c r="AB236" i="13" s="1"/>
  <c r="AB234" i="13" s="1"/>
  <c r="Q237" i="13"/>
  <c r="N238" i="13"/>
  <c r="N240" i="13"/>
  <c r="U237" i="13"/>
  <c r="U236" i="13" s="1"/>
  <c r="U234" i="13" s="1"/>
  <c r="AD237" i="13"/>
  <c r="AD236" i="13" s="1"/>
  <c r="AD234" i="13" s="1"/>
  <c r="AQ237" i="13"/>
  <c r="AQ236" i="13" s="1"/>
  <c r="AQ234" i="13" s="1"/>
  <c r="AH237" i="13"/>
  <c r="AH236" i="13" s="1"/>
  <c r="AH234" i="13" s="1"/>
  <c r="Z237" i="13"/>
  <c r="Z236" i="13" s="1"/>
  <c r="Z234" i="13" s="1"/>
  <c r="AX237" i="13"/>
  <c r="AX236" i="13" s="1"/>
  <c r="AX234" i="13" s="1"/>
  <c r="N241" i="13"/>
  <c r="S237" i="13"/>
  <c r="S236" i="13" s="1"/>
  <c r="S234" i="13" s="1"/>
  <c r="AW237" i="13"/>
  <c r="AW236" i="13" s="1"/>
  <c r="AW234" i="13" s="1"/>
  <c r="AA237" i="13"/>
  <c r="AA236" i="13" s="1"/>
  <c r="AA234" i="13" s="1"/>
  <c r="AY237" i="13"/>
  <c r="AY236" i="13" s="1"/>
  <c r="AY234" i="13" s="1"/>
  <c r="W237" i="13"/>
  <c r="W236" i="13" s="1"/>
  <c r="W234" i="13" s="1"/>
  <c r="AJ237" i="13"/>
  <c r="AJ236" i="13" s="1"/>
  <c r="AJ234" i="13" s="1"/>
  <c r="AP237" i="13"/>
  <c r="AP236" i="13" s="1"/>
  <c r="AP234" i="13" s="1"/>
  <c r="V237" i="13"/>
  <c r="V236" i="13" s="1"/>
  <c r="V234" i="13" s="1"/>
  <c r="AL237" i="13"/>
  <c r="AL236" i="13" s="1"/>
  <c r="AL234" i="13" s="1"/>
  <c r="AN237" i="13"/>
  <c r="AN236" i="13" s="1"/>
  <c r="AN234" i="13" s="1"/>
  <c r="R237" i="13"/>
  <c r="R236" i="13" s="1"/>
  <c r="R234" i="13" s="1"/>
  <c r="X237" i="13"/>
  <c r="X236" i="13" s="1"/>
  <c r="X234" i="13" s="1"/>
  <c r="N242" i="13"/>
  <c r="AI237" i="13"/>
  <c r="AI236" i="13" s="1"/>
  <c r="AI234" i="13" s="1"/>
  <c r="AS237" i="13"/>
  <c r="AS236" i="13" s="1"/>
  <c r="AS234" i="13" s="1"/>
  <c r="AE237" i="13"/>
  <c r="AE236" i="13" s="1"/>
  <c r="AE234" i="13" s="1"/>
  <c r="AZ237" i="13"/>
  <c r="AZ236" i="13" s="1"/>
  <c r="AZ234" i="13" s="1"/>
  <c r="AK237" i="13"/>
  <c r="AK236" i="13" s="1"/>
  <c r="AK234" i="13" s="1"/>
  <c r="AV237" i="13"/>
  <c r="AV236" i="13" s="1"/>
  <c r="AV234" i="13" s="1"/>
  <c r="AU237" i="13"/>
  <c r="AU236" i="13" s="1"/>
  <c r="AU234" i="13" s="1"/>
  <c r="N239" i="13"/>
  <c r="BA83" i="9"/>
  <c r="BA36" i="9"/>
  <c r="N88" i="9"/>
  <c r="BA6" i="9"/>
  <c r="BA148" i="6"/>
  <c r="N148" i="6" s="1"/>
  <c r="K37" i="6" s="1"/>
  <c r="N152" i="6"/>
  <c r="K41" i="6" s="1"/>
  <c r="AY121" i="8"/>
  <c r="AY190" i="8" s="1"/>
  <c r="AY137" i="8"/>
  <c r="AX31" i="8"/>
  <c r="AX207" i="8"/>
  <c r="AX208" i="8" s="1"/>
  <c r="AX53" i="8"/>
  <c r="AX45" i="8" s="1"/>
  <c r="AX55" i="8" s="1"/>
  <c r="AX59" i="8" s="1"/>
  <c r="AX117" i="8"/>
  <c r="AX201" i="8"/>
  <c r="AS198" i="2"/>
  <c r="AS144" i="2" s="1"/>
  <c r="AS142" i="2" s="1"/>
  <c r="AT120" i="2"/>
  <c r="AC256" i="13" l="1"/>
  <c r="AC158" i="6"/>
  <c r="AC156" i="6" s="1"/>
  <c r="AE158" i="6"/>
  <c r="AE156" i="6" s="1"/>
  <c r="AF158" i="6"/>
  <c r="AF156" i="6" s="1"/>
  <c r="AN158" i="6"/>
  <c r="AN156" i="6" s="1"/>
  <c r="AR158" i="6"/>
  <c r="AR156" i="6" s="1"/>
  <c r="AO158" i="6"/>
  <c r="AO156" i="6" s="1"/>
  <c r="U136" i="6"/>
  <c r="U134" i="6" s="1"/>
  <c r="U113" i="4" s="1"/>
  <c r="AI136" i="6"/>
  <c r="AI134" i="6" s="1"/>
  <c r="AI113" i="4" s="1"/>
  <c r="R136" i="6"/>
  <c r="R134" i="6" s="1"/>
  <c r="R113" i="4" s="1"/>
  <c r="BA136" i="6"/>
  <c r="BA134" i="6" s="1"/>
  <c r="BA113" i="4" s="1"/>
  <c r="AV136" i="6"/>
  <c r="AV134" i="6" s="1"/>
  <c r="AV113" i="4" s="1"/>
  <c r="AL136" i="6"/>
  <c r="AL134" i="6" s="1"/>
  <c r="AL113" i="4" s="1"/>
  <c r="V136" i="6"/>
  <c r="V134" i="6" s="1"/>
  <c r="V113" i="4" s="1"/>
  <c r="AM136" i="6"/>
  <c r="AM134" i="6" s="1"/>
  <c r="AM113" i="4" s="1"/>
  <c r="S136" i="6"/>
  <c r="S134" i="6" s="1"/>
  <c r="S113" i="4" s="1"/>
  <c r="AQ136" i="6"/>
  <c r="AQ134" i="6" s="1"/>
  <c r="AQ113" i="4" s="1"/>
  <c r="AJ136" i="6"/>
  <c r="AJ134" i="6" s="1"/>
  <c r="AJ113" i="4" s="1"/>
  <c r="W136" i="6"/>
  <c r="W134" i="6" s="1"/>
  <c r="W113" i="4" s="1"/>
  <c r="X136" i="6"/>
  <c r="X134" i="6" s="1"/>
  <c r="X113" i="4" s="1"/>
  <c r="Z136" i="6"/>
  <c r="Z134" i="6" s="1"/>
  <c r="Z113" i="4" s="1"/>
  <c r="AT136" i="6"/>
  <c r="AT134" i="6" s="1"/>
  <c r="AT113" i="4" s="1"/>
  <c r="AK136" i="6"/>
  <c r="AK134" i="6" s="1"/>
  <c r="AK113" i="4" s="1"/>
  <c r="Y136" i="6"/>
  <c r="Y134" i="6" s="1"/>
  <c r="Y113" i="4" s="1"/>
  <c r="AY136" i="6"/>
  <c r="AY134" i="6" s="1"/>
  <c r="AY113" i="4" s="1"/>
  <c r="AG136" i="6"/>
  <c r="AG134" i="6" s="1"/>
  <c r="AG113" i="4" s="1"/>
  <c r="AZ136" i="6"/>
  <c r="AZ134" i="6" s="1"/>
  <c r="AZ113" i="4" s="1"/>
  <c r="AS136" i="6"/>
  <c r="AS134" i="6" s="1"/>
  <c r="AS113" i="4" s="1"/>
  <c r="AB136" i="6"/>
  <c r="AB134" i="6" s="1"/>
  <c r="AB113" i="4" s="1"/>
  <c r="AA136" i="6"/>
  <c r="AA134" i="6" s="1"/>
  <c r="AA113" i="4" s="1"/>
  <c r="AX136" i="6"/>
  <c r="AX134" i="6" s="1"/>
  <c r="AX113" i="4" s="1"/>
  <c r="AH136" i="6"/>
  <c r="AH134" i="6" s="1"/>
  <c r="AH113" i="4" s="1"/>
  <c r="AD136" i="6"/>
  <c r="AD134" i="6" s="1"/>
  <c r="AD113" i="4" s="1"/>
  <c r="AW136" i="6"/>
  <c r="AW134" i="6" s="1"/>
  <c r="AW113" i="4" s="1"/>
  <c r="T136" i="6"/>
  <c r="T134" i="6" s="1"/>
  <c r="T113" i="4" s="1"/>
  <c r="AU136" i="6"/>
  <c r="AU134" i="6" s="1"/>
  <c r="AU113" i="4" s="1"/>
  <c r="AP136" i="6"/>
  <c r="AP134" i="6" s="1"/>
  <c r="AP113" i="4" s="1"/>
  <c r="AO260" i="13"/>
  <c r="AO258" i="13" s="1"/>
  <c r="AM260" i="13"/>
  <c r="AM258" i="13" s="1"/>
  <c r="Y256" i="13"/>
  <c r="AF256" i="13"/>
  <c r="N137" i="6"/>
  <c r="K39" i="6" s="1"/>
  <c r="K38" i="6" s="1"/>
  <c r="AU260" i="13"/>
  <c r="AU258" i="13" s="1"/>
  <c r="AU256" i="13"/>
  <c r="X260" i="13"/>
  <c r="X258" i="13" s="1"/>
  <c r="X256" i="13"/>
  <c r="AJ260" i="13"/>
  <c r="AJ258" i="13" s="1"/>
  <c r="AJ256" i="13"/>
  <c r="Z260" i="13"/>
  <c r="Z258" i="13" s="1"/>
  <c r="Z256" i="13"/>
  <c r="U256" i="13"/>
  <c r="U260" i="13"/>
  <c r="U258" i="13" s="1"/>
  <c r="AV260" i="13"/>
  <c r="AV258" i="13" s="1"/>
  <c r="AV256" i="13"/>
  <c r="R260" i="13"/>
  <c r="R258" i="13" s="1"/>
  <c r="R256" i="13"/>
  <c r="W260" i="13"/>
  <c r="W258" i="13" s="1"/>
  <c r="W256" i="13"/>
  <c r="AK256" i="13"/>
  <c r="AK260" i="13"/>
  <c r="AK258" i="13" s="1"/>
  <c r="AN260" i="13"/>
  <c r="AN258" i="13" s="1"/>
  <c r="AN256" i="13"/>
  <c r="AY260" i="13"/>
  <c r="AY258" i="13" s="1"/>
  <c r="AY256" i="13"/>
  <c r="AG260" i="13"/>
  <c r="AG258" i="13" s="1"/>
  <c r="AG256" i="13"/>
  <c r="AZ260" i="13"/>
  <c r="AZ258" i="13" s="1"/>
  <c r="AZ256" i="13"/>
  <c r="AL260" i="13"/>
  <c r="AL258" i="13" s="1"/>
  <c r="AL256" i="13"/>
  <c r="AA260" i="13"/>
  <c r="AA258" i="13" s="1"/>
  <c r="AA256" i="13"/>
  <c r="AH256" i="13"/>
  <c r="AH260" i="13"/>
  <c r="AH258" i="13" s="1"/>
  <c r="Q236" i="13"/>
  <c r="N237" i="13"/>
  <c r="AR256" i="13"/>
  <c r="AR260" i="13"/>
  <c r="AR258" i="13" s="1"/>
  <c r="AE260" i="13"/>
  <c r="AE258" i="13" s="1"/>
  <c r="AE256" i="13"/>
  <c r="AW260" i="13"/>
  <c r="AW258" i="13" s="1"/>
  <c r="AW256" i="13"/>
  <c r="AQ260" i="13"/>
  <c r="AQ258" i="13" s="1"/>
  <c r="AQ256" i="13"/>
  <c r="AB256" i="13"/>
  <c r="AB260" i="13"/>
  <c r="AB258" i="13" s="1"/>
  <c r="AS256" i="13"/>
  <c r="AS260" i="13"/>
  <c r="AS258" i="13" s="1"/>
  <c r="S260" i="13"/>
  <c r="S258" i="13" s="1"/>
  <c r="S256" i="13"/>
  <c r="AD256" i="13"/>
  <c r="AD260" i="13"/>
  <c r="AD258" i="13" s="1"/>
  <c r="AT260" i="13"/>
  <c r="AT258" i="13" s="1"/>
  <c r="AT256" i="13"/>
  <c r="AI260" i="13"/>
  <c r="AI258" i="13" s="1"/>
  <c r="AI256" i="13"/>
  <c r="V256" i="13"/>
  <c r="V260" i="13"/>
  <c r="V258" i="13" s="1"/>
  <c r="BA256" i="13"/>
  <c r="BA260" i="13"/>
  <c r="BA258" i="13" s="1"/>
  <c r="AP260" i="13"/>
  <c r="AP258" i="13" s="1"/>
  <c r="AP256" i="13"/>
  <c r="AX256" i="13"/>
  <c r="AX260" i="13"/>
  <c r="AX258" i="13" s="1"/>
  <c r="T260" i="13"/>
  <c r="T258" i="13" s="1"/>
  <c r="T256" i="13"/>
  <c r="AX101" i="4"/>
  <c r="N36" i="9"/>
  <c r="Q134" i="6"/>
  <c r="Q113" i="4" s="1"/>
  <c r="N83" i="9"/>
  <c r="N84" i="9" s="1"/>
  <c r="BA84" i="9"/>
  <c r="BA26" i="9" s="1"/>
  <c r="BA17" i="9"/>
  <c r="N6" i="9"/>
  <c r="AY141" i="8"/>
  <c r="AY143" i="8" s="1"/>
  <c r="AY147" i="8"/>
  <c r="AY57" i="8"/>
  <c r="AY187" i="8"/>
  <c r="AY112" i="8"/>
  <c r="AX30" i="8"/>
  <c r="AX29" i="8" s="1"/>
  <c r="AX27" i="8" s="1"/>
  <c r="AX25" i="8" s="1"/>
  <c r="AX99" i="4" s="1"/>
  <c r="AT132" i="2"/>
  <c r="AT124" i="2"/>
  <c r="AT128" i="2" s="1"/>
  <c r="AS145" i="2"/>
  <c r="AS51" i="2"/>
  <c r="AS49" i="2" s="1"/>
  <c r="AS199" i="2"/>
  <c r="U158" i="6" l="1"/>
  <c r="U156" i="6" s="1"/>
  <c r="N113" i="4"/>
  <c r="AD158" i="6"/>
  <c r="AD156" i="6" s="1"/>
  <c r="AB158" i="6"/>
  <c r="AB156" i="6" s="1"/>
  <c r="AS158" i="6"/>
  <c r="AS156" i="6" s="1"/>
  <c r="AI158" i="6"/>
  <c r="AI156" i="6" s="1"/>
  <c r="AK158" i="6"/>
  <c r="AK156" i="6" s="1"/>
  <c r="W158" i="6"/>
  <c r="W156" i="6" s="1"/>
  <c r="AT158" i="6"/>
  <c r="AT156" i="6" s="1"/>
  <c r="N136" i="6"/>
  <c r="K36" i="6" s="1"/>
  <c r="K35" i="6" s="1"/>
  <c r="AA158" i="6"/>
  <c r="AA156" i="6" s="1"/>
  <c r="T158" i="6"/>
  <c r="T156" i="6" s="1"/>
  <c r="AX158" i="6"/>
  <c r="AX156" i="6" s="1"/>
  <c r="AZ158" i="6"/>
  <c r="AZ156" i="6" s="1"/>
  <c r="AM158" i="6"/>
  <c r="AM156" i="6" s="1"/>
  <c r="AG158" i="6"/>
  <c r="AG156" i="6" s="1"/>
  <c r="AP158" i="6"/>
  <c r="AP156" i="6" s="1"/>
  <c r="AY158" i="6"/>
  <c r="AY156" i="6" s="1"/>
  <c r="Z158" i="6"/>
  <c r="Z156" i="6" s="1"/>
  <c r="AQ158" i="6"/>
  <c r="AQ156" i="6" s="1"/>
  <c r="AL158" i="6"/>
  <c r="AL156" i="6" s="1"/>
  <c r="AW158" i="6"/>
  <c r="AW156" i="6" s="1"/>
  <c r="R158" i="6"/>
  <c r="R156" i="6" s="1"/>
  <c r="V158" i="6"/>
  <c r="V156" i="6" s="1"/>
  <c r="AJ158" i="6"/>
  <c r="AJ156" i="6" s="1"/>
  <c r="AU158" i="6"/>
  <c r="AU156" i="6" s="1"/>
  <c r="AH158" i="6"/>
  <c r="AH156" i="6" s="1"/>
  <c r="Y158" i="6"/>
  <c r="Y156" i="6" s="1"/>
  <c r="X158" i="6"/>
  <c r="X156" i="6" s="1"/>
  <c r="S158" i="6"/>
  <c r="S156" i="6" s="1"/>
  <c r="AV158" i="6"/>
  <c r="AV156" i="6" s="1"/>
  <c r="N236" i="13"/>
  <c r="U132" i="13" s="1"/>
  <c r="Q234" i="13"/>
  <c r="AX100" i="4"/>
  <c r="BA19" i="9"/>
  <c r="BA21" i="9" s="1"/>
  <c r="N17" i="9"/>
  <c r="Q158" i="6"/>
  <c r="N134" i="6"/>
  <c r="BA158" i="6"/>
  <c r="BA156" i="6" s="1"/>
  <c r="AY76" i="8"/>
  <c r="AY52" i="8"/>
  <c r="AY192" i="8" s="1"/>
  <c r="AY138" i="8"/>
  <c r="AY71" i="8"/>
  <c r="AT137" i="2"/>
  <c r="AS31" i="2"/>
  <c r="AS200" i="2"/>
  <c r="AS116" i="2" s="1"/>
  <c r="AT121" i="2"/>
  <c r="AT190" i="2" s="1"/>
  <c r="Q260" i="13" l="1"/>
  <c r="Q256" i="13"/>
  <c r="N256" i="13" s="1"/>
  <c r="N234" i="13"/>
  <c r="AY89" i="8"/>
  <c r="AZ155" i="8"/>
  <c r="BA114" i="9"/>
  <c r="N21" i="9"/>
  <c r="Q156" i="6"/>
  <c r="N156" i="6" s="1"/>
  <c r="N158" i="6"/>
  <c r="K43" i="6" s="1"/>
  <c r="BA42" i="9"/>
  <c r="N19" i="9"/>
  <c r="AY48" i="8"/>
  <c r="AY46" i="8" s="1"/>
  <c r="AY191" i="8"/>
  <c r="AY66" i="8"/>
  <c r="AY75" i="8"/>
  <c r="AY99" i="8"/>
  <c r="AY15" i="8"/>
  <c r="AS201" i="2"/>
  <c r="AS207" i="2"/>
  <c r="AS53" i="2"/>
  <c r="AS45" i="2" s="1"/>
  <c r="AS55" i="2" s="1"/>
  <c r="AS59" i="2" s="1"/>
  <c r="AS117" i="2"/>
  <c r="AT141" i="2"/>
  <c r="AT143" i="2" s="1"/>
  <c r="AT147" i="2"/>
  <c r="AY217" i="13" l="1"/>
  <c r="AY216" i="13" s="1"/>
  <c r="AY212" i="13" s="1"/>
  <c r="AY119" i="6"/>
  <c r="AY118" i="6" s="1"/>
  <c r="N260" i="13"/>
  <c r="Q258" i="13"/>
  <c r="N258" i="13" s="1"/>
  <c r="AS95" i="4"/>
  <c r="AS208" i="2"/>
  <c r="N42" i="9"/>
  <c r="BA35" i="9"/>
  <c r="N114" i="9"/>
  <c r="AY98" i="8"/>
  <c r="AY9" i="8" s="1"/>
  <c r="AZ169" i="8"/>
  <c r="AZ127" i="6" s="1"/>
  <c r="AY7" i="8"/>
  <c r="AY12" i="8"/>
  <c r="AY11" i="8" s="1"/>
  <c r="AZ154" i="8"/>
  <c r="AZ43" i="8" s="1"/>
  <c r="AT112" i="2"/>
  <c r="AS30" i="2"/>
  <c r="AS29" i="2" s="1"/>
  <c r="AS27" i="2" s="1"/>
  <c r="AS25" i="2" s="1"/>
  <c r="AS93" i="4" s="1"/>
  <c r="AT76" i="2"/>
  <c r="AT99" i="2" s="1"/>
  <c r="AT85" i="6" s="1"/>
  <c r="AT52" i="2"/>
  <c r="AT192" i="2" s="1"/>
  <c r="AT138" i="2"/>
  <c r="AT71" i="2"/>
  <c r="AU155" i="2" s="1"/>
  <c r="AT57" i="2"/>
  <c r="AT187" i="2"/>
  <c r="AZ227" i="13" l="1"/>
  <c r="AY114" i="6"/>
  <c r="AT181" i="13"/>
  <c r="AT37" i="13" s="1"/>
  <c r="AS94" i="4"/>
  <c r="AT89" i="2"/>
  <c r="BA61" i="9"/>
  <c r="N61" i="9" s="1"/>
  <c r="BA188" i="9"/>
  <c r="N35" i="9"/>
  <c r="AY6" i="8"/>
  <c r="AY17" i="8" s="1"/>
  <c r="AY19" i="8" s="1"/>
  <c r="AY42" i="8" s="1"/>
  <c r="AY88" i="8"/>
  <c r="AY36" i="8" s="1"/>
  <c r="AZ170" i="8"/>
  <c r="AZ168" i="8" s="1"/>
  <c r="AT98" i="2"/>
  <c r="AT48" i="2"/>
  <c r="AT46" i="2" s="1"/>
  <c r="AT15" i="2"/>
  <c r="AT75" i="2"/>
  <c r="AT191" i="2"/>
  <c r="AT66" i="2"/>
  <c r="AT84" i="6" l="1"/>
  <c r="AT180" i="13"/>
  <c r="AT176" i="13" s="1"/>
  <c r="AT36" i="13"/>
  <c r="AT32" i="13" s="1"/>
  <c r="N188" i="9"/>
  <c r="BA193" i="9"/>
  <c r="AY35" i="8"/>
  <c r="AY61" i="8" s="1"/>
  <c r="AY83" i="8"/>
  <c r="AY84" i="8" s="1"/>
  <c r="AY26" i="8" s="1"/>
  <c r="AZ81" i="8"/>
  <c r="AZ104" i="8"/>
  <c r="AZ171" i="8"/>
  <c r="AY21" i="8"/>
  <c r="AY114" i="8" s="1"/>
  <c r="AT88" i="2"/>
  <c r="AT9" i="2"/>
  <c r="AU154" i="2"/>
  <c r="AU43" i="2" s="1"/>
  <c r="AU169" i="2"/>
  <c r="AU93" i="6" s="1"/>
  <c r="AT12" i="2"/>
  <c r="AT11" i="2" s="1"/>
  <c r="AT7" i="2"/>
  <c r="AT80" i="6" l="1"/>
  <c r="AU191" i="13"/>
  <c r="AU45" i="13" s="1"/>
  <c r="BA194" i="9"/>
  <c r="BA195" i="9" s="1"/>
  <c r="BA196" i="9" s="1"/>
  <c r="AY188" i="8"/>
  <c r="AY193" i="8" s="1"/>
  <c r="AY194" i="8" s="1"/>
  <c r="AZ65" i="8"/>
  <c r="AT6" i="2"/>
  <c r="AT17" i="2" s="1"/>
  <c r="AT19" i="2" s="1"/>
  <c r="AT42" i="2" s="1"/>
  <c r="AZ125" i="8"/>
  <c r="AZ80" i="8"/>
  <c r="AZ103" i="8" s="1"/>
  <c r="AT83" i="2"/>
  <c r="AT84" i="2" s="1"/>
  <c r="AT36" i="2"/>
  <c r="AU170" i="2"/>
  <c r="AU168" i="2" s="1"/>
  <c r="BA197" i="9" l="1"/>
  <c r="BA198" i="9" s="1"/>
  <c r="BA129" i="9"/>
  <c r="N196" i="9"/>
  <c r="BA206" i="9"/>
  <c r="BA50" i="9"/>
  <c r="BA115" i="9"/>
  <c r="N194" i="9"/>
  <c r="AY206" i="8"/>
  <c r="AY115" i="8"/>
  <c r="AY50" i="8"/>
  <c r="AY195" i="8"/>
  <c r="AZ79" i="8"/>
  <c r="AZ78" i="8" s="1"/>
  <c r="AZ102" i="8"/>
  <c r="AU104" i="2"/>
  <c r="AU81" i="2"/>
  <c r="AT21" i="2"/>
  <c r="AT114" i="2" s="1"/>
  <c r="AU171" i="2"/>
  <c r="AU80" i="2" s="1"/>
  <c r="AU103" i="2" s="1"/>
  <c r="AT35" i="2"/>
  <c r="AU65" i="2"/>
  <c r="AT26" i="2"/>
  <c r="AZ207" i="13" l="1"/>
  <c r="AZ109" i="6"/>
  <c r="N115" i="9"/>
  <c r="N50" i="9"/>
  <c r="N206" i="9"/>
  <c r="N129" i="9"/>
  <c r="BA126" i="9"/>
  <c r="BA199" i="9"/>
  <c r="BA200" i="9" s="1"/>
  <c r="BA144" i="9"/>
  <c r="N198" i="9"/>
  <c r="AZ101" i="8"/>
  <c r="AY196" i="8"/>
  <c r="AY129" i="8" s="1"/>
  <c r="AY126" i="8" s="1"/>
  <c r="AU79" i="2"/>
  <c r="AU78" i="2" s="1"/>
  <c r="AU102" i="2"/>
  <c r="AU75" i="6" s="1"/>
  <c r="AT188" i="2"/>
  <c r="AT193" i="2" s="1"/>
  <c r="AT61" i="2"/>
  <c r="AU125" i="2"/>
  <c r="AU171" i="13" l="1"/>
  <c r="AU27" i="13" s="1"/>
  <c r="N126" i="9"/>
  <c r="N130" i="9" s="1"/>
  <c r="BA130" i="9"/>
  <c r="N144" i="9"/>
  <c r="BA142" i="9"/>
  <c r="BA201" i="9"/>
  <c r="BA116" i="9"/>
  <c r="N200" i="9"/>
  <c r="AY197" i="8"/>
  <c r="AY130" i="8"/>
  <c r="AU101" i="2"/>
  <c r="AT194" i="2"/>
  <c r="N142" i="9" l="1"/>
  <c r="N145" i="9" s="1"/>
  <c r="BA145" i="9"/>
  <c r="BA31" i="9" s="1"/>
  <c r="BA207" i="9"/>
  <c r="BA53" i="9"/>
  <c r="N53" i="9" s="1"/>
  <c r="N116" i="9"/>
  <c r="BA117" i="9"/>
  <c r="BA51" i="9"/>
  <c r="AZ120" i="8"/>
  <c r="AY198" i="8"/>
  <c r="AY144" i="8" s="1"/>
  <c r="AY142" i="8" s="1"/>
  <c r="AT206" i="2"/>
  <c r="AT50" i="2"/>
  <c r="AT115" i="2"/>
  <c r="AT195" i="2"/>
  <c r="N51" i="9" l="1"/>
  <c r="BA49" i="9"/>
  <c r="N117" i="9"/>
  <c r="BA30" i="9"/>
  <c r="BA29" i="9" s="1"/>
  <c r="BA27" i="9" s="1"/>
  <c r="BA25" i="9" s="1"/>
  <c r="BA105" i="4" s="1"/>
  <c r="N105" i="4" s="1"/>
  <c r="N207" i="9"/>
  <c r="BA208" i="9"/>
  <c r="AZ124" i="8"/>
  <c r="AZ128" i="8" s="1"/>
  <c r="AZ132" i="8"/>
  <c r="AY199" i="8"/>
  <c r="AY200" i="8" s="1"/>
  <c r="AY116" i="8" s="1"/>
  <c r="AY145" i="8"/>
  <c r="AY51" i="8"/>
  <c r="AY49" i="8" s="1"/>
  <c r="AT196" i="2"/>
  <c r="AT129" i="2" s="1"/>
  <c r="AT126" i="2" s="1"/>
  <c r="N208" i="9" l="1"/>
  <c r="N210" i="9"/>
  <c r="N49" i="9"/>
  <c r="BA45" i="9"/>
  <c r="AZ121" i="8"/>
  <c r="AZ137" i="8"/>
  <c r="AY31" i="8"/>
  <c r="AY207" i="8"/>
  <c r="AY208" i="8" s="1"/>
  <c r="AY53" i="8"/>
  <c r="AY45" i="8" s="1"/>
  <c r="AY55" i="8" s="1"/>
  <c r="AY59" i="8" s="1"/>
  <c r="AY117" i="8"/>
  <c r="AY201" i="8"/>
  <c r="AT130" i="2"/>
  <c r="AT197" i="2"/>
  <c r="O189" i="5" l="1"/>
  <c r="O191" i="5" s="1"/>
  <c r="O192" i="5" s="1"/>
  <c r="O183" i="5" s="1"/>
  <c r="AY101" i="4"/>
  <c r="N45" i="9"/>
  <c r="BA55" i="9"/>
  <c r="AZ141" i="8"/>
  <c r="AZ143" i="8" s="1"/>
  <c r="AZ147" i="8"/>
  <c r="AZ57" i="8"/>
  <c r="AZ190" i="8"/>
  <c r="AZ187" i="8"/>
  <c r="AZ112" i="8"/>
  <c r="AY30" i="8"/>
  <c r="AY29" i="8" s="1"/>
  <c r="AY27" i="8" s="1"/>
  <c r="AY25" i="8" s="1"/>
  <c r="AY99" i="4" s="1"/>
  <c r="AT198" i="2"/>
  <c r="AT144" i="2" s="1"/>
  <c r="AT142" i="2" s="1"/>
  <c r="AU120" i="2"/>
  <c r="AY100" i="4" l="1"/>
  <c r="BA59" i="9"/>
  <c r="N55" i="9"/>
  <c r="AZ138" i="8"/>
  <c r="AZ71" i="8"/>
  <c r="AZ52" i="8"/>
  <c r="AZ192" i="8" s="1"/>
  <c r="AZ76" i="8"/>
  <c r="AT145" i="2"/>
  <c r="AT51" i="2"/>
  <c r="AT49" i="2" s="1"/>
  <c r="AU132" i="2"/>
  <c r="AU124" i="2"/>
  <c r="AU128" i="2" s="1"/>
  <c r="AT199" i="2"/>
  <c r="AZ89" i="8" l="1"/>
  <c r="BA155" i="8"/>
  <c r="BA106" i="4"/>
  <c r="N106" i="4" s="1"/>
  <c r="BA107" i="4"/>
  <c r="N107" i="4" s="1"/>
  <c r="N59" i="9"/>
  <c r="AZ75" i="8"/>
  <c r="AZ99" i="8"/>
  <c r="AZ15" i="8"/>
  <c r="AZ66" i="8"/>
  <c r="AZ48" i="8"/>
  <c r="AZ46" i="8" s="1"/>
  <c r="AZ191" i="8"/>
  <c r="AU121" i="2"/>
  <c r="AT200" i="2"/>
  <c r="AT116" i="2" s="1"/>
  <c r="AU137" i="2"/>
  <c r="AT31" i="2"/>
  <c r="AZ217" i="13" l="1"/>
  <c r="AZ216" i="13" s="1"/>
  <c r="AZ212" i="13" s="1"/>
  <c r="AZ119" i="6"/>
  <c r="AZ118" i="6" s="1"/>
  <c r="AZ98" i="8"/>
  <c r="AZ9" i="8" s="1"/>
  <c r="BA169" i="8"/>
  <c r="BA127" i="6" s="1"/>
  <c r="AZ7" i="8"/>
  <c r="AZ12" i="8"/>
  <c r="AZ11" i="8" s="1"/>
  <c r="BA154" i="8"/>
  <c r="N155" i="8"/>
  <c r="AT207" i="2"/>
  <c r="AT53" i="2"/>
  <c r="AT45" i="2" s="1"/>
  <c r="AT55" i="2" s="1"/>
  <c r="AT59" i="2" s="1"/>
  <c r="AT117" i="2"/>
  <c r="AU190" i="2"/>
  <c r="AT201" i="2"/>
  <c r="AU147" i="2"/>
  <c r="AU141" i="2"/>
  <c r="AU143" i="2" s="1"/>
  <c r="BA227" i="13" l="1"/>
  <c r="N227" i="13" s="1"/>
  <c r="AZ114" i="6"/>
  <c r="AT95" i="4"/>
  <c r="AT208" i="2"/>
  <c r="AZ6" i="8"/>
  <c r="AZ17" i="8" s="1"/>
  <c r="AZ88" i="8"/>
  <c r="AZ83" i="8" s="1"/>
  <c r="AZ84" i="8" s="1"/>
  <c r="BA65" i="8" s="1"/>
  <c r="BA170" i="8"/>
  <c r="N170" i="8" s="1"/>
  <c r="N127" i="6"/>
  <c r="K30" i="6" s="1"/>
  <c r="BA43" i="8"/>
  <c r="N43" i="8" s="1"/>
  <c r="N154" i="8"/>
  <c r="N169" i="8"/>
  <c r="AU112" i="2"/>
  <c r="AT30" i="2"/>
  <c r="AT29" i="2" s="1"/>
  <c r="AT27" i="2" s="1"/>
  <c r="AT25" i="2" s="1"/>
  <c r="AT93" i="4" s="1"/>
  <c r="AU57" i="2"/>
  <c r="AU187" i="2"/>
  <c r="AU138" i="2"/>
  <c r="AU71" i="2"/>
  <c r="AV155" i="2" s="1"/>
  <c r="AU52" i="2"/>
  <c r="AU192" i="2" s="1"/>
  <c r="AU76" i="2"/>
  <c r="AU99" i="2" s="1"/>
  <c r="AU85" i="6" s="1"/>
  <c r="AU181" i="13" l="1"/>
  <c r="AU37" i="13" s="1"/>
  <c r="AT94" i="4"/>
  <c r="AU89" i="2"/>
  <c r="AZ26" i="8"/>
  <c r="AZ36" i="8"/>
  <c r="BA168" i="8"/>
  <c r="BA104" i="8" s="1"/>
  <c r="N104" i="8" s="1"/>
  <c r="AZ19" i="8"/>
  <c r="AZ42" i="8" s="1"/>
  <c r="AU98" i="2"/>
  <c r="AU15" i="2"/>
  <c r="AU75" i="2"/>
  <c r="AU66" i="2"/>
  <c r="AU191" i="2"/>
  <c r="AU48" i="2"/>
  <c r="AU46" i="2" s="1"/>
  <c r="AU84" i="6" l="1"/>
  <c r="AU180" i="13"/>
  <c r="AU176" i="13" s="1"/>
  <c r="AU36" i="13"/>
  <c r="AU32" i="13" s="1"/>
  <c r="N168" i="8"/>
  <c r="BA171" i="8"/>
  <c r="N171" i="8" s="1"/>
  <c r="BA81" i="8"/>
  <c r="N81" i="8" s="1"/>
  <c r="AZ35" i="8"/>
  <c r="AZ61" i="8" s="1"/>
  <c r="AZ21" i="8"/>
  <c r="AZ114" i="8" s="1"/>
  <c r="AU88" i="2"/>
  <c r="AU12" i="2"/>
  <c r="AU11" i="2" s="1"/>
  <c r="AU7" i="2"/>
  <c r="AU9" i="2"/>
  <c r="AV169" i="2"/>
  <c r="AV93" i="6" s="1"/>
  <c r="AV154" i="2"/>
  <c r="AV43" i="2" s="1"/>
  <c r="AU80" i="6" l="1"/>
  <c r="AV191" i="13"/>
  <c r="AV45" i="13" s="1"/>
  <c r="BA80" i="8"/>
  <c r="BA103" i="8" s="1"/>
  <c r="BA125" i="8"/>
  <c r="N125" i="8" s="1"/>
  <c r="AZ188" i="8"/>
  <c r="AZ193" i="8" s="1"/>
  <c r="AZ194" i="8" s="1"/>
  <c r="AV170" i="2"/>
  <c r="AV168" i="2" s="1"/>
  <c r="AU6" i="2"/>
  <c r="AU17" i="2" s="1"/>
  <c r="AU19" i="2" s="1"/>
  <c r="AU42" i="2" s="1"/>
  <c r="AU36" i="2"/>
  <c r="AU83" i="2"/>
  <c r="AU84" i="2" s="1"/>
  <c r="N80" i="8" l="1"/>
  <c r="BA79" i="8"/>
  <c r="N79" i="8" s="1"/>
  <c r="BA102" i="8"/>
  <c r="BA109" i="6" s="1"/>
  <c r="N103" i="8"/>
  <c r="AZ206" i="8"/>
  <c r="AZ115" i="8"/>
  <c r="AZ50" i="8"/>
  <c r="AZ195" i="8"/>
  <c r="AV104" i="2"/>
  <c r="AV81" i="2"/>
  <c r="AV171" i="2"/>
  <c r="AV80" i="2" s="1"/>
  <c r="AV103" i="2" s="1"/>
  <c r="AU21" i="2"/>
  <c r="AU114" i="2" s="1"/>
  <c r="AV65" i="2"/>
  <c r="AU26" i="2"/>
  <c r="AU35" i="2"/>
  <c r="N109" i="6" l="1"/>
  <c r="BA207" i="13"/>
  <c r="N207" i="13" s="1"/>
  <c r="BA78" i="8"/>
  <c r="N78" i="8" s="1"/>
  <c r="AZ196" i="8"/>
  <c r="AZ129" i="8" s="1"/>
  <c r="AZ126" i="8" s="1"/>
  <c r="BA101" i="8"/>
  <c r="N101" i="8" s="1"/>
  <c r="N102" i="8"/>
  <c r="AV79" i="2"/>
  <c r="AV78" i="2" s="1"/>
  <c r="AV102" i="2"/>
  <c r="AV75" i="6" s="1"/>
  <c r="AU61" i="2"/>
  <c r="AU188" i="2"/>
  <c r="AU193" i="2" s="1"/>
  <c r="AV125" i="2"/>
  <c r="AV171" i="13" l="1"/>
  <c r="AV27" i="13" s="1"/>
  <c r="AZ197" i="8"/>
  <c r="AZ130" i="8"/>
  <c r="AV101" i="2"/>
  <c r="AU194" i="2"/>
  <c r="BA120" i="8" l="1"/>
  <c r="AZ198" i="8"/>
  <c r="AZ144" i="8" s="1"/>
  <c r="AZ142" i="8" s="1"/>
  <c r="AU206" i="2"/>
  <c r="AU50" i="2"/>
  <c r="AU115" i="2"/>
  <c r="AU195" i="2"/>
  <c r="BA124" i="8" l="1"/>
  <c r="BA128" i="8" s="1"/>
  <c r="BA132" i="8"/>
  <c r="AZ199" i="8"/>
  <c r="AZ200" i="8" s="1"/>
  <c r="AZ116" i="8" s="1"/>
  <c r="AZ145" i="8"/>
  <c r="AZ51" i="8"/>
  <c r="AZ49" i="8" s="1"/>
  <c r="AU196" i="2"/>
  <c r="AU129" i="2" s="1"/>
  <c r="AU126" i="2" s="1"/>
  <c r="BA121" i="8" l="1"/>
  <c r="N124" i="8"/>
  <c r="BA137" i="8"/>
  <c r="AZ31" i="8"/>
  <c r="N132" i="8"/>
  <c r="AZ207" i="8"/>
  <c r="AZ208" i="8" s="1"/>
  <c r="AZ53" i="8"/>
  <c r="AZ45" i="8" s="1"/>
  <c r="AZ55" i="8" s="1"/>
  <c r="AZ59" i="8" s="1"/>
  <c r="AZ117" i="8"/>
  <c r="AZ201" i="8"/>
  <c r="AU130" i="2"/>
  <c r="AU197" i="2"/>
  <c r="AZ101" i="4" l="1"/>
  <c r="BA141" i="8"/>
  <c r="BA143" i="8" s="1"/>
  <c r="BA147" i="8"/>
  <c r="N128" i="8"/>
  <c r="BA187" i="8"/>
  <c r="BA112" i="8"/>
  <c r="AZ30" i="8"/>
  <c r="AZ29" i="8" s="1"/>
  <c r="AZ27" i="8" s="1"/>
  <c r="AZ25" i="8" s="1"/>
  <c r="AZ99" i="4" s="1"/>
  <c r="N121" i="8"/>
  <c r="BA57" i="8"/>
  <c r="BA190" i="8"/>
  <c r="N190" i="8" s="1"/>
  <c r="AU198" i="2"/>
  <c r="AU144" i="2" s="1"/>
  <c r="AU142" i="2" s="1"/>
  <c r="AV120" i="2"/>
  <c r="AZ100" i="4" l="1"/>
  <c r="BA138" i="8"/>
  <c r="N141" i="8"/>
  <c r="BA71" i="8"/>
  <c r="BA89" i="8" s="1"/>
  <c r="N147" i="8"/>
  <c r="BA52" i="8"/>
  <c r="BA76" i="8"/>
  <c r="AV132" i="2"/>
  <c r="AV124" i="2"/>
  <c r="AV128" i="2" s="1"/>
  <c r="AU145" i="2"/>
  <c r="AU51" i="2"/>
  <c r="AU49" i="2" s="1"/>
  <c r="AU199" i="2"/>
  <c r="BA66" i="8" l="1"/>
  <c r="N71" i="8"/>
  <c r="N94" i="8" s="1"/>
  <c r="N138" i="8"/>
  <c r="BA48" i="8"/>
  <c r="N143" i="8"/>
  <c r="BA192" i="8"/>
  <c r="N192" i="8" s="1"/>
  <c r="N52" i="8"/>
  <c r="BA191" i="8"/>
  <c r="N191" i="8" s="1"/>
  <c r="BA75" i="8"/>
  <c r="N75" i="8" s="1"/>
  <c r="BA99" i="8"/>
  <c r="BA119" i="6" s="1"/>
  <c r="BA15" i="8"/>
  <c r="N15" i="8" s="1"/>
  <c r="N76" i="8"/>
  <c r="AU200" i="2"/>
  <c r="AU116" i="2" s="1"/>
  <c r="AV137" i="2"/>
  <c r="AU31" i="2"/>
  <c r="AV121" i="2"/>
  <c r="BA118" i="6" l="1"/>
  <c r="BA217" i="13"/>
  <c r="BA7" i="8"/>
  <c r="BA12" i="8"/>
  <c r="BA46" i="8"/>
  <c r="N48" i="8"/>
  <c r="BA98" i="8"/>
  <c r="BA88" i="8" s="1"/>
  <c r="N99" i="8"/>
  <c r="N89" i="8"/>
  <c r="V94" i="8" s="1"/>
  <c r="V108" i="6" s="1"/>
  <c r="N66" i="8"/>
  <c r="AV141" i="2"/>
  <c r="AV143" i="2" s="1"/>
  <c r="AV147" i="2"/>
  <c r="AU207" i="2"/>
  <c r="AU53" i="2"/>
  <c r="AU45" i="2" s="1"/>
  <c r="AU55" i="2" s="1"/>
  <c r="AU59" i="2" s="1"/>
  <c r="AU117" i="2"/>
  <c r="AV190" i="2"/>
  <c r="AU201" i="2"/>
  <c r="N119" i="6" l="1"/>
  <c r="V206" i="13"/>
  <c r="BA216" i="13"/>
  <c r="N217" i="13"/>
  <c r="AU95" i="4"/>
  <c r="AU208" i="2"/>
  <c r="BA114" i="6"/>
  <c r="N114" i="6" s="1"/>
  <c r="K22" i="6" s="1"/>
  <c r="N118" i="6"/>
  <c r="K26" i="6" s="1"/>
  <c r="Z94" i="8"/>
  <c r="Z108" i="6" s="1"/>
  <c r="BA94" i="8"/>
  <c r="BA108" i="6" s="1"/>
  <c r="Q94" i="8"/>
  <c r="Q108" i="6" s="1"/>
  <c r="AS94" i="8"/>
  <c r="AS108" i="6" s="1"/>
  <c r="AE94" i="8"/>
  <c r="AE108" i="6" s="1"/>
  <c r="AU94" i="8"/>
  <c r="AU108" i="6" s="1"/>
  <c r="AH94" i="8"/>
  <c r="AH108" i="6" s="1"/>
  <c r="AY94" i="8"/>
  <c r="AY108" i="6" s="1"/>
  <c r="AP94" i="8"/>
  <c r="AP108" i="6" s="1"/>
  <c r="AN94" i="8"/>
  <c r="AN108" i="6" s="1"/>
  <c r="AB94" i="8"/>
  <c r="AB108" i="6" s="1"/>
  <c r="T94" i="8"/>
  <c r="T108" i="6" s="1"/>
  <c r="AV94" i="8"/>
  <c r="AV108" i="6" s="1"/>
  <c r="AK94" i="8"/>
  <c r="AK108" i="6" s="1"/>
  <c r="N7" i="8"/>
  <c r="AM94" i="8"/>
  <c r="AM108" i="6" s="1"/>
  <c r="BA11" i="8"/>
  <c r="N11" i="8" s="1"/>
  <c r="N12" i="8"/>
  <c r="Y94" i="8"/>
  <c r="Y108" i="6" s="1"/>
  <c r="AX94" i="8"/>
  <c r="AX108" i="6" s="1"/>
  <c r="AJ94" i="8"/>
  <c r="AJ108" i="6" s="1"/>
  <c r="Q91" i="8"/>
  <c r="Q105" i="6" s="1"/>
  <c r="W91" i="8"/>
  <c r="W105" i="6" s="1"/>
  <c r="AC91" i="8"/>
  <c r="AC105" i="6" s="1"/>
  <c r="AQ91" i="8"/>
  <c r="AQ105" i="6" s="1"/>
  <c r="R91" i="8"/>
  <c r="R105" i="6" s="1"/>
  <c r="AH92" i="8"/>
  <c r="AH106" i="6" s="1"/>
  <c r="AV92" i="8"/>
  <c r="AV106" i="6" s="1"/>
  <c r="AT92" i="8"/>
  <c r="AT106" i="6" s="1"/>
  <c r="U92" i="8"/>
  <c r="U106" i="6" s="1"/>
  <c r="V90" i="8"/>
  <c r="V104" i="6" s="1"/>
  <c r="AJ90" i="8"/>
  <c r="AJ104" i="6" s="1"/>
  <c r="AX90" i="8"/>
  <c r="AX104" i="6" s="1"/>
  <c r="Y90" i="8"/>
  <c r="Y104" i="6" s="1"/>
  <c r="AV91" i="8"/>
  <c r="AV105" i="6" s="1"/>
  <c r="AT91" i="8"/>
  <c r="AT105" i="6" s="1"/>
  <c r="U91" i="8"/>
  <c r="U105" i="6" s="1"/>
  <c r="AI91" i="8"/>
  <c r="AI105" i="6" s="1"/>
  <c r="AY92" i="8"/>
  <c r="AY106" i="6" s="1"/>
  <c r="Z92" i="8"/>
  <c r="Z106" i="6" s="1"/>
  <c r="AN92" i="8"/>
  <c r="AN106" i="6" s="1"/>
  <c r="AL92" i="8"/>
  <c r="AL106" i="6" s="1"/>
  <c r="AZ92" i="8"/>
  <c r="AZ106" i="6" s="1"/>
  <c r="AU90" i="8"/>
  <c r="AU104" i="6" s="1"/>
  <c r="BA90" i="8"/>
  <c r="BA104" i="6" s="1"/>
  <c r="AB90" i="8"/>
  <c r="AB104" i="6" s="1"/>
  <c r="AP90" i="8"/>
  <c r="AP104" i="6" s="1"/>
  <c r="Q90" i="8"/>
  <c r="Q104" i="6" s="1"/>
  <c r="S90" i="8"/>
  <c r="S104" i="6" s="1"/>
  <c r="AN91" i="8"/>
  <c r="AN105" i="6" s="1"/>
  <c r="AL91" i="8"/>
  <c r="AL105" i="6" s="1"/>
  <c r="AZ91" i="8"/>
  <c r="AZ105" i="6" s="1"/>
  <c r="AA91" i="8"/>
  <c r="AA105" i="6" s="1"/>
  <c r="AQ92" i="8"/>
  <c r="AQ106" i="6" s="1"/>
  <c r="R92" i="8"/>
  <c r="R106" i="6" s="1"/>
  <c r="AF92" i="8"/>
  <c r="AF106" i="6" s="1"/>
  <c r="AD92" i="8"/>
  <c r="AD106" i="6" s="1"/>
  <c r="AR92" i="8"/>
  <c r="AR106" i="6" s="1"/>
  <c r="AM90" i="8"/>
  <c r="AM104" i="6" s="1"/>
  <c r="AS90" i="8"/>
  <c r="AS104" i="6" s="1"/>
  <c r="T90" i="8"/>
  <c r="T104" i="6" s="1"/>
  <c r="AH90" i="8"/>
  <c r="AH104" i="6" s="1"/>
  <c r="X90" i="8"/>
  <c r="X104" i="6" s="1"/>
  <c r="AF91" i="8"/>
  <c r="AF105" i="6" s="1"/>
  <c r="AD91" i="8"/>
  <c r="AD105" i="6" s="1"/>
  <c r="AR91" i="8"/>
  <c r="AR105" i="6" s="1"/>
  <c r="S91" i="8"/>
  <c r="S105" i="6" s="1"/>
  <c r="AI92" i="8"/>
  <c r="AI106" i="6" s="1"/>
  <c r="AW92" i="8"/>
  <c r="AW106" i="6" s="1"/>
  <c r="X92" i="8"/>
  <c r="X106" i="6" s="1"/>
  <c r="V92" i="8"/>
  <c r="V106" i="6" s="1"/>
  <c r="AJ92" i="8"/>
  <c r="AJ106" i="6" s="1"/>
  <c r="AE90" i="8"/>
  <c r="AE104" i="6" s="1"/>
  <c r="AK90" i="8"/>
  <c r="AK104" i="6" s="1"/>
  <c r="AY90" i="8"/>
  <c r="AY104" i="6" s="1"/>
  <c r="Z90" i="8"/>
  <c r="Z104" i="6" s="1"/>
  <c r="AV90" i="8"/>
  <c r="AV104" i="6" s="1"/>
  <c r="W92" i="8"/>
  <c r="W106" i="6" s="1"/>
  <c r="AR90" i="8"/>
  <c r="AR104" i="6" s="1"/>
  <c r="AW91" i="8"/>
  <c r="AW105" i="6" s="1"/>
  <c r="X91" i="8"/>
  <c r="X105" i="6" s="1"/>
  <c r="V91" i="8"/>
  <c r="V105" i="6" s="1"/>
  <c r="AJ91" i="8"/>
  <c r="AJ105" i="6" s="1"/>
  <c r="AX91" i="8"/>
  <c r="AX105" i="6" s="1"/>
  <c r="AA92" i="8"/>
  <c r="AA106" i="6" s="1"/>
  <c r="AO92" i="8"/>
  <c r="AO106" i="6" s="1"/>
  <c r="AU92" i="8"/>
  <c r="AU106" i="6" s="1"/>
  <c r="BA92" i="8"/>
  <c r="BA106" i="6" s="1"/>
  <c r="AB92" i="8"/>
  <c r="AB106" i="6" s="1"/>
  <c r="W90" i="8"/>
  <c r="W104" i="6" s="1"/>
  <c r="AC90" i="8"/>
  <c r="AC104" i="6" s="1"/>
  <c r="AQ90" i="8"/>
  <c r="AQ104" i="6" s="1"/>
  <c r="R90" i="8"/>
  <c r="R104" i="6" s="1"/>
  <c r="AN90" i="8"/>
  <c r="AN104" i="6" s="1"/>
  <c r="AO91" i="8"/>
  <c r="AO105" i="6" s="1"/>
  <c r="AU91" i="8"/>
  <c r="AU105" i="6" s="1"/>
  <c r="BA91" i="8"/>
  <c r="BA105" i="6" s="1"/>
  <c r="AB91" i="8"/>
  <c r="AB105" i="6" s="1"/>
  <c r="AP91" i="8"/>
  <c r="AP105" i="6" s="1"/>
  <c r="S92" i="8"/>
  <c r="S106" i="6" s="1"/>
  <c r="AG92" i="8"/>
  <c r="AG106" i="6" s="1"/>
  <c r="AM92" i="8"/>
  <c r="AM106" i="6" s="1"/>
  <c r="AS92" i="8"/>
  <c r="AS106" i="6" s="1"/>
  <c r="T92" i="8"/>
  <c r="T106" i="6" s="1"/>
  <c r="AT90" i="8"/>
  <c r="AT104" i="6" s="1"/>
  <c r="U90" i="8"/>
  <c r="U104" i="6" s="1"/>
  <c r="AI90" i="8"/>
  <c r="AI104" i="6" s="1"/>
  <c r="AW90" i="8"/>
  <c r="AW104" i="6" s="1"/>
  <c r="AF90" i="8"/>
  <c r="AF104" i="6" s="1"/>
  <c r="AK91" i="8"/>
  <c r="AK105" i="6" s="1"/>
  <c r="AP92" i="8"/>
  <c r="AP106" i="6" s="1"/>
  <c r="AC92" i="8"/>
  <c r="AC106" i="6" s="1"/>
  <c r="AD90" i="8"/>
  <c r="AD104" i="6" s="1"/>
  <c r="AG90" i="8"/>
  <c r="AG104" i="6" s="1"/>
  <c r="AG91" i="8"/>
  <c r="AG105" i="6" s="1"/>
  <c r="AM91" i="8"/>
  <c r="AM105" i="6" s="1"/>
  <c r="AS91" i="8"/>
  <c r="AS105" i="6" s="1"/>
  <c r="T91" i="8"/>
  <c r="T105" i="6" s="1"/>
  <c r="AH91" i="8"/>
  <c r="AH105" i="6" s="1"/>
  <c r="AX92" i="8"/>
  <c r="AX106" i="6" s="1"/>
  <c r="Y92" i="8"/>
  <c r="Y106" i="6" s="1"/>
  <c r="AE92" i="8"/>
  <c r="AE106" i="6" s="1"/>
  <c r="AK92" i="8"/>
  <c r="AK106" i="6" s="1"/>
  <c r="AL90" i="8"/>
  <c r="AL104" i="6" s="1"/>
  <c r="AZ90" i="8"/>
  <c r="AZ104" i="6" s="1"/>
  <c r="AA90" i="8"/>
  <c r="AA104" i="6" s="1"/>
  <c r="AO90" i="8"/>
  <c r="AO104" i="6" s="1"/>
  <c r="Y91" i="8"/>
  <c r="Y105" i="6" s="1"/>
  <c r="AE91" i="8"/>
  <c r="AE105" i="6" s="1"/>
  <c r="AY91" i="8"/>
  <c r="AY105" i="6" s="1"/>
  <c r="Z91" i="8"/>
  <c r="Z105" i="6" s="1"/>
  <c r="Q92" i="8"/>
  <c r="Q106" i="6" s="1"/>
  <c r="BA93" i="8"/>
  <c r="BA107" i="6" s="1"/>
  <c r="AB93" i="8"/>
  <c r="AB107" i="6" s="1"/>
  <c r="AP93" i="8"/>
  <c r="AP107" i="6" s="1"/>
  <c r="Q93" i="8"/>
  <c r="Q107" i="6" s="1"/>
  <c r="W93" i="8"/>
  <c r="W107" i="6" s="1"/>
  <c r="AO93" i="8"/>
  <c r="AO107" i="6" s="1"/>
  <c r="AS93" i="8"/>
  <c r="AS107" i="6" s="1"/>
  <c r="T93" i="8"/>
  <c r="T107" i="6" s="1"/>
  <c r="AH93" i="8"/>
  <c r="AH107" i="6" s="1"/>
  <c r="AV93" i="8"/>
  <c r="AV107" i="6" s="1"/>
  <c r="AL93" i="8"/>
  <c r="AL107" i="6" s="1"/>
  <c r="AJ93" i="8"/>
  <c r="AJ107" i="6" s="1"/>
  <c r="Y93" i="8"/>
  <c r="Y107" i="6" s="1"/>
  <c r="AK93" i="8"/>
  <c r="AK107" i="6" s="1"/>
  <c r="AY93" i="8"/>
  <c r="AY107" i="6" s="1"/>
  <c r="Z93" i="8"/>
  <c r="Z107" i="6" s="1"/>
  <c r="AN93" i="8"/>
  <c r="AN107" i="6" s="1"/>
  <c r="AD93" i="8"/>
  <c r="AD107" i="6" s="1"/>
  <c r="AC93" i="8"/>
  <c r="AC107" i="6" s="1"/>
  <c r="AQ93" i="8"/>
  <c r="AQ107" i="6" s="1"/>
  <c r="R93" i="8"/>
  <c r="R107" i="6" s="1"/>
  <c r="AF93" i="8"/>
  <c r="AF107" i="6" s="1"/>
  <c r="V93" i="8"/>
  <c r="V107" i="6" s="1"/>
  <c r="X93" i="8"/>
  <c r="X107" i="6" s="1"/>
  <c r="AZ93" i="8"/>
  <c r="AZ107" i="6" s="1"/>
  <c r="AU93" i="8"/>
  <c r="AU107" i="6" s="1"/>
  <c r="AX93" i="8"/>
  <c r="AX107" i="6" s="1"/>
  <c r="AE93" i="8"/>
  <c r="AE107" i="6" s="1"/>
  <c r="U93" i="8"/>
  <c r="U107" i="6" s="1"/>
  <c r="AI93" i="8"/>
  <c r="AI107" i="6" s="1"/>
  <c r="AW93" i="8"/>
  <c r="AW107" i="6" s="1"/>
  <c r="AT93" i="8"/>
  <c r="AT107" i="6" s="1"/>
  <c r="AA93" i="8"/>
  <c r="AA107" i="6" s="1"/>
  <c r="AR93" i="8"/>
  <c r="AR107" i="6" s="1"/>
  <c r="S93" i="8"/>
  <c r="S107" i="6" s="1"/>
  <c r="AG93" i="8"/>
  <c r="AG107" i="6" s="1"/>
  <c r="AM93" i="8"/>
  <c r="AM107" i="6" s="1"/>
  <c r="AG94" i="8"/>
  <c r="AG108" i="6" s="1"/>
  <c r="S94" i="8"/>
  <c r="S108" i="6" s="1"/>
  <c r="AR94" i="8"/>
  <c r="AR108" i="6" s="1"/>
  <c r="AD94" i="8"/>
  <c r="AD108" i="6" s="1"/>
  <c r="BA83" i="8"/>
  <c r="BA36" i="8"/>
  <c r="N88" i="8"/>
  <c r="AO94" i="8"/>
  <c r="AO108" i="6" s="1"/>
  <c r="AA94" i="8"/>
  <c r="AA108" i="6" s="1"/>
  <c r="AZ94" i="8"/>
  <c r="AZ108" i="6" s="1"/>
  <c r="AL94" i="8"/>
  <c r="AL108" i="6" s="1"/>
  <c r="BA9" i="8"/>
  <c r="N9" i="8" s="1"/>
  <c r="N98" i="8"/>
  <c r="X94" i="8"/>
  <c r="X108" i="6" s="1"/>
  <c r="AW94" i="8"/>
  <c r="AW108" i="6" s="1"/>
  <c r="AI94" i="8"/>
  <c r="AI108" i="6" s="1"/>
  <c r="U94" i="8"/>
  <c r="U108" i="6" s="1"/>
  <c r="AT94" i="8"/>
  <c r="AT108" i="6" s="1"/>
  <c r="AF94" i="8"/>
  <c r="AF108" i="6" s="1"/>
  <c r="R94" i="8"/>
  <c r="R108" i="6" s="1"/>
  <c r="AQ94" i="8"/>
  <c r="AQ108" i="6" s="1"/>
  <c r="AC94" i="8"/>
  <c r="AC108" i="6" s="1"/>
  <c r="W94" i="8"/>
  <c r="W108" i="6" s="1"/>
  <c r="N46" i="8"/>
  <c r="AV138" i="2"/>
  <c r="AV71" i="2"/>
  <c r="AW155" i="2" s="1"/>
  <c r="AV76" i="2"/>
  <c r="AV99" i="2" s="1"/>
  <c r="AV85" i="6" s="1"/>
  <c r="AV52" i="2"/>
  <c r="AV192" i="2" s="1"/>
  <c r="AV57" i="2"/>
  <c r="AV187" i="2"/>
  <c r="AV112" i="2"/>
  <c r="AU30" i="2"/>
  <c r="AU29" i="2" s="1"/>
  <c r="AU27" i="2" s="1"/>
  <c r="AU25" i="2" s="1"/>
  <c r="AU93" i="4" s="1"/>
  <c r="AR205" i="13" l="1"/>
  <c r="AA202" i="13"/>
  <c r="AM204" i="13"/>
  <c r="AH202" i="13"/>
  <c r="AI203" i="13"/>
  <c r="AU206" i="13"/>
  <c r="R206" i="13"/>
  <c r="AZ205" i="13"/>
  <c r="AF202" i="13"/>
  <c r="U203" i="13"/>
  <c r="W206" i="13"/>
  <c r="AW206" i="13"/>
  <c r="AG205" i="13"/>
  <c r="AE205" i="13"/>
  <c r="AQ205" i="13"/>
  <c r="AJ205" i="13"/>
  <c r="Q205" i="13"/>
  <c r="Y203" i="13"/>
  <c r="AX204" i="13"/>
  <c r="AC204" i="13"/>
  <c r="T204" i="13"/>
  <c r="AU203" i="13"/>
  <c r="BA204" i="13"/>
  <c r="AW203" i="13"/>
  <c r="AJ204" i="13"/>
  <c r="AF203" i="13"/>
  <c r="AF204" i="13"/>
  <c r="Q202" i="13"/>
  <c r="Z204" i="13"/>
  <c r="AJ202" i="13"/>
  <c r="AC203" i="13"/>
  <c r="AM206" i="13"/>
  <c r="AY206" i="13"/>
  <c r="AO204" i="13"/>
  <c r="AD206" i="13"/>
  <c r="AA205" i="13"/>
  <c r="AH205" i="13"/>
  <c r="AG204" i="13"/>
  <c r="AA204" i="13"/>
  <c r="AA203" i="13"/>
  <c r="AF205" i="13"/>
  <c r="AC206" i="13"/>
  <c r="X206" i="13"/>
  <c r="S205" i="13"/>
  <c r="AX205" i="13"/>
  <c r="AC205" i="13"/>
  <c r="AL205" i="13"/>
  <c r="AP205" i="13"/>
  <c r="AO202" i="13"/>
  <c r="AH203" i="13"/>
  <c r="AP204" i="13"/>
  <c r="AS204" i="13"/>
  <c r="AO203" i="13"/>
  <c r="AU204" i="13"/>
  <c r="AR202" i="13"/>
  <c r="V204" i="13"/>
  <c r="X202" i="13"/>
  <c r="R204" i="13"/>
  <c r="AP202" i="13"/>
  <c r="AY204" i="13"/>
  <c r="V202" i="13"/>
  <c r="W203" i="13"/>
  <c r="AH206" i="13"/>
  <c r="AD205" i="13"/>
  <c r="T203" i="13"/>
  <c r="AN202" i="13"/>
  <c r="AQ204" i="13"/>
  <c r="Q203" i="13"/>
  <c r="BA205" i="13"/>
  <c r="R202" i="13"/>
  <c r="AW204" i="13"/>
  <c r="T202" i="13"/>
  <c r="BA202" i="13"/>
  <c r="AT204" i="13"/>
  <c r="AJ206" i="13"/>
  <c r="AE206" i="13"/>
  <c r="AU205" i="13"/>
  <c r="AB205" i="13"/>
  <c r="W204" i="13"/>
  <c r="AN205" i="13"/>
  <c r="AS203" i="13"/>
  <c r="AV202" i="13"/>
  <c r="AV206" i="13"/>
  <c r="AV181" i="13"/>
  <c r="AV37" i="13" s="1"/>
  <c r="AF206" i="13"/>
  <c r="AL206" i="13"/>
  <c r="AR206" i="13"/>
  <c r="AT205" i="13"/>
  <c r="X205" i="13"/>
  <c r="Z205" i="13"/>
  <c r="T205" i="13"/>
  <c r="Q204" i="13"/>
  <c r="AL202" i="13"/>
  <c r="AM203" i="13"/>
  <c r="AW202" i="13"/>
  <c r="S204" i="13"/>
  <c r="AQ202" i="13"/>
  <c r="AX203" i="13"/>
  <c r="Z202" i="13"/>
  <c r="AI204" i="13"/>
  <c r="AS202" i="13"/>
  <c r="AZ203" i="13"/>
  <c r="AU202" i="13"/>
  <c r="AT203" i="13"/>
  <c r="AV204" i="13"/>
  <c r="AX206" i="13"/>
  <c r="T206" i="13"/>
  <c r="AS206" i="13"/>
  <c r="AT206" i="13"/>
  <c r="AZ206" i="13"/>
  <c r="S206" i="13"/>
  <c r="AW205" i="13"/>
  <c r="V205" i="13"/>
  <c r="AY205" i="13"/>
  <c r="AS205" i="13"/>
  <c r="Z203" i="13"/>
  <c r="AK204" i="13"/>
  <c r="AG203" i="13"/>
  <c r="AI202" i="13"/>
  <c r="AP203" i="13"/>
  <c r="AC202" i="13"/>
  <c r="AJ203" i="13"/>
  <c r="AY202" i="13"/>
  <c r="S203" i="13"/>
  <c r="AM202" i="13"/>
  <c r="AL203" i="13"/>
  <c r="AZ204" i="13"/>
  <c r="AV203" i="13"/>
  <c r="AH204" i="13"/>
  <c r="Y206" i="13"/>
  <c r="AB206" i="13"/>
  <c r="Q206" i="13"/>
  <c r="BA212" i="13"/>
  <c r="N212" i="13" s="1"/>
  <c r="T133" i="13" s="1"/>
  <c r="N216" i="13"/>
  <c r="U204" i="13"/>
  <c r="U206" i="13"/>
  <c r="AA206" i="13"/>
  <c r="AG206" i="13"/>
  <c r="AI205" i="13"/>
  <c r="AK205" i="13"/>
  <c r="AO205" i="13"/>
  <c r="AY203" i="13"/>
  <c r="AE204" i="13"/>
  <c r="AG202" i="13"/>
  <c r="U202" i="13"/>
  <c r="AB203" i="13"/>
  <c r="W202" i="13"/>
  <c r="V203" i="13"/>
  <c r="AK202" i="13"/>
  <c r="AR203" i="13"/>
  <c r="AR204" i="13"/>
  <c r="AN203" i="13"/>
  <c r="AL204" i="13"/>
  <c r="Y202" i="13"/>
  <c r="R203" i="13"/>
  <c r="AN206" i="13"/>
  <c r="BA206" i="13"/>
  <c r="AQ206" i="13"/>
  <c r="AV205" i="13"/>
  <c r="AK203" i="13"/>
  <c r="X204" i="13"/>
  <c r="AB202" i="13"/>
  <c r="AK206" i="13"/>
  <c r="AZ202" i="13"/>
  <c r="AI206" i="13"/>
  <c r="AO206" i="13"/>
  <c r="AM205" i="13"/>
  <c r="U205" i="13"/>
  <c r="R205" i="13"/>
  <c r="Y205" i="13"/>
  <c r="W205" i="13"/>
  <c r="AE203" i="13"/>
  <c r="Y204" i="13"/>
  <c r="AD202" i="13"/>
  <c r="AT202" i="13"/>
  <c r="BA203" i="13"/>
  <c r="AB204" i="13"/>
  <c r="X203" i="13"/>
  <c r="AE202" i="13"/>
  <c r="AD203" i="13"/>
  <c r="AD204" i="13"/>
  <c r="S202" i="13"/>
  <c r="AN204" i="13"/>
  <c r="AX202" i="13"/>
  <c r="AQ203" i="13"/>
  <c r="AP206" i="13"/>
  <c r="Z206" i="13"/>
  <c r="AU94" i="4"/>
  <c r="AV89" i="2"/>
  <c r="N36" i="8"/>
  <c r="N83" i="8"/>
  <c r="N84" i="8" s="1"/>
  <c r="BA84" i="8"/>
  <c r="BA26" i="8" s="1"/>
  <c r="BA6" i="8"/>
  <c r="AV98" i="2"/>
  <c r="AV66" i="2"/>
  <c r="AV75" i="2"/>
  <c r="AV15" i="2"/>
  <c r="AV191" i="2"/>
  <c r="AV48" i="2"/>
  <c r="AV46" i="2" s="1"/>
  <c r="AX201" i="13" l="1"/>
  <c r="AX200" i="13" s="1"/>
  <c r="AX198" i="13" s="1"/>
  <c r="AX224" i="13" s="1"/>
  <c r="AX222" i="13" s="1"/>
  <c r="AX103" i="6"/>
  <c r="AX102" i="6" s="1"/>
  <c r="AX100" i="6" s="1"/>
  <c r="AX112" i="4" s="1"/>
  <c r="AF103" i="6"/>
  <c r="AF102" i="6" s="1"/>
  <c r="AF100" i="6" s="1"/>
  <c r="AF112" i="4" s="1"/>
  <c r="AA103" i="6"/>
  <c r="V103" i="6"/>
  <c r="AU201" i="13"/>
  <c r="AU200" i="13" s="1"/>
  <c r="AU198" i="13" s="1"/>
  <c r="AU224" i="13" s="1"/>
  <c r="AU222" i="13" s="1"/>
  <c r="AU103" i="6"/>
  <c r="AZ103" i="6"/>
  <c r="BA103" i="6"/>
  <c r="AK201" i="13"/>
  <c r="AK200" i="13" s="1"/>
  <c r="AK198" i="13" s="1"/>
  <c r="AK224" i="13" s="1"/>
  <c r="AK222" i="13" s="1"/>
  <c r="U201" i="13"/>
  <c r="U200" i="13" s="1"/>
  <c r="U198" i="13" s="1"/>
  <c r="U220" i="13" s="1"/>
  <c r="AV84" i="6"/>
  <c r="AT103" i="6"/>
  <c r="AW103" i="6"/>
  <c r="W103" i="6"/>
  <c r="AJ103" i="6"/>
  <c r="AH103" i="6"/>
  <c r="AC103" i="6"/>
  <c r="AS103" i="6"/>
  <c r="AK103" i="6"/>
  <c r="N106" i="6"/>
  <c r="N104" i="6"/>
  <c r="AM103" i="6"/>
  <c r="AB103" i="6"/>
  <c r="AQ103" i="6"/>
  <c r="AV103" i="6"/>
  <c r="N105" i="6"/>
  <c r="AG103" i="6"/>
  <c r="Z103" i="6"/>
  <c r="X103" i="6"/>
  <c r="U103" i="6"/>
  <c r="AO103" i="6"/>
  <c r="AN103" i="6"/>
  <c r="AY103" i="6"/>
  <c r="R103" i="6"/>
  <c r="AR103" i="6"/>
  <c r="Y103" i="6"/>
  <c r="AE103" i="6"/>
  <c r="AD103" i="6"/>
  <c r="N108" i="6"/>
  <c r="AP103" i="6"/>
  <c r="N107" i="6"/>
  <c r="Q103" i="6"/>
  <c r="T103" i="6"/>
  <c r="AI103" i="6"/>
  <c r="AL103" i="6"/>
  <c r="S103" i="6"/>
  <c r="T201" i="13"/>
  <c r="T200" i="13" s="1"/>
  <c r="T198" i="13" s="1"/>
  <c r="T224" i="13" s="1"/>
  <c r="T222" i="13" s="1"/>
  <c r="AH201" i="13"/>
  <c r="AH200" i="13" s="1"/>
  <c r="AH198" i="13" s="1"/>
  <c r="AH220" i="13" s="1"/>
  <c r="N206" i="13"/>
  <c r="N204" i="13"/>
  <c r="AV180" i="13"/>
  <c r="AV176" i="13" s="1"/>
  <c r="AV36" i="13"/>
  <c r="AV32" i="13" s="1"/>
  <c r="N203" i="13"/>
  <c r="Q201" i="13"/>
  <c r="N202" i="13"/>
  <c r="AZ201" i="13"/>
  <c r="AZ200" i="13" s="1"/>
  <c r="AZ198" i="13" s="1"/>
  <c r="AG201" i="13"/>
  <c r="AG200" i="13" s="1"/>
  <c r="AG198" i="13" s="1"/>
  <c r="AY201" i="13"/>
  <c r="AY200" i="13" s="1"/>
  <c r="AY198" i="13" s="1"/>
  <c r="Z201" i="13"/>
  <c r="Z200" i="13" s="1"/>
  <c r="Z198" i="13" s="1"/>
  <c r="AW201" i="13"/>
  <c r="AW200" i="13" s="1"/>
  <c r="AW198" i="13" s="1"/>
  <c r="AP201" i="13"/>
  <c r="AP200" i="13" s="1"/>
  <c r="AP198" i="13" s="1"/>
  <c r="AR201" i="13"/>
  <c r="AR200" i="13" s="1"/>
  <c r="AR198" i="13" s="1"/>
  <c r="AI201" i="13"/>
  <c r="AI200" i="13" s="1"/>
  <c r="AI198" i="13" s="1"/>
  <c r="AE201" i="13"/>
  <c r="AE200" i="13" s="1"/>
  <c r="AE198" i="13" s="1"/>
  <c r="AT201" i="13"/>
  <c r="AT200" i="13" s="1"/>
  <c r="AT198" i="13" s="1"/>
  <c r="W201" i="13"/>
  <c r="W200" i="13" s="1"/>
  <c r="W198" i="13" s="1"/>
  <c r="AV201" i="13"/>
  <c r="AV200" i="13" s="1"/>
  <c r="AV198" i="13" s="1"/>
  <c r="R201" i="13"/>
  <c r="R200" i="13" s="1"/>
  <c r="R198" i="13" s="1"/>
  <c r="AN201" i="13"/>
  <c r="AN200" i="13" s="1"/>
  <c r="AN198" i="13" s="1"/>
  <c r="AJ201" i="13"/>
  <c r="AJ200" i="13" s="1"/>
  <c r="AJ198" i="13" s="1"/>
  <c r="AA201" i="13"/>
  <c r="AA200" i="13" s="1"/>
  <c r="AA198" i="13" s="1"/>
  <c r="AD201" i="13"/>
  <c r="AD200" i="13" s="1"/>
  <c r="AD198" i="13" s="1"/>
  <c r="AB201" i="13"/>
  <c r="AB200" i="13" s="1"/>
  <c r="AB198" i="13" s="1"/>
  <c r="AM201" i="13"/>
  <c r="AM200" i="13" s="1"/>
  <c r="AM198" i="13" s="1"/>
  <c r="AC201" i="13"/>
  <c r="AC200" i="13" s="1"/>
  <c r="AC198" i="13" s="1"/>
  <c r="AS201" i="13"/>
  <c r="AS200" i="13" s="1"/>
  <c r="AS198" i="13" s="1"/>
  <c r="AQ201" i="13"/>
  <c r="AQ200" i="13" s="1"/>
  <c r="AQ198" i="13" s="1"/>
  <c r="AL201" i="13"/>
  <c r="AL200" i="13" s="1"/>
  <c r="AL198" i="13" s="1"/>
  <c r="BA201" i="13"/>
  <c r="BA200" i="13" s="1"/>
  <c r="BA198" i="13" s="1"/>
  <c r="V201" i="13"/>
  <c r="V200" i="13" s="1"/>
  <c r="V198" i="13" s="1"/>
  <c r="X201" i="13"/>
  <c r="X200" i="13" s="1"/>
  <c r="X198" i="13" s="1"/>
  <c r="AO201" i="13"/>
  <c r="AO200" i="13" s="1"/>
  <c r="AO198" i="13" s="1"/>
  <c r="N205" i="13"/>
  <c r="AF201" i="13"/>
  <c r="AF200" i="13" s="1"/>
  <c r="AF198" i="13" s="1"/>
  <c r="S201" i="13"/>
  <c r="S200" i="13" s="1"/>
  <c r="S198" i="13" s="1"/>
  <c r="Y201" i="13"/>
  <c r="Y200" i="13" s="1"/>
  <c r="Y198" i="13" s="1"/>
  <c r="BA17" i="8"/>
  <c r="N6" i="8"/>
  <c r="AV88" i="2"/>
  <c r="AW169" i="2"/>
  <c r="AW93" i="6" s="1"/>
  <c r="AW154" i="2"/>
  <c r="AW43" i="2" s="1"/>
  <c r="AV12" i="2"/>
  <c r="AV11" i="2" s="1"/>
  <c r="AV7" i="2"/>
  <c r="AV9" i="2"/>
  <c r="AX220" i="13" l="1"/>
  <c r="AA102" i="6"/>
  <c r="AA100" i="6" s="1"/>
  <c r="AA112" i="4" s="1"/>
  <c r="AX124" i="6"/>
  <c r="AX122" i="6" s="1"/>
  <c r="AF124" i="6"/>
  <c r="AF122" i="6" s="1"/>
  <c r="AU220" i="13"/>
  <c r="AK220" i="13"/>
  <c r="U224" i="13"/>
  <c r="U222" i="13" s="1"/>
  <c r="AE102" i="6"/>
  <c r="AE100" i="6" s="1"/>
  <c r="AE112" i="4" s="1"/>
  <c r="AW102" i="6"/>
  <c r="AW100" i="6" s="1"/>
  <c r="AW112" i="4" s="1"/>
  <c r="AI102" i="6"/>
  <c r="AI100" i="6" s="1"/>
  <c r="AI112" i="4" s="1"/>
  <c r="Y102" i="6"/>
  <c r="Y100" i="6" s="1"/>
  <c r="Y112" i="4" s="1"/>
  <c r="Z102" i="6"/>
  <c r="Z100" i="6" s="1"/>
  <c r="Z112" i="4" s="1"/>
  <c r="AT102" i="6"/>
  <c r="AT100" i="6" s="1"/>
  <c r="AT112" i="4" s="1"/>
  <c r="V102" i="6"/>
  <c r="V100" i="6" s="1"/>
  <c r="V112" i="4" s="1"/>
  <c r="AL102" i="6"/>
  <c r="AL100" i="6" s="1"/>
  <c r="AL112" i="4" s="1"/>
  <c r="AG102" i="6"/>
  <c r="AG100" i="6" s="1"/>
  <c r="AG112" i="4" s="1"/>
  <c r="Q102" i="6"/>
  <c r="Q100" i="6" s="1"/>
  <c r="Q112" i="4" s="1"/>
  <c r="R102" i="6"/>
  <c r="R100" i="6" s="1"/>
  <c r="R112" i="4" s="1"/>
  <c r="AS102" i="6"/>
  <c r="AS100" i="6" s="1"/>
  <c r="AS112" i="4" s="1"/>
  <c r="AV80" i="6"/>
  <c r="AY102" i="6"/>
  <c r="AY100" i="6" s="1"/>
  <c r="AY112" i="4" s="1"/>
  <c r="AV102" i="6"/>
  <c r="AV100" i="6" s="1"/>
  <c r="AV112" i="4" s="1"/>
  <c r="AC102" i="6"/>
  <c r="AC100" i="6" s="1"/>
  <c r="AC112" i="4" s="1"/>
  <c r="X102" i="6"/>
  <c r="X100" i="6" s="1"/>
  <c r="X112" i="4" s="1"/>
  <c r="T102" i="6"/>
  <c r="T100" i="6" s="1"/>
  <c r="T112" i="4" s="1"/>
  <c r="AR102" i="6"/>
  <c r="AR100" i="6" s="1"/>
  <c r="AR112" i="4" s="1"/>
  <c r="AP102" i="6"/>
  <c r="AP100" i="6" s="1"/>
  <c r="AP112" i="4" s="1"/>
  <c r="AN102" i="6"/>
  <c r="AN100" i="6" s="1"/>
  <c r="AN112" i="4" s="1"/>
  <c r="AQ102" i="6"/>
  <c r="AQ100" i="6" s="1"/>
  <c r="AQ112" i="4" s="1"/>
  <c r="AH102" i="6"/>
  <c r="AH100" i="6" s="1"/>
  <c r="AH112" i="4" s="1"/>
  <c r="BA102" i="6"/>
  <c r="BA100" i="6" s="1"/>
  <c r="BA112" i="4" s="1"/>
  <c r="AK102" i="6"/>
  <c r="AK100" i="6" s="1"/>
  <c r="AK112" i="4" s="1"/>
  <c r="AO102" i="6"/>
  <c r="AO100" i="6" s="1"/>
  <c r="AO112" i="4" s="1"/>
  <c r="AB102" i="6"/>
  <c r="AB100" i="6" s="1"/>
  <c r="AB112" i="4" s="1"/>
  <c r="AJ102" i="6"/>
  <c r="AJ100" i="6" s="1"/>
  <c r="AJ112" i="4" s="1"/>
  <c r="AZ102" i="6"/>
  <c r="AZ100" i="6" s="1"/>
  <c r="AZ112" i="4" s="1"/>
  <c r="S102" i="6"/>
  <c r="S100" i="6" s="1"/>
  <c r="S112" i="4" s="1"/>
  <c r="AD102" i="6"/>
  <c r="AD100" i="6" s="1"/>
  <c r="AD112" i="4" s="1"/>
  <c r="U102" i="6"/>
  <c r="U100" i="6" s="1"/>
  <c r="U112" i="4" s="1"/>
  <c r="AM102" i="6"/>
  <c r="AM100" i="6" s="1"/>
  <c r="AM112" i="4" s="1"/>
  <c r="W102" i="6"/>
  <c r="W100" i="6" s="1"/>
  <c r="W112" i="4" s="1"/>
  <c r="AU102" i="6"/>
  <c r="AU100" i="6" s="1"/>
  <c r="AU112" i="4" s="1"/>
  <c r="AH224" i="13"/>
  <c r="AH222" i="13" s="1"/>
  <c r="T220" i="13"/>
  <c r="N103" i="6"/>
  <c r="K24" i="6" s="1"/>
  <c r="K23" i="6" s="1"/>
  <c r="AF220" i="13"/>
  <c r="AF224" i="13"/>
  <c r="AF222" i="13" s="1"/>
  <c r="AS220" i="13"/>
  <c r="AS224" i="13"/>
  <c r="AS222" i="13" s="1"/>
  <c r="R224" i="13"/>
  <c r="R222" i="13" s="1"/>
  <c r="R220" i="13"/>
  <c r="N201" i="13"/>
  <c r="Q200" i="13"/>
  <c r="AC220" i="13"/>
  <c r="AC224" i="13"/>
  <c r="AC222" i="13" s="1"/>
  <c r="AV220" i="13"/>
  <c r="AV224" i="13"/>
  <c r="AV222" i="13" s="1"/>
  <c r="AO224" i="13"/>
  <c r="AO222" i="13" s="1"/>
  <c r="AO220" i="13"/>
  <c r="X224" i="13"/>
  <c r="X222" i="13" s="1"/>
  <c r="X220" i="13"/>
  <c r="AB224" i="13"/>
  <c r="AB222" i="13" s="1"/>
  <c r="AB220" i="13"/>
  <c r="AT220" i="13"/>
  <c r="AT224" i="13"/>
  <c r="AT222" i="13" s="1"/>
  <c r="AG224" i="13"/>
  <c r="AG222" i="13" s="1"/>
  <c r="AG220" i="13"/>
  <c r="AM224" i="13"/>
  <c r="AM222" i="13" s="1"/>
  <c r="AM220" i="13"/>
  <c r="V220" i="13"/>
  <c r="V224" i="13"/>
  <c r="V222" i="13" s="1"/>
  <c r="AD220" i="13"/>
  <c r="AD224" i="13"/>
  <c r="AD222" i="13" s="1"/>
  <c r="AE224" i="13"/>
  <c r="AE222" i="13" s="1"/>
  <c r="AE220" i="13"/>
  <c r="AR220" i="13"/>
  <c r="AR224" i="13"/>
  <c r="AR222" i="13" s="1"/>
  <c r="AZ224" i="13"/>
  <c r="AZ222" i="13" s="1"/>
  <c r="AZ220" i="13"/>
  <c r="W220" i="13"/>
  <c r="W224" i="13"/>
  <c r="W222" i="13" s="1"/>
  <c r="BA220" i="13"/>
  <c r="BA224" i="13"/>
  <c r="BA222" i="13" s="1"/>
  <c r="AA224" i="13"/>
  <c r="AA222" i="13" s="1"/>
  <c r="AA220" i="13"/>
  <c r="AP224" i="13"/>
  <c r="AP222" i="13" s="1"/>
  <c r="AP220" i="13"/>
  <c r="AY224" i="13"/>
  <c r="AY222" i="13" s="1"/>
  <c r="AY220" i="13"/>
  <c r="Y224" i="13"/>
  <c r="Y222" i="13" s="1"/>
  <c r="Y220" i="13"/>
  <c r="AL220" i="13"/>
  <c r="AL224" i="13"/>
  <c r="AL222" i="13" s="1"/>
  <c r="AJ224" i="13"/>
  <c r="AJ222" i="13" s="1"/>
  <c r="AJ220" i="13"/>
  <c r="AW224" i="13"/>
  <c r="AW222" i="13" s="1"/>
  <c r="AW220" i="13"/>
  <c r="AW191" i="13"/>
  <c r="AW45" i="13" s="1"/>
  <c r="S224" i="13"/>
  <c r="S222" i="13" s="1"/>
  <c r="S220" i="13"/>
  <c r="AQ224" i="13"/>
  <c r="AQ222" i="13" s="1"/>
  <c r="AQ220" i="13"/>
  <c r="AN224" i="13"/>
  <c r="AN222" i="13" s="1"/>
  <c r="AN220" i="13"/>
  <c r="AI224" i="13"/>
  <c r="AI222" i="13" s="1"/>
  <c r="AI220" i="13"/>
  <c r="Z224" i="13"/>
  <c r="Z222" i="13" s="1"/>
  <c r="Z220" i="13"/>
  <c r="BA19" i="8"/>
  <c r="BA21" i="8" s="1"/>
  <c r="N17" i="8"/>
  <c r="AV6" i="2"/>
  <c r="AV17" i="2" s="1"/>
  <c r="AV83" i="2"/>
  <c r="AV84" i="2" s="1"/>
  <c r="AV36" i="2"/>
  <c r="AW170" i="2"/>
  <c r="AW168" i="2" s="1"/>
  <c r="N112" i="4" l="1"/>
  <c r="AW124" i="6"/>
  <c r="AW122" i="6" s="1"/>
  <c r="AL124" i="6"/>
  <c r="AL122" i="6" s="1"/>
  <c r="Z124" i="6"/>
  <c r="Z122" i="6" s="1"/>
  <c r="AH124" i="6"/>
  <c r="AH122" i="6" s="1"/>
  <c r="AR124" i="6"/>
  <c r="AR122" i="6" s="1"/>
  <c r="R124" i="6"/>
  <c r="R122" i="6" s="1"/>
  <c r="AI124" i="6"/>
  <c r="AI122" i="6" s="1"/>
  <c r="T124" i="6"/>
  <c r="T122" i="6" s="1"/>
  <c r="AY124" i="6"/>
  <c r="AY122" i="6" s="1"/>
  <c r="AA124" i="6"/>
  <c r="AA122" i="6" s="1"/>
  <c r="AP124" i="6"/>
  <c r="AP122" i="6" s="1"/>
  <c r="AG124" i="6"/>
  <c r="AG122" i="6" s="1"/>
  <c r="Y124" i="6"/>
  <c r="Y122" i="6" s="1"/>
  <c r="AS124" i="6"/>
  <c r="AS122" i="6" s="1"/>
  <c r="AC124" i="6"/>
  <c r="AC122" i="6" s="1"/>
  <c r="AK124" i="6"/>
  <c r="AK122" i="6" s="1"/>
  <c r="X124" i="6"/>
  <c r="X122" i="6" s="1"/>
  <c r="AE124" i="6"/>
  <c r="AE122" i="6" s="1"/>
  <c r="AV124" i="6"/>
  <c r="AV122" i="6" s="1"/>
  <c r="AN124" i="6"/>
  <c r="AN122" i="6" s="1"/>
  <c r="AT124" i="6"/>
  <c r="AT122" i="6" s="1"/>
  <c r="AO124" i="6"/>
  <c r="AO122" i="6" s="1"/>
  <c r="S124" i="6"/>
  <c r="S122" i="6" s="1"/>
  <c r="AQ124" i="6"/>
  <c r="AQ122" i="6" s="1"/>
  <c r="AD124" i="6"/>
  <c r="AD122" i="6" s="1"/>
  <c r="U124" i="6"/>
  <c r="U122" i="6" s="1"/>
  <c r="AJ124" i="6"/>
  <c r="AJ122" i="6" s="1"/>
  <c r="BA124" i="6"/>
  <c r="BA122" i="6" s="1"/>
  <c r="N102" i="6"/>
  <c r="K21" i="6" s="1"/>
  <c r="K20" i="6" s="1"/>
  <c r="W124" i="6"/>
  <c r="W122" i="6" s="1"/>
  <c r="V124" i="6"/>
  <c r="V122" i="6" s="1"/>
  <c r="AU124" i="6"/>
  <c r="AU122" i="6" s="1"/>
  <c r="AB124" i="6"/>
  <c r="AB122" i="6" s="1"/>
  <c r="AM124" i="6"/>
  <c r="AM122" i="6" s="1"/>
  <c r="AZ124" i="6"/>
  <c r="AZ122" i="6" s="1"/>
  <c r="Q198" i="13"/>
  <c r="N200" i="13"/>
  <c r="T132" i="13" s="1"/>
  <c r="Q124" i="6"/>
  <c r="N100" i="6"/>
  <c r="BA114" i="8"/>
  <c r="N21" i="8"/>
  <c r="BA42" i="8"/>
  <c r="N19" i="8"/>
  <c r="AW104" i="2"/>
  <c r="AW81" i="2"/>
  <c r="AV26" i="2"/>
  <c r="AW65" i="2"/>
  <c r="AW171" i="2"/>
  <c r="AW80" i="2" s="1"/>
  <c r="AW103" i="2" s="1"/>
  <c r="AV19" i="2"/>
  <c r="AV42" i="2" s="1"/>
  <c r="AV35" i="2" s="1"/>
  <c r="Q224" i="13" l="1"/>
  <c r="Q220" i="13"/>
  <c r="N220" i="13" s="1"/>
  <c r="N198" i="13"/>
  <c r="N124" i="6"/>
  <c r="K28" i="6" s="1"/>
  <c r="K27" i="6" s="1"/>
  <c r="Q122" i="6"/>
  <c r="N122" i="6" s="1"/>
  <c r="K42" i="6" s="1"/>
  <c r="N42" i="8"/>
  <c r="BA35" i="8"/>
  <c r="BA61" i="8" s="1"/>
  <c r="N114" i="8"/>
  <c r="AW79" i="2"/>
  <c r="AW78" i="2" s="1"/>
  <c r="AW102" i="2"/>
  <c r="AW75" i="6" s="1"/>
  <c r="AV188" i="2"/>
  <c r="AV193" i="2" s="1"/>
  <c r="AV61" i="2"/>
  <c r="AW125" i="2"/>
  <c r="AV21" i="2"/>
  <c r="AV114" i="2" s="1"/>
  <c r="AW171" i="13" l="1"/>
  <c r="AW27" i="13" s="1"/>
  <c r="Q222" i="13"/>
  <c r="N222" i="13" s="1"/>
  <c r="N224" i="13"/>
  <c r="BA188" i="8"/>
  <c r="N35" i="8"/>
  <c r="N61" i="8"/>
  <c r="AW101" i="2"/>
  <c r="AV194" i="2"/>
  <c r="N188" i="8" l="1"/>
  <c r="BA193" i="8"/>
  <c r="BA194" i="8" s="1"/>
  <c r="AV206" i="2"/>
  <c r="AV50" i="2"/>
  <c r="AV115" i="2"/>
  <c r="AV195" i="2"/>
  <c r="AV196" i="2" l="1"/>
  <c r="AV129" i="2" s="1"/>
  <c r="AV126" i="2" s="1"/>
  <c r="BA206" i="8" l="1"/>
  <c r="BA115" i="8"/>
  <c r="BA50" i="8"/>
  <c r="N194" i="8"/>
  <c r="BA195" i="8"/>
  <c r="AV197" i="2"/>
  <c r="AV130" i="2"/>
  <c r="N115" i="8" l="1"/>
  <c r="BA196" i="8"/>
  <c r="BA197" i="8" s="1"/>
  <c r="N50" i="8"/>
  <c r="N206" i="8"/>
  <c r="AW120" i="2"/>
  <c r="AV198" i="2"/>
  <c r="AV144" i="2" s="1"/>
  <c r="AV142" i="2" s="1"/>
  <c r="BA198" i="8" l="1"/>
  <c r="BA129" i="8"/>
  <c r="N196" i="8"/>
  <c r="AV199" i="2"/>
  <c r="AW132" i="2"/>
  <c r="AW124" i="2"/>
  <c r="AW128" i="2" s="1"/>
  <c r="AV145" i="2"/>
  <c r="AV51" i="2"/>
  <c r="AV49" i="2" s="1"/>
  <c r="N129" i="8" l="1"/>
  <c r="BA126" i="8"/>
  <c r="BA144" i="8"/>
  <c r="N198" i="8"/>
  <c r="BA199" i="8"/>
  <c r="AW137" i="2"/>
  <c r="AV31" i="2"/>
  <c r="AW121" i="2"/>
  <c r="AW190" i="2" s="1"/>
  <c r="AV200" i="2"/>
  <c r="AV116" i="2" s="1"/>
  <c r="BA200" i="8" l="1"/>
  <c r="BA201" i="8" s="1"/>
  <c r="N144" i="8"/>
  <c r="BA142" i="8"/>
  <c r="BA51" i="8" s="1"/>
  <c r="N126" i="8"/>
  <c r="N130" i="8" s="1"/>
  <c r="BA130" i="8"/>
  <c r="AV201" i="2"/>
  <c r="AV53" i="2"/>
  <c r="AV45" i="2" s="1"/>
  <c r="AV55" i="2" s="1"/>
  <c r="AV59" i="2" s="1"/>
  <c r="AV207" i="2"/>
  <c r="AV117" i="2"/>
  <c r="AW147" i="2"/>
  <c r="AW141" i="2"/>
  <c r="AW143" i="2" s="1"/>
  <c r="AV95" i="4" l="1"/>
  <c r="AV208" i="2"/>
  <c r="AW187" i="2"/>
  <c r="N51" i="8"/>
  <c r="BA49" i="8"/>
  <c r="N142" i="8"/>
  <c r="N145" i="8" s="1"/>
  <c r="BA145" i="8"/>
  <c r="BA31" i="8" s="1"/>
  <c r="BA116" i="8"/>
  <c r="N200" i="8"/>
  <c r="AV30" i="2"/>
  <c r="AV29" i="2" s="1"/>
  <c r="AV27" i="2" s="1"/>
  <c r="AV94" i="4" s="1"/>
  <c r="AW112" i="2"/>
  <c r="AW138" i="2"/>
  <c r="AW71" i="2"/>
  <c r="AX155" i="2" s="1"/>
  <c r="AW57" i="2"/>
  <c r="AW76" i="2"/>
  <c r="AW99" i="2" s="1"/>
  <c r="AW85" i="6" s="1"/>
  <c r="AW52" i="2"/>
  <c r="AW192" i="2" s="1"/>
  <c r="AW181" i="13" l="1"/>
  <c r="AW37" i="13" s="1"/>
  <c r="AW89" i="2"/>
  <c r="BA207" i="8"/>
  <c r="BA53" i="8"/>
  <c r="N53" i="8" s="1"/>
  <c r="N116" i="8"/>
  <c r="BA117" i="8"/>
  <c r="N49" i="8"/>
  <c r="AW98" i="2"/>
  <c r="AW66" i="2"/>
  <c r="AW48" i="2"/>
  <c r="AW46" i="2" s="1"/>
  <c r="AW15" i="2"/>
  <c r="AW75" i="2"/>
  <c r="AW191" i="2"/>
  <c r="AV25" i="2"/>
  <c r="AV93" i="4" s="1"/>
  <c r="AW84" i="6" l="1"/>
  <c r="AW180" i="13"/>
  <c r="AW176" i="13" s="1"/>
  <c r="AW36" i="13"/>
  <c r="AW32" i="13" s="1"/>
  <c r="BA45" i="8"/>
  <c r="N45" i="8" s="1"/>
  <c r="N117" i="8"/>
  <c r="BA30" i="8"/>
  <c r="BA29" i="8" s="1"/>
  <c r="BA27" i="8" s="1"/>
  <c r="BA25" i="8" s="1"/>
  <c r="BA99" i="4" s="1"/>
  <c r="N99" i="4" s="1"/>
  <c r="N207" i="8"/>
  <c r="BA208" i="8"/>
  <c r="AW88" i="2"/>
  <c r="AX154" i="2"/>
  <c r="AX43" i="2" s="1"/>
  <c r="AX169" i="2"/>
  <c r="AX93" i="6" s="1"/>
  <c r="AW9" i="2"/>
  <c r="AW7" i="2"/>
  <c r="AW12" i="2"/>
  <c r="AW11" i="2" s="1"/>
  <c r="AW80" i="6" l="1"/>
  <c r="AX191" i="13"/>
  <c r="AX45" i="13" s="1"/>
  <c r="BA55" i="8"/>
  <c r="BA59" i="8" s="1"/>
  <c r="N208" i="8"/>
  <c r="N210" i="8"/>
  <c r="M189" i="5" s="1"/>
  <c r="M191" i="5" s="1"/>
  <c r="M192" i="5" s="1"/>
  <c r="AW6" i="2"/>
  <c r="AW17" i="2" s="1"/>
  <c r="AX170" i="2"/>
  <c r="AX168" i="2" s="1"/>
  <c r="AW83" i="2"/>
  <c r="AW84" i="2" s="1"/>
  <c r="AW36" i="2"/>
  <c r="BA100" i="4" l="1"/>
  <c r="N100" i="4" s="1"/>
  <c r="BA101" i="4"/>
  <c r="N101" i="4" s="1"/>
  <c r="N55" i="8"/>
  <c r="N59" i="8"/>
  <c r="AX104" i="2"/>
  <c r="AX81" i="2"/>
  <c r="AW19" i="2"/>
  <c r="AW42" i="2" s="1"/>
  <c r="AW35" i="2" s="1"/>
  <c r="AW26" i="2"/>
  <c r="AX65" i="2"/>
  <c r="AX171" i="2"/>
  <c r="AX80" i="2" s="1"/>
  <c r="AX103" i="2" s="1"/>
  <c r="M183" i="5" l="1"/>
  <c r="AX79" i="2"/>
  <c r="AX78" i="2" s="1"/>
  <c r="AX102" i="2"/>
  <c r="AX75" i="6" s="1"/>
  <c r="AW188" i="2"/>
  <c r="AW193" i="2" s="1"/>
  <c r="AW61" i="2"/>
  <c r="AX125" i="2"/>
  <c r="AW21" i="2"/>
  <c r="AW114" i="2" s="1"/>
  <c r="AX171" i="13" l="1"/>
  <c r="AX27" i="13" s="1"/>
  <c r="AX101" i="2"/>
  <c r="AW194" i="2"/>
  <c r="AW206" i="2" l="1"/>
  <c r="AW50" i="2"/>
  <c r="AW115" i="2"/>
  <c r="AW195" i="2"/>
  <c r="AW196" i="2" l="1"/>
  <c r="AW129" i="2" s="1"/>
  <c r="AW126" i="2" s="1"/>
  <c r="AW130" i="2" l="1"/>
  <c r="AW197" i="2"/>
  <c r="AW198" i="2" l="1"/>
  <c r="AW144" i="2" s="1"/>
  <c r="AW142" i="2" s="1"/>
  <c r="AX120" i="2"/>
  <c r="AX132" i="2" l="1"/>
  <c r="AX124" i="2"/>
  <c r="AX128" i="2" s="1"/>
  <c r="AW145" i="2"/>
  <c r="AW51" i="2"/>
  <c r="AW49" i="2" s="1"/>
  <c r="AW199" i="2"/>
  <c r="AX121" i="2" l="1"/>
  <c r="AX190" i="2" s="1"/>
  <c r="AW200" i="2"/>
  <c r="AW116" i="2" s="1"/>
  <c r="AX137" i="2"/>
  <c r="AW31" i="2"/>
  <c r="AW201" i="2" l="1"/>
  <c r="AX141" i="2"/>
  <c r="AX143" i="2" s="1"/>
  <c r="AX147" i="2"/>
  <c r="AW207" i="2"/>
  <c r="AW53" i="2"/>
  <c r="AW45" i="2" s="1"/>
  <c r="AW55" i="2" s="1"/>
  <c r="AW59" i="2" s="1"/>
  <c r="AW117" i="2"/>
  <c r="AW95" i="4" l="1"/>
  <c r="AW208" i="2"/>
  <c r="AX187" i="2"/>
  <c r="AX112" i="2"/>
  <c r="AW30" i="2"/>
  <c r="AW29" i="2" s="1"/>
  <c r="AW27" i="2" s="1"/>
  <c r="AW94" i="4" s="1"/>
  <c r="AX57" i="2"/>
  <c r="AX76" i="2"/>
  <c r="AX99" i="2" s="1"/>
  <c r="AX85" i="6" s="1"/>
  <c r="AX52" i="2"/>
  <c r="AX192" i="2" s="1"/>
  <c r="AX138" i="2"/>
  <c r="AX71" i="2"/>
  <c r="AY155" i="2" s="1"/>
  <c r="AX181" i="13" l="1"/>
  <c r="AX37" i="13" s="1"/>
  <c r="AX89" i="2"/>
  <c r="AX98" i="2"/>
  <c r="AX66" i="2"/>
  <c r="AX75" i="2"/>
  <c r="AX15" i="2"/>
  <c r="AW25" i="2"/>
  <c r="AW93" i="4" s="1"/>
  <c r="AX191" i="2"/>
  <c r="AX48" i="2"/>
  <c r="AX46" i="2" s="1"/>
  <c r="AX84" i="6" l="1"/>
  <c r="AX180" i="13"/>
  <c r="AX176" i="13" s="1"/>
  <c r="AX36" i="13"/>
  <c r="AX32" i="13" s="1"/>
  <c r="AX88" i="2"/>
  <c r="AX9" i="2"/>
  <c r="AY154" i="2"/>
  <c r="AY43" i="2" s="1"/>
  <c r="AY169" i="2"/>
  <c r="AY93" i="6" s="1"/>
  <c r="AX12" i="2"/>
  <c r="AX11" i="2" s="1"/>
  <c r="AX7" i="2"/>
  <c r="AX80" i="6" l="1"/>
  <c r="AY191" i="13"/>
  <c r="AY45" i="13" s="1"/>
  <c r="AX6" i="2"/>
  <c r="AX17" i="2" s="1"/>
  <c r="AX19" i="2" s="1"/>
  <c r="AX42" i="2" s="1"/>
  <c r="AY170" i="2"/>
  <c r="AY168" i="2" s="1"/>
  <c r="AX36" i="2"/>
  <c r="AX83" i="2"/>
  <c r="AX84" i="2" s="1"/>
  <c r="AY104" i="2" l="1"/>
  <c r="AY81" i="2"/>
  <c r="AX21" i="2"/>
  <c r="AX114" i="2" s="1"/>
  <c r="AY171" i="2"/>
  <c r="AY80" i="2" s="1"/>
  <c r="AY103" i="2" s="1"/>
  <c r="AX26" i="2"/>
  <c r="AY65" i="2"/>
  <c r="AX35" i="2"/>
  <c r="AY79" i="2" l="1"/>
  <c r="AY78" i="2" s="1"/>
  <c r="AY102" i="2"/>
  <c r="AY75" i="6" s="1"/>
  <c r="AX188" i="2"/>
  <c r="AX193" i="2" s="1"/>
  <c r="AX61" i="2"/>
  <c r="AY125" i="2"/>
  <c r="AY171" i="13" l="1"/>
  <c r="AY27" i="13" s="1"/>
  <c r="AY101" i="2"/>
  <c r="AX194" i="2"/>
  <c r="AX50" i="2" l="1"/>
  <c r="AX115" i="2"/>
  <c r="AX206" i="2"/>
  <c r="AX195" i="2"/>
  <c r="AX196" i="2" l="1"/>
  <c r="AX129" i="2" s="1"/>
  <c r="AX126" i="2" s="1"/>
  <c r="AX130" i="2" l="1"/>
  <c r="AX197" i="2"/>
  <c r="AX198" i="2" l="1"/>
  <c r="AX144" i="2" s="1"/>
  <c r="AX142" i="2" s="1"/>
  <c r="AY120" i="2"/>
  <c r="AY132" i="2" l="1"/>
  <c r="AY124" i="2"/>
  <c r="AY128" i="2" s="1"/>
  <c r="AX145" i="2"/>
  <c r="AX51" i="2"/>
  <c r="AX49" i="2" s="1"/>
  <c r="AX199" i="2"/>
  <c r="AY121" i="2" l="1"/>
  <c r="AY190" i="2" s="1"/>
  <c r="AX200" i="2"/>
  <c r="AX116" i="2" s="1"/>
  <c r="AY137" i="2"/>
  <c r="AX31" i="2"/>
  <c r="AY141" i="2" l="1"/>
  <c r="AY143" i="2" s="1"/>
  <c r="AY147" i="2"/>
  <c r="AX201" i="2"/>
  <c r="AX207" i="2"/>
  <c r="AX53" i="2"/>
  <c r="AX45" i="2" s="1"/>
  <c r="AX55" i="2" s="1"/>
  <c r="AX59" i="2" s="1"/>
  <c r="AX117" i="2"/>
  <c r="AX95" i="4" l="1"/>
  <c r="AX208" i="2"/>
  <c r="AY76" i="2"/>
  <c r="AY99" i="2" s="1"/>
  <c r="AY85" i="6" s="1"/>
  <c r="AY52" i="2"/>
  <c r="AY192" i="2" s="1"/>
  <c r="AY138" i="2"/>
  <c r="AY71" i="2"/>
  <c r="AZ155" i="2" s="1"/>
  <c r="AY112" i="2"/>
  <c r="AX30" i="2"/>
  <c r="AX29" i="2" s="1"/>
  <c r="AX27" i="2" s="1"/>
  <c r="AX25" i="2" s="1"/>
  <c r="AX93" i="4" s="1"/>
  <c r="AY57" i="2"/>
  <c r="AY187" i="2"/>
  <c r="AY181" i="13" l="1"/>
  <c r="AY37" i="13" s="1"/>
  <c r="AX94" i="4"/>
  <c r="AY89" i="2"/>
  <c r="AY98" i="2"/>
  <c r="AY66" i="2"/>
  <c r="AY48" i="2"/>
  <c r="AY46" i="2" s="1"/>
  <c r="AY191" i="2"/>
  <c r="AY15" i="2"/>
  <c r="AY75" i="2"/>
  <c r="AY84" i="6" l="1"/>
  <c r="AY180" i="13"/>
  <c r="AY176" i="13" s="1"/>
  <c r="AY36" i="13"/>
  <c r="AY32" i="13" s="1"/>
  <c r="AY88" i="2"/>
  <c r="AZ169" i="2"/>
  <c r="AZ93" i="6" s="1"/>
  <c r="AZ154" i="2"/>
  <c r="AZ43" i="2" s="1"/>
  <c r="AY9" i="2"/>
  <c r="AY12" i="2"/>
  <c r="AY11" i="2" s="1"/>
  <c r="AY7" i="2"/>
  <c r="AY80" i="6" l="1"/>
  <c r="AZ191" i="13"/>
  <c r="AZ45" i="13" s="1"/>
  <c r="AZ170" i="2"/>
  <c r="AZ168" i="2" s="1"/>
  <c r="AY6" i="2"/>
  <c r="AY17" i="2" s="1"/>
  <c r="AY19" i="2" s="1"/>
  <c r="AY42" i="2" s="1"/>
  <c r="AY36" i="2"/>
  <c r="AY83" i="2"/>
  <c r="AY84" i="2" s="1"/>
  <c r="AZ104" i="2" l="1"/>
  <c r="AZ81" i="2"/>
  <c r="AY35" i="2"/>
  <c r="AY188" i="2" s="1"/>
  <c r="AY193" i="2" s="1"/>
  <c r="AY21" i="2"/>
  <c r="AY114" i="2" s="1"/>
  <c r="AY26" i="2"/>
  <c r="AZ65" i="2"/>
  <c r="AZ171" i="2"/>
  <c r="AZ80" i="2" s="1"/>
  <c r="AZ103" i="2" s="1"/>
  <c r="AZ79" i="2" l="1"/>
  <c r="AZ78" i="2" s="1"/>
  <c r="AZ102" i="2"/>
  <c r="AZ75" i="6" s="1"/>
  <c r="AY61" i="2"/>
  <c r="AZ125" i="2"/>
  <c r="AY194" i="2"/>
  <c r="AZ171" i="13" l="1"/>
  <c r="AZ27" i="13" s="1"/>
  <c r="AZ101" i="2"/>
  <c r="AY206" i="2"/>
  <c r="AY50" i="2"/>
  <c r="AY115" i="2"/>
  <c r="AY195" i="2"/>
  <c r="AY196" i="2" l="1"/>
  <c r="AY129" i="2" s="1"/>
  <c r="AY126" i="2" s="1"/>
  <c r="AY130" i="2" l="1"/>
  <c r="AY197" i="2"/>
  <c r="AY198" i="2" l="1"/>
  <c r="AY144" i="2" s="1"/>
  <c r="AY142" i="2" s="1"/>
  <c r="AZ120" i="2"/>
  <c r="AZ132" i="2" l="1"/>
  <c r="AZ124" i="2"/>
  <c r="AZ128" i="2" s="1"/>
  <c r="AY145" i="2"/>
  <c r="AY51" i="2"/>
  <c r="AY49" i="2" s="1"/>
  <c r="AY199" i="2"/>
  <c r="AZ121" i="2" l="1"/>
  <c r="AZ190" i="2" s="1"/>
  <c r="AY200" i="2"/>
  <c r="AY116" i="2" s="1"/>
  <c r="AZ137" i="2"/>
  <c r="AY31" i="2"/>
  <c r="AY201" i="2" l="1"/>
  <c r="AZ141" i="2"/>
  <c r="AZ143" i="2" s="1"/>
  <c r="AZ147" i="2"/>
  <c r="AY207" i="2"/>
  <c r="AY53" i="2"/>
  <c r="AY45" i="2" s="1"/>
  <c r="AY55" i="2" s="1"/>
  <c r="AY59" i="2" s="1"/>
  <c r="AY117" i="2"/>
  <c r="AY95" i="4" l="1"/>
  <c r="AY208" i="2"/>
  <c r="AZ52" i="2"/>
  <c r="AZ192" i="2" s="1"/>
  <c r="AZ76" i="2"/>
  <c r="AZ99" i="2" s="1"/>
  <c r="AZ85" i="6" s="1"/>
  <c r="AZ57" i="2"/>
  <c r="AZ112" i="2"/>
  <c r="AY30" i="2"/>
  <c r="AY29" i="2" s="1"/>
  <c r="AY27" i="2" s="1"/>
  <c r="AY25" i="2" s="1"/>
  <c r="AY93" i="4" s="1"/>
  <c r="AZ138" i="2"/>
  <c r="AZ71" i="2"/>
  <c r="BA155" i="2" s="1"/>
  <c r="AZ187" i="2"/>
  <c r="AZ181" i="13" l="1"/>
  <c r="AZ37" i="13" s="1"/>
  <c r="AY94" i="4"/>
  <c r="AZ89" i="2"/>
  <c r="AZ98" i="2"/>
  <c r="AZ84" i="6"/>
  <c r="AZ48" i="2"/>
  <c r="AZ46" i="2" s="1"/>
  <c r="AZ15" i="2"/>
  <c r="AZ75" i="2"/>
  <c r="AZ66" i="2"/>
  <c r="AZ191" i="2"/>
  <c r="AZ80" i="6" l="1"/>
  <c r="AZ180" i="13"/>
  <c r="AZ176" i="13" s="1"/>
  <c r="AZ36" i="13"/>
  <c r="AZ32" i="13" s="1"/>
  <c r="AZ88" i="2"/>
  <c r="BA169" i="2"/>
  <c r="BA93" i="6" s="1"/>
  <c r="BA154" i="2"/>
  <c r="N155" i="2"/>
  <c r="AZ12" i="2"/>
  <c r="AZ11" i="2" s="1"/>
  <c r="AZ7" i="2"/>
  <c r="AZ9" i="2"/>
  <c r="BA191" i="13" l="1"/>
  <c r="BA45" i="13" s="1"/>
  <c r="AZ6" i="2"/>
  <c r="AZ17" i="2" s="1"/>
  <c r="AZ36" i="2"/>
  <c r="AZ83" i="2"/>
  <c r="AZ84" i="2" s="1"/>
  <c r="BA43" i="2"/>
  <c r="N43" i="2" s="1"/>
  <c r="N154" i="2"/>
  <c r="N169" i="2"/>
  <c r="BA170" i="2"/>
  <c r="N170" i="2" s="1"/>
  <c r="N45" i="13" l="1"/>
  <c r="N191" i="13"/>
  <c r="AZ19" i="2"/>
  <c r="AZ42" i="2" s="1"/>
  <c r="AZ35" i="2" s="1"/>
  <c r="BA168" i="2"/>
  <c r="BA65" i="2"/>
  <c r="AZ26" i="2"/>
  <c r="BA104" i="2" l="1"/>
  <c r="N104" i="2" s="1"/>
  <c r="BA81" i="2"/>
  <c r="N81" i="2" s="1"/>
  <c r="AZ21" i="2"/>
  <c r="AZ114" i="2" s="1"/>
  <c r="N168" i="2"/>
  <c r="BA171" i="2"/>
  <c r="BA80" i="2" s="1"/>
  <c r="BA103" i="2" s="1"/>
  <c r="AZ61" i="2"/>
  <c r="AZ188" i="2"/>
  <c r="AZ193" i="2" s="1"/>
  <c r="BA79" i="2" l="1"/>
  <c r="N80" i="2"/>
  <c r="BA125" i="2"/>
  <c r="N171" i="2"/>
  <c r="AZ194" i="2"/>
  <c r="BA78" i="2" l="1"/>
  <c r="N78" i="2" s="1"/>
  <c r="N79" i="2"/>
  <c r="N103" i="2"/>
  <c r="BA102" i="2"/>
  <c r="BA75" i="6" s="1"/>
  <c r="AZ50" i="2"/>
  <c r="AZ115" i="2"/>
  <c r="AZ206" i="2"/>
  <c r="AZ195" i="2"/>
  <c r="N125" i="2"/>
  <c r="BA171" i="13" l="1"/>
  <c r="BA27" i="13" s="1"/>
  <c r="BA101" i="2"/>
  <c r="N101" i="2" s="1"/>
  <c r="N102" i="2"/>
  <c r="AZ196" i="2"/>
  <c r="AZ129" i="2" s="1"/>
  <c r="AZ126" i="2" s="1"/>
  <c r="N75" i="6" l="1"/>
  <c r="N27" i="13"/>
  <c r="N171" i="13"/>
  <c r="N93" i="6"/>
  <c r="K15" i="6" s="1"/>
  <c r="AZ130" i="2"/>
  <c r="AZ197" i="2"/>
  <c r="BA120" i="2" l="1"/>
  <c r="AZ198" i="2"/>
  <c r="AZ144" i="2" s="1"/>
  <c r="AZ142" i="2" s="1"/>
  <c r="AZ199" i="2" l="1"/>
  <c r="AZ145" i="2"/>
  <c r="AZ51" i="2"/>
  <c r="AZ49" i="2" s="1"/>
  <c r="BA132" i="2"/>
  <c r="BA124" i="2"/>
  <c r="BA128" i="2" s="1"/>
  <c r="BA121" i="2" l="1"/>
  <c r="N124" i="2"/>
  <c r="N132" i="2"/>
  <c r="BA137" i="2"/>
  <c r="AZ31" i="2"/>
  <c r="AZ200" i="2"/>
  <c r="AZ116" i="2" s="1"/>
  <c r="N121" i="2" l="1"/>
  <c r="N128" i="2"/>
  <c r="BA141" i="2"/>
  <c r="BA143" i="2" s="1"/>
  <c r="BA147" i="2"/>
  <c r="AZ53" i="2"/>
  <c r="AZ45" i="2" s="1"/>
  <c r="AZ55" i="2" s="1"/>
  <c r="AZ59" i="2" s="1"/>
  <c r="AZ207" i="2"/>
  <c r="AZ117" i="2"/>
  <c r="AZ201" i="2"/>
  <c r="BA190" i="2"/>
  <c r="N190" i="2" s="1"/>
  <c r="AZ95" i="4" l="1"/>
  <c r="AZ208" i="2"/>
  <c r="BA138" i="2"/>
  <c r="N141" i="2"/>
  <c r="BA71" i="2"/>
  <c r="BA187" i="2"/>
  <c r="BA112" i="2"/>
  <c r="AZ30" i="2"/>
  <c r="AZ29" i="2" s="1"/>
  <c r="AZ27" i="2" s="1"/>
  <c r="AZ25" i="2" s="1"/>
  <c r="AZ93" i="4" s="1"/>
  <c r="BA57" i="2"/>
  <c r="N147" i="2"/>
  <c r="BA52" i="2"/>
  <c r="BA76" i="2"/>
  <c r="AZ94" i="4" l="1"/>
  <c r="BA89" i="2"/>
  <c r="N71" i="2"/>
  <c r="BA99" i="2"/>
  <c r="N76" i="2"/>
  <c r="BA192" i="2"/>
  <c r="N192" i="2" s="1"/>
  <c r="N52" i="2"/>
  <c r="BA66" i="2"/>
  <c r="N143" i="2"/>
  <c r="BA191" i="2"/>
  <c r="N191" i="2" s="1"/>
  <c r="BA75" i="2"/>
  <c r="BA15" i="2"/>
  <c r="N15" i="2" s="1"/>
  <c r="N138" i="2"/>
  <c r="BA48" i="2"/>
  <c r="BA181" i="13" l="1"/>
  <c r="BA85" i="6"/>
  <c r="N99" i="2"/>
  <c r="BA98" i="2"/>
  <c r="BA88" i="2" s="1"/>
  <c r="N75" i="2"/>
  <c r="N89" i="2"/>
  <c r="N94" i="2"/>
  <c r="N66" i="2"/>
  <c r="BA12" i="2"/>
  <c r="BA7" i="2"/>
  <c r="BA46" i="2"/>
  <c r="N48" i="2"/>
  <c r="BA180" i="13" l="1"/>
  <c r="BA176" i="13" s="1"/>
  <c r="N176" i="13" s="1"/>
  <c r="S133" i="13" s="1"/>
  <c r="BA37" i="13"/>
  <c r="BA36" i="13" s="1"/>
  <c r="N181" i="13"/>
  <c r="U93" i="2"/>
  <c r="U73" i="6" s="1"/>
  <c r="AU93" i="2"/>
  <c r="AU73" i="6" s="1"/>
  <c r="AM93" i="2"/>
  <c r="AM73" i="6" s="1"/>
  <c r="AE93" i="2"/>
  <c r="AE73" i="6" s="1"/>
  <c r="W93" i="2"/>
  <c r="W73" i="6" s="1"/>
  <c r="AZ92" i="2"/>
  <c r="AZ72" i="6" s="1"/>
  <c r="AR92" i="2"/>
  <c r="AR72" i="6" s="1"/>
  <c r="AJ92" i="2"/>
  <c r="AJ72" i="6" s="1"/>
  <c r="AB92" i="2"/>
  <c r="AB72" i="6" s="1"/>
  <c r="T92" i="2"/>
  <c r="T72" i="6" s="1"/>
  <c r="AW91" i="2"/>
  <c r="AW71" i="6" s="1"/>
  <c r="AO91" i="2"/>
  <c r="AO71" i="6" s="1"/>
  <c r="AG91" i="2"/>
  <c r="AG71" i="6" s="1"/>
  <c r="Y91" i="2"/>
  <c r="Y71" i="6" s="1"/>
  <c r="Q91" i="2"/>
  <c r="Q71" i="6" s="1"/>
  <c r="AT90" i="2"/>
  <c r="AT70" i="6" s="1"/>
  <c r="AL90" i="2"/>
  <c r="AL70" i="6" s="1"/>
  <c r="AD90" i="2"/>
  <c r="AD70" i="6" s="1"/>
  <c r="V90" i="2"/>
  <c r="V70" i="6" s="1"/>
  <c r="AT93" i="2"/>
  <c r="AT73" i="6" s="1"/>
  <c r="AL93" i="2"/>
  <c r="AL73" i="6" s="1"/>
  <c r="AD93" i="2"/>
  <c r="AD73" i="6" s="1"/>
  <c r="V93" i="2"/>
  <c r="V73" i="6" s="1"/>
  <c r="AY92" i="2"/>
  <c r="AY72" i="6" s="1"/>
  <c r="AQ92" i="2"/>
  <c r="AQ72" i="6" s="1"/>
  <c r="AI92" i="2"/>
  <c r="AI72" i="6" s="1"/>
  <c r="AA92" i="2"/>
  <c r="AA72" i="6" s="1"/>
  <c r="S92" i="2"/>
  <c r="S72" i="6" s="1"/>
  <c r="AV91" i="2"/>
  <c r="AV71" i="6" s="1"/>
  <c r="AN91" i="2"/>
  <c r="AN71" i="6" s="1"/>
  <c r="AF91" i="2"/>
  <c r="AF71" i="6" s="1"/>
  <c r="X91" i="2"/>
  <c r="X71" i="6" s="1"/>
  <c r="BA90" i="2"/>
  <c r="BA70" i="6" s="1"/>
  <c r="AS90" i="2"/>
  <c r="AS70" i="6" s="1"/>
  <c r="AK90" i="2"/>
  <c r="AK70" i="6" s="1"/>
  <c r="AS93" i="2"/>
  <c r="AS73" i="6" s="1"/>
  <c r="AP92" i="2"/>
  <c r="AP72" i="6" s="1"/>
  <c r="Z92" i="2"/>
  <c r="Z72" i="6" s="1"/>
  <c r="AM91" i="2"/>
  <c r="AM71" i="6" s="1"/>
  <c r="AZ90" i="2"/>
  <c r="AZ70" i="6" s="1"/>
  <c r="T90" i="2"/>
  <c r="T70" i="6" s="1"/>
  <c r="BA93" i="2"/>
  <c r="BA73" i="6" s="1"/>
  <c r="AR90" i="2"/>
  <c r="AR70" i="6" s="1"/>
  <c r="AZ93" i="2"/>
  <c r="AZ73" i="6" s="1"/>
  <c r="AR93" i="2"/>
  <c r="AR73" i="6" s="1"/>
  <c r="AJ93" i="2"/>
  <c r="AJ73" i="6" s="1"/>
  <c r="AB93" i="2"/>
  <c r="AB73" i="6" s="1"/>
  <c r="T93" i="2"/>
  <c r="T73" i="6" s="1"/>
  <c r="AW92" i="2"/>
  <c r="AW72" i="6" s="1"/>
  <c r="AO92" i="2"/>
  <c r="AO72" i="6" s="1"/>
  <c r="AG92" i="2"/>
  <c r="AG72" i="6" s="1"/>
  <c r="Y92" i="2"/>
  <c r="Y72" i="6" s="1"/>
  <c r="Q92" i="2"/>
  <c r="Q72" i="6" s="1"/>
  <c r="AT91" i="2"/>
  <c r="AT71" i="6" s="1"/>
  <c r="AL91" i="2"/>
  <c r="AL71" i="6" s="1"/>
  <c r="AD91" i="2"/>
  <c r="AD71" i="6" s="1"/>
  <c r="V91" i="2"/>
  <c r="V71" i="6" s="1"/>
  <c r="AY90" i="2"/>
  <c r="AY70" i="6" s="1"/>
  <c r="AQ90" i="2"/>
  <c r="AQ70" i="6" s="1"/>
  <c r="AI90" i="2"/>
  <c r="AI70" i="6" s="1"/>
  <c r="AA90" i="2"/>
  <c r="AA70" i="6" s="1"/>
  <c r="S90" i="2"/>
  <c r="S70" i="6" s="1"/>
  <c r="AY93" i="2"/>
  <c r="AY73" i="6" s="1"/>
  <c r="AQ93" i="2"/>
  <c r="AQ73" i="6" s="1"/>
  <c r="AI93" i="2"/>
  <c r="AI73" i="6" s="1"/>
  <c r="AA93" i="2"/>
  <c r="AA73" i="6" s="1"/>
  <c r="S93" i="2"/>
  <c r="S73" i="6" s="1"/>
  <c r="AV92" i="2"/>
  <c r="AV72" i="6" s="1"/>
  <c r="AN92" i="2"/>
  <c r="AN72" i="6" s="1"/>
  <c r="AF92" i="2"/>
  <c r="AF72" i="6" s="1"/>
  <c r="X92" i="2"/>
  <c r="X72" i="6" s="1"/>
  <c r="BA91" i="2"/>
  <c r="BA71" i="6" s="1"/>
  <c r="AS91" i="2"/>
  <c r="AS71" i="6" s="1"/>
  <c r="AK91" i="2"/>
  <c r="AK71" i="6" s="1"/>
  <c r="AC91" i="2"/>
  <c r="AC71" i="6" s="1"/>
  <c r="U91" i="2"/>
  <c r="U71" i="6" s="1"/>
  <c r="AX90" i="2"/>
  <c r="AX70" i="6" s="1"/>
  <c r="AP90" i="2"/>
  <c r="AP70" i="6" s="1"/>
  <c r="AH90" i="2"/>
  <c r="AH70" i="6" s="1"/>
  <c r="Z90" i="2"/>
  <c r="Z70" i="6" s="1"/>
  <c r="R90" i="2"/>
  <c r="R70" i="6" s="1"/>
  <c r="AC90" i="2"/>
  <c r="AC70" i="6" s="1"/>
  <c r="AC93" i="2"/>
  <c r="AC73" i="6" s="1"/>
  <c r="R92" i="2"/>
  <c r="R72" i="6" s="1"/>
  <c r="W91" i="2"/>
  <c r="W71" i="6" s="1"/>
  <c r="AB90" i="2"/>
  <c r="AB70" i="6" s="1"/>
  <c r="AX93" i="2"/>
  <c r="AX73" i="6" s="1"/>
  <c r="AP93" i="2"/>
  <c r="AP73" i="6" s="1"/>
  <c r="AH93" i="2"/>
  <c r="AH73" i="6" s="1"/>
  <c r="Z93" i="2"/>
  <c r="Z73" i="6" s="1"/>
  <c r="R93" i="2"/>
  <c r="R73" i="6" s="1"/>
  <c r="AU92" i="2"/>
  <c r="AU72" i="6" s="1"/>
  <c r="AM92" i="2"/>
  <c r="AM72" i="6" s="1"/>
  <c r="AE92" i="2"/>
  <c r="AE72" i="6" s="1"/>
  <c r="W92" i="2"/>
  <c r="W72" i="6" s="1"/>
  <c r="AZ91" i="2"/>
  <c r="AZ71" i="6" s="1"/>
  <c r="AR91" i="2"/>
  <c r="AR71" i="6" s="1"/>
  <c r="AJ91" i="2"/>
  <c r="AJ71" i="6" s="1"/>
  <c r="AB91" i="2"/>
  <c r="AB71" i="6" s="1"/>
  <c r="T91" i="2"/>
  <c r="T71" i="6" s="1"/>
  <c r="AW90" i="2"/>
  <c r="AW70" i="6" s="1"/>
  <c r="AO90" i="2"/>
  <c r="AO70" i="6" s="1"/>
  <c r="AG90" i="2"/>
  <c r="AG70" i="6" s="1"/>
  <c r="Y90" i="2"/>
  <c r="Y70" i="6" s="1"/>
  <c r="Q90" i="2"/>
  <c r="AV93" i="2"/>
  <c r="AV73" i="6" s="1"/>
  <c r="AN93" i="2"/>
  <c r="AN73" i="6" s="1"/>
  <c r="AF93" i="2"/>
  <c r="AF73" i="6" s="1"/>
  <c r="X93" i="2"/>
  <c r="X73" i="6" s="1"/>
  <c r="BA92" i="2"/>
  <c r="BA72" i="6" s="1"/>
  <c r="AS92" i="2"/>
  <c r="AS72" i="6" s="1"/>
  <c r="AK92" i="2"/>
  <c r="AK72" i="6" s="1"/>
  <c r="AC92" i="2"/>
  <c r="AC72" i="6" s="1"/>
  <c r="U92" i="2"/>
  <c r="U72" i="6" s="1"/>
  <c r="AX91" i="2"/>
  <c r="AX71" i="6" s="1"/>
  <c r="AP91" i="2"/>
  <c r="AP71" i="6" s="1"/>
  <c r="AH91" i="2"/>
  <c r="AH71" i="6" s="1"/>
  <c r="Z91" i="2"/>
  <c r="Z71" i="6" s="1"/>
  <c r="R91" i="2"/>
  <c r="R71" i="6" s="1"/>
  <c r="AU90" i="2"/>
  <c r="AU70" i="6" s="1"/>
  <c r="AM90" i="2"/>
  <c r="AM70" i="6" s="1"/>
  <c r="AE90" i="2"/>
  <c r="AE70" i="6" s="1"/>
  <c r="W90" i="2"/>
  <c r="W70" i="6" s="1"/>
  <c r="U90" i="2"/>
  <c r="U70" i="6" s="1"/>
  <c r="AK93" i="2"/>
  <c r="AK73" i="6" s="1"/>
  <c r="AX92" i="2"/>
  <c r="AX72" i="6" s="1"/>
  <c r="AH92" i="2"/>
  <c r="AH72" i="6" s="1"/>
  <c r="AU91" i="2"/>
  <c r="AU71" i="6" s="1"/>
  <c r="AE91" i="2"/>
  <c r="AE71" i="6" s="1"/>
  <c r="AJ90" i="2"/>
  <c r="AJ70" i="6" s="1"/>
  <c r="AW93" i="2"/>
  <c r="AW73" i="6" s="1"/>
  <c r="AO93" i="2"/>
  <c r="AO73" i="6" s="1"/>
  <c r="AG93" i="2"/>
  <c r="AG73" i="6" s="1"/>
  <c r="Y93" i="2"/>
  <c r="Y73" i="6" s="1"/>
  <c r="Q93" i="2"/>
  <c r="Q73" i="6" s="1"/>
  <c r="AT92" i="2"/>
  <c r="AT72" i="6" s="1"/>
  <c r="AL92" i="2"/>
  <c r="AL72" i="6" s="1"/>
  <c r="AD92" i="2"/>
  <c r="AD72" i="6" s="1"/>
  <c r="V92" i="2"/>
  <c r="V72" i="6" s="1"/>
  <c r="AY91" i="2"/>
  <c r="AY71" i="6" s="1"/>
  <c r="AQ91" i="2"/>
  <c r="AQ71" i="6" s="1"/>
  <c r="AI91" i="2"/>
  <c r="AI71" i="6" s="1"/>
  <c r="AA91" i="2"/>
  <c r="AA71" i="6" s="1"/>
  <c r="S91" i="2"/>
  <c r="S71" i="6" s="1"/>
  <c r="AV90" i="2"/>
  <c r="AV70" i="6" s="1"/>
  <c r="AN90" i="2"/>
  <c r="AN70" i="6" s="1"/>
  <c r="AF90" i="2"/>
  <c r="AF70" i="6" s="1"/>
  <c r="X90" i="2"/>
  <c r="X70" i="6" s="1"/>
  <c r="AZ94" i="2"/>
  <c r="AZ74" i="6" s="1"/>
  <c r="AR94" i="2"/>
  <c r="AR74" i="6" s="1"/>
  <c r="AJ94" i="2"/>
  <c r="AJ74" i="6" s="1"/>
  <c r="AB94" i="2"/>
  <c r="AB74" i="6" s="1"/>
  <c r="T94" i="2"/>
  <c r="T74" i="6" s="1"/>
  <c r="AY94" i="2"/>
  <c r="AY74" i="6" s="1"/>
  <c r="AQ94" i="2"/>
  <c r="AQ74" i="6" s="1"/>
  <c r="AI94" i="2"/>
  <c r="AI74" i="6" s="1"/>
  <c r="AA94" i="2"/>
  <c r="AA74" i="6" s="1"/>
  <c r="S94" i="2"/>
  <c r="S74" i="6" s="1"/>
  <c r="AW94" i="2"/>
  <c r="AW74" i="6" s="1"/>
  <c r="AO94" i="2"/>
  <c r="AO74" i="6" s="1"/>
  <c r="AG94" i="2"/>
  <c r="AG74" i="6" s="1"/>
  <c r="Y94" i="2"/>
  <c r="Y74" i="6" s="1"/>
  <c r="Q94" i="2"/>
  <c r="Q74" i="6" s="1"/>
  <c r="AL94" i="2"/>
  <c r="AL74" i="6" s="1"/>
  <c r="BA94" i="2"/>
  <c r="BA74" i="6" s="1"/>
  <c r="U94" i="2"/>
  <c r="U74" i="6" s="1"/>
  <c r="AX94" i="2"/>
  <c r="AX74" i="6" s="1"/>
  <c r="AP94" i="2"/>
  <c r="AP74" i="6" s="1"/>
  <c r="AH94" i="2"/>
  <c r="AH74" i="6" s="1"/>
  <c r="Z94" i="2"/>
  <c r="Z74" i="6" s="1"/>
  <c r="R94" i="2"/>
  <c r="R74" i="6" s="1"/>
  <c r="AD94" i="2"/>
  <c r="AD74" i="6" s="1"/>
  <c r="AK94" i="2"/>
  <c r="AK74" i="6" s="1"/>
  <c r="AV94" i="2"/>
  <c r="AV74" i="6" s="1"/>
  <c r="AN94" i="2"/>
  <c r="AN74" i="6" s="1"/>
  <c r="AF94" i="2"/>
  <c r="AF74" i="6" s="1"/>
  <c r="X94" i="2"/>
  <c r="X74" i="6" s="1"/>
  <c r="AU94" i="2"/>
  <c r="AU74" i="6" s="1"/>
  <c r="AM94" i="2"/>
  <c r="AM74" i="6" s="1"/>
  <c r="AE94" i="2"/>
  <c r="AE74" i="6" s="1"/>
  <c r="W94" i="2"/>
  <c r="W74" i="6" s="1"/>
  <c r="V94" i="2"/>
  <c r="V74" i="6" s="1"/>
  <c r="AS94" i="2"/>
  <c r="AS74" i="6" s="1"/>
  <c r="AT94" i="2"/>
  <c r="AT74" i="6" s="1"/>
  <c r="AC94" i="2"/>
  <c r="AC74" i="6" s="1"/>
  <c r="BA84" i="6"/>
  <c r="N85" i="6"/>
  <c r="N98" i="2"/>
  <c r="N46" i="2"/>
  <c r="BA83" i="2"/>
  <c r="BA84" i="2" s="1"/>
  <c r="BA36" i="2"/>
  <c r="N88" i="2"/>
  <c r="N7" i="2"/>
  <c r="BA11" i="2"/>
  <c r="N11" i="2" s="1"/>
  <c r="N12" i="2"/>
  <c r="BA9" i="2"/>
  <c r="N9" i="2" s="1"/>
  <c r="N180" i="13" l="1"/>
  <c r="N37" i="13"/>
  <c r="Q70" i="6"/>
  <c r="Q69" i="6" s="1"/>
  <c r="BA80" i="6"/>
  <c r="N80" i="6" s="1"/>
  <c r="K7" i="6" s="1"/>
  <c r="R69" i="6"/>
  <c r="Y170" i="13"/>
  <c r="Y26" i="13" s="1"/>
  <c r="AK167" i="13"/>
  <c r="AK23" i="13" s="1"/>
  <c r="BA169" i="13"/>
  <c r="BA25" i="13" s="1"/>
  <c r="AC170" i="13"/>
  <c r="AC26" i="13" s="1"/>
  <c r="X170" i="13"/>
  <c r="X26" i="13" s="1"/>
  <c r="AH170" i="13"/>
  <c r="AH26" i="13" s="1"/>
  <c r="AG170" i="13"/>
  <c r="AG26" i="13" s="1"/>
  <c r="T170" i="13"/>
  <c r="T26" i="13" s="1"/>
  <c r="AV166" i="13"/>
  <c r="AV22" i="13" s="1"/>
  <c r="AL168" i="13"/>
  <c r="AL24" i="13" s="1"/>
  <c r="AE167" i="13"/>
  <c r="AE23" i="13" s="1"/>
  <c r="AM166" i="13"/>
  <c r="AM22" i="13" s="1"/>
  <c r="AC168" i="13"/>
  <c r="AC24" i="13" s="1"/>
  <c r="Q166" i="13"/>
  <c r="Q22" i="13" s="1"/>
  <c r="AR167" i="13"/>
  <c r="AR23" i="13" s="1"/>
  <c r="AH169" i="13"/>
  <c r="AH25" i="13" s="1"/>
  <c r="R166" i="13"/>
  <c r="R22" i="13" s="1"/>
  <c r="AS167" i="13"/>
  <c r="AS23" i="13" s="1"/>
  <c r="AI169" i="13"/>
  <c r="AI25" i="13" s="1"/>
  <c r="V167" i="13"/>
  <c r="V23" i="13" s="1"/>
  <c r="AW168" i="13"/>
  <c r="AW24" i="13" s="1"/>
  <c r="T166" i="13"/>
  <c r="T22" i="13" s="1"/>
  <c r="BA166" i="13"/>
  <c r="BA22" i="13" s="1"/>
  <c r="AQ168" i="13"/>
  <c r="AQ24" i="13" s="1"/>
  <c r="AL166" i="13"/>
  <c r="AL22" i="13" s="1"/>
  <c r="AB168" i="13"/>
  <c r="AB24" i="13" s="1"/>
  <c r="U169" i="13"/>
  <c r="U25" i="13" s="1"/>
  <c r="AY170" i="13"/>
  <c r="AY26" i="13" s="1"/>
  <c r="U168" i="13"/>
  <c r="U24" i="13" s="1"/>
  <c r="AC166" i="13"/>
  <c r="AC22" i="13" s="1"/>
  <c r="AY166" i="13"/>
  <c r="AY22" i="13" s="1"/>
  <c r="AI168" i="13"/>
  <c r="AI24" i="13" s="1"/>
  <c r="AT170" i="13"/>
  <c r="AT26" i="13" s="1"/>
  <c r="AF170" i="13"/>
  <c r="AF26" i="13" s="1"/>
  <c r="AP170" i="13"/>
  <c r="AP26" i="13" s="1"/>
  <c r="AO170" i="13"/>
  <c r="AO26" i="13" s="1"/>
  <c r="AB170" i="13"/>
  <c r="AB26" i="13" s="1"/>
  <c r="S167" i="13"/>
  <c r="S23" i="13" s="1"/>
  <c r="AT168" i="13"/>
  <c r="AT24" i="13" s="1"/>
  <c r="AU167" i="13"/>
  <c r="AU23" i="13" s="1"/>
  <c r="AU166" i="13"/>
  <c r="AU22" i="13" s="1"/>
  <c r="AK168" i="13"/>
  <c r="AK24" i="13" s="1"/>
  <c r="Y166" i="13"/>
  <c r="Y22" i="13" s="1"/>
  <c r="AZ167" i="13"/>
  <c r="AZ23" i="13" s="1"/>
  <c r="AP169" i="13"/>
  <c r="AP25" i="13" s="1"/>
  <c r="Z166" i="13"/>
  <c r="Z22" i="13" s="1"/>
  <c r="BA167" i="13"/>
  <c r="BA23" i="13" s="1"/>
  <c r="AQ169" i="13"/>
  <c r="AQ25" i="13" s="1"/>
  <c r="AD167" i="13"/>
  <c r="AD23" i="13" s="1"/>
  <c r="T169" i="13"/>
  <c r="T25" i="13" s="1"/>
  <c r="AZ166" i="13"/>
  <c r="AZ22" i="13" s="1"/>
  <c r="X167" i="13"/>
  <c r="X23" i="13" s="1"/>
  <c r="AY168" i="13"/>
  <c r="AY24" i="13" s="1"/>
  <c r="AT166" i="13"/>
  <c r="AT22" i="13" s="1"/>
  <c r="AJ168" i="13"/>
  <c r="AJ24" i="13" s="1"/>
  <c r="AD168" i="13"/>
  <c r="AD24" i="13" s="1"/>
  <c r="AV169" i="13"/>
  <c r="AV25" i="13" s="1"/>
  <c r="AA169" i="13"/>
  <c r="AA25" i="13" s="1"/>
  <c r="AO168" i="13"/>
  <c r="AO24" i="13" s="1"/>
  <c r="AU169" i="13"/>
  <c r="AU25" i="13" s="1"/>
  <c r="AS170" i="13"/>
  <c r="AS26" i="13" s="1"/>
  <c r="AN170" i="13"/>
  <c r="AN26" i="13" s="1"/>
  <c r="AX170" i="13"/>
  <c r="AX26" i="13" s="1"/>
  <c r="AW170" i="13"/>
  <c r="AW26" i="13" s="1"/>
  <c r="AJ170" i="13"/>
  <c r="AJ26" i="13" s="1"/>
  <c r="AA167" i="13"/>
  <c r="AA23" i="13" s="1"/>
  <c r="Q169" i="13"/>
  <c r="Q25" i="13" s="1"/>
  <c r="AH168" i="13"/>
  <c r="AH24" i="13" s="1"/>
  <c r="R167" i="13"/>
  <c r="R23" i="13" s="1"/>
  <c r="AS168" i="13"/>
  <c r="AS24" i="13" s="1"/>
  <c r="AG166" i="13"/>
  <c r="AG22" i="13" s="1"/>
  <c r="W168" i="13"/>
  <c r="W24" i="13" s="1"/>
  <c r="AX169" i="13"/>
  <c r="AX25" i="13" s="1"/>
  <c r="AH166" i="13"/>
  <c r="AH22" i="13" s="1"/>
  <c r="X168" i="13"/>
  <c r="X24" i="13" s="1"/>
  <c r="AY169" i="13"/>
  <c r="AY25" i="13" s="1"/>
  <c r="AL167" i="13"/>
  <c r="AL23" i="13" s="1"/>
  <c r="AB169" i="13"/>
  <c r="AB25" i="13" s="1"/>
  <c r="AM167" i="13"/>
  <c r="AM23" i="13" s="1"/>
  <c r="AF167" i="13"/>
  <c r="AF23" i="13" s="1"/>
  <c r="V169" i="13"/>
  <c r="V25" i="13" s="1"/>
  <c r="Q167" i="13"/>
  <c r="Q23" i="13" s="1"/>
  <c r="AR168" i="13"/>
  <c r="AR24" i="13" s="1"/>
  <c r="Z170" i="13"/>
  <c r="Z26" i="13" s="1"/>
  <c r="AJ166" i="13"/>
  <c r="AJ22" i="13" s="1"/>
  <c r="Z169" i="13"/>
  <c r="Z25" i="13" s="1"/>
  <c r="T168" i="13"/>
  <c r="T24" i="13" s="1"/>
  <c r="V170" i="13"/>
  <c r="V26" i="13" s="1"/>
  <c r="AV170" i="13"/>
  <c r="AV26" i="13" s="1"/>
  <c r="U170" i="13"/>
  <c r="U26" i="13" s="1"/>
  <c r="S170" i="13"/>
  <c r="S26" i="13" s="1"/>
  <c r="AR170" i="13"/>
  <c r="AR26" i="13" s="1"/>
  <c r="AI167" i="13"/>
  <c r="AI23" i="13" s="1"/>
  <c r="Y169" i="13"/>
  <c r="Y25" i="13" s="1"/>
  <c r="AX168" i="13"/>
  <c r="AX24" i="13" s="1"/>
  <c r="Z167" i="13"/>
  <c r="Z23" i="13" s="1"/>
  <c r="BA168" i="13"/>
  <c r="BA24" i="13" s="1"/>
  <c r="AO166" i="13"/>
  <c r="AO22" i="13" s="1"/>
  <c r="AE168" i="13"/>
  <c r="AE24" i="13" s="1"/>
  <c r="AB166" i="13"/>
  <c r="AB22" i="13" s="1"/>
  <c r="AP166" i="13"/>
  <c r="AP22" i="13" s="1"/>
  <c r="AF168" i="13"/>
  <c r="AF24" i="13" s="1"/>
  <c r="S166" i="13"/>
  <c r="S22" i="13" s="1"/>
  <c r="AT167" i="13"/>
  <c r="AT23" i="13" s="1"/>
  <c r="AJ169" i="13"/>
  <c r="AJ25" i="13" s="1"/>
  <c r="Z168" i="13"/>
  <c r="Z24" i="13" s="1"/>
  <c r="AN167" i="13"/>
  <c r="AN23" i="13" s="1"/>
  <c r="AD169" i="13"/>
  <c r="AD25" i="13" s="1"/>
  <c r="Y167" i="13"/>
  <c r="Y23" i="13" s="1"/>
  <c r="AZ168" i="13"/>
  <c r="AZ24" i="13" s="1"/>
  <c r="AN166" i="13"/>
  <c r="AN22" i="13" s="1"/>
  <c r="AJ167" i="13"/>
  <c r="AJ23" i="13" s="1"/>
  <c r="AD166" i="13"/>
  <c r="AD22" i="13" s="1"/>
  <c r="W170" i="13"/>
  <c r="W26" i="13" s="1"/>
  <c r="AK170" i="13"/>
  <c r="AK26" i="13" s="1"/>
  <c r="BA170" i="13"/>
  <c r="BA26" i="13" s="1"/>
  <c r="AA170" i="13"/>
  <c r="AA26" i="13" s="1"/>
  <c r="AZ170" i="13"/>
  <c r="AZ26" i="13" s="1"/>
  <c r="AQ167" i="13"/>
  <c r="AQ23" i="13" s="1"/>
  <c r="AG169" i="13"/>
  <c r="AG25" i="13" s="1"/>
  <c r="AK169" i="13"/>
  <c r="AK25" i="13" s="1"/>
  <c r="AH167" i="13"/>
  <c r="AH23" i="13" s="1"/>
  <c r="X169" i="13"/>
  <c r="X25" i="13" s="1"/>
  <c r="AW166" i="13"/>
  <c r="AW22" i="13" s="1"/>
  <c r="AM168" i="13"/>
  <c r="AM24" i="13" s="1"/>
  <c r="W167" i="13"/>
  <c r="W23" i="13" s="1"/>
  <c r="AX166" i="13"/>
  <c r="AX22" i="13" s="1"/>
  <c r="AN168" i="13"/>
  <c r="AN24" i="13" s="1"/>
  <c r="AA166" i="13"/>
  <c r="AA22" i="13" s="1"/>
  <c r="Q168" i="13"/>
  <c r="Q24" i="13" s="1"/>
  <c r="AR169" i="13"/>
  <c r="AR25" i="13" s="1"/>
  <c r="AP168" i="13"/>
  <c r="AP24" i="13" s="1"/>
  <c r="AV167" i="13"/>
  <c r="AV23" i="13" s="1"/>
  <c r="AL169" i="13"/>
  <c r="AL25" i="13" s="1"/>
  <c r="AG167" i="13"/>
  <c r="AG23" i="13" s="1"/>
  <c r="W169" i="13"/>
  <c r="W25" i="13" s="1"/>
  <c r="AU170" i="13"/>
  <c r="AU26" i="13" s="1"/>
  <c r="AE166" i="13"/>
  <c r="AE22" i="13" s="1"/>
  <c r="AS166" i="13"/>
  <c r="AS22" i="13" s="1"/>
  <c r="AE170" i="13"/>
  <c r="AE26" i="13" s="1"/>
  <c r="AD170" i="13"/>
  <c r="AD26" i="13" s="1"/>
  <c r="AL170" i="13"/>
  <c r="AL26" i="13" s="1"/>
  <c r="AI170" i="13"/>
  <c r="AI26" i="13" s="1"/>
  <c r="X166" i="13"/>
  <c r="X22" i="13" s="1"/>
  <c r="AY167" i="13"/>
  <c r="AY23" i="13" s="1"/>
  <c r="AO169" i="13"/>
  <c r="AO25" i="13" s="1"/>
  <c r="U166" i="13"/>
  <c r="U22" i="13" s="1"/>
  <c r="AP167" i="13"/>
  <c r="AP23" i="13" s="1"/>
  <c r="AF169" i="13"/>
  <c r="AF25" i="13" s="1"/>
  <c r="T167" i="13"/>
  <c r="T23" i="13" s="1"/>
  <c r="AU168" i="13"/>
  <c r="AU24" i="13" s="1"/>
  <c r="R168" i="13"/>
  <c r="R24" i="13" s="1"/>
  <c r="U167" i="13"/>
  <c r="U23" i="13" s="1"/>
  <c r="AV168" i="13"/>
  <c r="AV24" i="13" s="1"/>
  <c r="AI166" i="13"/>
  <c r="AI22" i="13" s="1"/>
  <c r="Y168" i="13"/>
  <c r="Y24" i="13" s="1"/>
  <c r="AZ169" i="13"/>
  <c r="AZ25" i="13" s="1"/>
  <c r="AS169" i="13"/>
  <c r="AS25" i="13" s="1"/>
  <c r="S168" i="13"/>
  <c r="S24" i="13" s="1"/>
  <c r="AT169" i="13"/>
  <c r="AT25" i="13" s="1"/>
  <c r="AO167" i="13"/>
  <c r="AO23" i="13" s="1"/>
  <c r="AE169" i="13"/>
  <c r="AE25" i="13" s="1"/>
  <c r="AM170" i="13"/>
  <c r="AM26" i="13" s="1"/>
  <c r="R170" i="13"/>
  <c r="R26" i="13" s="1"/>
  <c r="Q170" i="13"/>
  <c r="Q26" i="13" s="1"/>
  <c r="AQ170" i="13"/>
  <c r="AQ26" i="13" s="1"/>
  <c r="AF166" i="13"/>
  <c r="AF22" i="13" s="1"/>
  <c r="V168" i="13"/>
  <c r="V24" i="13" s="1"/>
  <c r="AW169" i="13"/>
  <c r="AW25" i="13" s="1"/>
  <c r="W166" i="13"/>
  <c r="W22" i="13" s="1"/>
  <c r="AX167" i="13"/>
  <c r="AX23" i="13" s="1"/>
  <c r="AN169" i="13"/>
  <c r="AN25" i="13" s="1"/>
  <c r="AB167" i="13"/>
  <c r="AB23" i="13" s="1"/>
  <c r="R169" i="13"/>
  <c r="R25" i="13" s="1"/>
  <c r="AC169" i="13"/>
  <c r="AC25" i="13" s="1"/>
  <c r="AC167" i="13"/>
  <c r="AC23" i="13" s="1"/>
  <c r="S169" i="13"/>
  <c r="S25" i="13" s="1"/>
  <c r="AQ166" i="13"/>
  <c r="AQ22" i="13" s="1"/>
  <c r="AG168" i="13"/>
  <c r="AG24" i="13" s="1"/>
  <c r="AR166" i="13"/>
  <c r="AR22" i="13" s="1"/>
  <c r="AK166" i="13"/>
  <c r="AK22" i="13" s="1"/>
  <c r="AA168" i="13"/>
  <c r="AA24" i="13" s="1"/>
  <c r="V166" i="13"/>
  <c r="V22" i="13" s="1"/>
  <c r="AW167" i="13"/>
  <c r="AW23" i="13" s="1"/>
  <c r="AM169" i="13"/>
  <c r="AM25" i="13" s="1"/>
  <c r="BA32" i="13"/>
  <c r="N32" i="13" s="1"/>
  <c r="N36" i="13"/>
  <c r="BA6" i="2"/>
  <c r="BA17" i="2" s="1"/>
  <c r="N36" i="2"/>
  <c r="N83" i="2"/>
  <c r="N84" i="2" s="1"/>
  <c r="BA26" i="2"/>
  <c r="N84" i="6"/>
  <c r="K11" i="6" s="1"/>
  <c r="Q68" i="6" l="1"/>
  <c r="Q66" i="6" s="1"/>
  <c r="R68" i="6"/>
  <c r="R66" i="6" s="1"/>
  <c r="R111" i="4" s="1"/>
  <c r="Y69" i="6"/>
  <c r="W69" i="6"/>
  <c r="BA69" i="6"/>
  <c r="N73" i="6"/>
  <c r="AA69" i="6"/>
  <c r="AY69" i="6"/>
  <c r="AT69" i="6"/>
  <c r="Z69" i="6"/>
  <c r="AE69" i="6"/>
  <c r="AC69" i="6"/>
  <c r="U69" i="6"/>
  <c r="AZ69" i="6"/>
  <c r="AV69" i="6"/>
  <c r="AI69" i="6"/>
  <c r="AN69" i="6"/>
  <c r="AO69" i="6"/>
  <c r="N72" i="6"/>
  <c r="AJ69" i="6"/>
  <c r="T69" i="6"/>
  <c r="AL69" i="6"/>
  <c r="AK69" i="6"/>
  <c r="AB69" i="6"/>
  <c r="S69" i="6"/>
  <c r="AP69" i="6"/>
  <c r="AD69" i="6"/>
  <c r="X69" i="6"/>
  <c r="AU69" i="6"/>
  <c r="AG69" i="6"/>
  <c r="AF69" i="6"/>
  <c r="AR69" i="6"/>
  <c r="AH69" i="6"/>
  <c r="N74" i="6"/>
  <c r="AW69" i="6"/>
  <c r="AQ69" i="6"/>
  <c r="AS69" i="6"/>
  <c r="AM69" i="6"/>
  <c r="X165" i="13"/>
  <c r="X164" i="13" s="1"/>
  <c r="X162" i="13" s="1"/>
  <c r="X21" i="13"/>
  <c r="X20" i="13" s="1"/>
  <c r="X18" i="13" s="1"/>
  <c r="X42" i="13" s="1"/>
  <c r="X40" i="13" s="1"/>
  <c r="AW165" i="13"/>
  <c r="AW164" i="13" s="1"/>
  <c r="AW162" i="13" s="1"/>
  <c r="AW21" i="13"/>
  <c r="AW20" i="13" s="1"/>
  <c r="AW18" i="13" s="1"/>
  <c r="AW42" i="13" s="1"/>
  <c r="AW40" i="13" s="1"/>
  <c r="V165" i="13"/>
  <c r="V164" i="13" s="1"/>
  <c r="V162" i="13" s="1"/>
  <c r="V21" i="13"/>
  <c r="V20" i="13" s="1"/>
  <c r="V18" i="13" s="1"/>
  <c r="V42" i="13" s="1"/>
  <c r="V40" i="13" s="1"/>
  <c r="AF165" i="13"/>
  <c r="AF164" i="13" s="1"/>
  <c r="AF162" i="13" s="1"/>
  <c r="AF21" i="13"/>
  <c r="AF20" i="13" s="1"/>
  <c r="AF18" i="13" s="1"/>
  <c r="AF42" i="13" s="1"/>
  <c r="AF40" i="13" s="1"/>
  <c r="AI21" i="13"/>
  <c r="AI20" i="13" s="1"/>
  <c r="AI18" i="13" s="1"/>
  <c r="AI42" i="13" s="1"/>
  <c r="AI40" i="13" s="1"/>
  <c r="AI165" i="13"/>
  <c r="AI164" i="13" s="1"/>
  <c r="AI162" i="13" s="1"/>
  <c r="U165" i="13"/>
  <c r="U164" i="13" s="1"/>
  <c r="U162" i="13" s="1"/>
  <c r="U21" i="13"/>
  <c r="U20" i="13" s="1"/>
  <c r="U18" i="13" s="1"/>
  <c r="U42" i="13" s="1"/>
  <c r="U40" i="13" s="1"/>
  <c r="AS165" i="13"/>
  <c r="AS164" i="13" s="1"/>
  <c r="AS162" i="13" s="1"/>
  <c r="AS21" i="13"/>
  <c r="AS20" i="13" s="1"/>
  <c r="AS18" i="13" s="1"/>
  <c r="AS42" i="13" s="1"/>
  <c r="AS40" i="13" s="1"/>
  <c r="AX165" i="13"/>
  <c r="AX164" i="13" s="1"/>
  <c r="AX162" i="13" s="1"/>
  <c r="AX21" i="13"/>
  <c r="AX20" i="13" s="1"/>
  <c r="AX18" i="13" s="1"/>
  <c r="AX42" i="13" s="1"/>
  <c r="AX40" i="13" s="1"/>
  <c r="AN165" i="13"/>
  <c r="AN164" i="13" s="1"/>
  <c r="AN162" i="13" s="1"/>
  <c r="AN21" i="13"/>
  <c r="AN20" i="13" s="1"/>
  <c r="AN18" i="13" s="1"/>
  <c r="AN42" i="13" s="1"/>
  <c r="AN40" i="13" s="1"/>
  <c r="S165" i="13"/>
  <c r="S164" i="13" s="1"/>
  <c r="S162" i="13" s="1"/>
  <c r="S21" i="13"/>
  <c r="S20" i="13" s="1"/>
  <c r="S18" i="13" s="1"/>
  <c r="S42" i="13" s="1"/>
  <c r="S40" i="13" s="1"/>
  <c r="AG165" i="13"/>
  <c r="AG164" i="13" s="1"/>
  <c r="AG162" i="13" s="1"/>
  <c r="AG21" i="13"/>
  <c r="AG20" i="13" s="1"/>
  <c r="AG18" i="13" s="1"/>
  <c r="AG42" i="13" s="1"/>
  <c r="AG40" i="13" s="1"/>
  <c r="N169" i="13"/>
  <c r="N25" i="13"/>
  <c r="AZ165" i="13"/>
  <c r="AZ164" i="13" s="1"/>
  <c r="AZ162" i="13" s="1"/>
  <c r="AZ21" i="13"/>
  <c r="AZ20" i="13" s="1"/>
  <c r="AZ18" i="13" s="1"/>
  <c r="AZ42" i="13" s="1"/>
  <c r="AZ40" i="13" s="1"/>
  <c r="Y165" i="13"/>
  <c r="Y164" i="13" s="1"/>
  <c r="Y162" i="13" s="1"/>
  <c r="Y21" i="13"/>
  <c r="Y20" i="13" s="1"/>
  <c r="Y18" i="13" s="1"/>
  <c r="Y42" i="13" s="1"/>
  <c r="Y40" i="13" s="1"/>
  <c r="AY165" i="13"/>
  <c r="AY164" i="13" s="1"/>
  <c r="AY162" i="13" s="1"/>
  <c r="AY21" i="13"/>
  <c r="AY20" i="13" s="1"/>
  <c r="AY18" i="13" s="1"/>
  <c r="AY42" i="13" s="1"/>
  <c r="AY40" i="13" s="1"/>
  <c r="BA165" i="13"/>
  <c r="BA164" i="13" s="1"/>
  <c r="BA162" i="13" s="1"/>
  <c r="BA21" i="13"/>
  <c r="BA20" i="13" s="1"/>
  <c r="BA18" i="13" s="1"/>
  <c r="BA42" i="13" s="1"/>
  <c r="BA40" i="13" s="1"/>
  <c r="AQ165" i="13"/>
  <c r="AQ164" i="13" s="1"/>
  <c r="AQ162" i="13" s="1"/>
  <c r="AQ21" i="13"/>
  <c r="AQ20" i="13" s="1"/>
  <c r="AQ18" i="13" s="1"/>
  <c r="AQ42" i="13" s="1"/>
  <c r="AQ40" i="13" s="1"/>
  <c r="W21" i="13"/>
  <c r="W20" i="13" s="1"/>
  <c r="W18" i="13" s="1"/>
  <c r="W42" i="13" s="1"/>
  <c r="W40" i="13" s="1"/>
  <c r="W165" i="13"/>
  <c r="W164" i="13" s="1"/>
  <c r="W162" i="13" s="1"/>
  <c r="AE165" i="13"/>
  <c r="AE164" i="13" s="1"/>
  <c r="AE162" i="13" s="1"/>
  <c r="AE21" i="13"/>
  <c r="AE20" i="13" s="1"/>
  <c r="AE18" i="13" s="1"/>
  <c r="AE42" i="13" s="1"/>
  <c r="AE40" i="13" s="1"/>
  <c r="N168" i="13"/>
  <c r="N24" i="13"/>
  <c r="AO165" i="13"/>
  <c r="AO164" i="13" s="1"/>
  <c r="AO162" i="13" s="1"/>
  <c r="AO21" i="13"/>
  <c r="AO20" i="13" s="1"/>
  <c r="AO18" i="13" s="1"/>
  <c r="AO42" i="13" s="1"/>
  <c r="AO40" i="13" s="1"/>
  <c r="N167" i="13"/>
  <c r="N23" i="13"/>
  <c r="AH165" i="13"/>
  <c r="AH164" i="13" s="1"/>
  <c r="AH162" i="13" s="1"/>
  <c r="AH21" i="13"/>
  <c r="AH20" i="13" s="1"/>
  <c r="AH18" i="13" s="1"/>
  <c r="AH42" i="13" s="1"/>
  <c r="AH40" i="13" s="1"/>
  <c r="AT165" i="13"/>
  <c r="AT164" i="13" s="1"/>
  <c r="AT162" i="13" s="1"/>
  <c r="AT21" i="13"/>
  <c r="AT20" i="13" s="1"/>
  <c r="AT18" i="13" s="1"/>
  <c r="AT42" i="13" s="1"/>
  <c r="AT40" i="13" s="1"/>
  <c r="Z165" i="13"/>
  <c r="Z164" i="13" s="1"/>
  <c r="Z162" i="13" s="1"/>
  <c r="Z21" i="13"/>
  <c r="Z20" i="13" s="1"/>
  <c r="Z18" i="13" s="1"/>
  <c r="Z42" i="13" s="1"/>
  <c r="Z40" i="13" s="1"/>
  <c r="AC165" i="13"/>
  <c r="AC164" i="13" s="1"/>
  <c r="AC162" i="13" s="1"/>
  <c r="AC21" i="13"/>
  <c r="AC20" i="13" s="1"/>
  <c r="AC18" i="13" s="1"/>
  <c r="AC42" i="13" s="1"/>
  <c r="AC40" i="13" s="1"/>
  <c r="T165" i="13"/>
  <c r="T164" i="13" s="1"/>
  <c r="T162" i="13" s="1"/>
  <c r="T21" i="13"/>
  <c r="T20" i="13" s="1"/>
  <c r="T18" i="13" s="1"/>
  <c r="T42" i="13" s="1"/>
  <c r="T40" i="13" s="1"/>
  <c r="N166" i="13"/>
  <c r="Q165" i="13"/>
  <c r="AB165" i="13"/>
  <c r="AB164" i="13" s="1"/>
  <c r="AB162" i="13" s="1"/>
  <c r="AB21" i="13"/>
  <c r="AB20" i="13" s="1"/>
  <c r="AB18" i="13" s="1"/>
  <c r="AB42" i="13" s="1"/>
  <c r="AB40" i="13" s="1"/>
  <c r="AM21" i="13"/>
  <c r="AM20" i="13" s="1"/>
  <c r="AM18" i="13" s="1"/>
  <c r="AM42" i="13" s="1"/>
  <c r="AM40" i="13" s="1"/>
  <c r="AM165" i="13"/>
  <c r="AM164" i="13" s="1"/>
  <c r="AM162" i="13" s="1"/>
  <c r="N70" i="6"/>
  <c r="V69" i="6"/>
  <c r="AX69" i="6"/>
  <c r="AK165" i="13"/>
  <c r="AK164" i="13" s="1"/>
  <c r="AK162" i="13" s="1"/>
  <c r="AK21" i="13"/>
  <c r="AK20" i="13" s="1"/>
  <c r="AK18" i="13" s="1"/>
  <c r="AK42" i="13" s="1"/>
  <c r="AK40" i="13" s="1"/>
  <c r="N170" i="13"/>
  <c r="N26" i="13"/>
  <c r="AA165" i="13"/>
  <c r="AA164" i="13" s="1"/>
  <c r="AA162" i="13" s="1"/>
  <c r="AA21" i="13"/>
  <c r="AA20" i="13" s="1"/>
  <c r="AA18" i="13" s="1"/>
  <c r="AA42" i="13" s="1"/>
  <c r="AA40" i="13" s="1"/>
  <c r="AD165" i="13"/>
  <c r="AD164" i="13" s="1"/>
  <c r="AD162" i="13" s="1"/>
  <c r="AD21" i="13"/>
  <c r="AD20" i="13" s="1"/>
  <c r="AD18" i="13" s="1"/>
  <c r="AD42" i="13" s="1"/>
  <c r="AD40" i="13" s="1"/>
  <c r="AP165" i="13"/>
  <c r="AP164" i="13" s="1"/>
  <c r="AP162" i="13" s="1"/>
  <c r="AP21" i="13"/>
  <c r="AP20" i="13" s="1"/>
  <c r="AP18" i="13" s="1"/>
  <c r="AP42" i="13" s="1"/>
  <c r="AP40" i="13" s="1"/>
  <c r="AJ165" i="13"/>
  <c r="AJ164" i="13" s="1"/>
  <c r="AJ162" i="13" s="1"/>
  <c r="AJ21" i="13"/>
  <c r="AJ20" i="13" s="1"/>
  <c r="AJ18" i="13" s="1"/>
  <c r="AJ42" i="13" s="1"/>
  <c r="AJ40" i="13" s="1"/>
  <c r="AU21" i="13"/>
  <c r="AU20" i="13" s="1"/>
  <c r="AU18" i="13" s="1"/>
  <c r="AU42" i="13" s="1"/>
  <c r="AU40" i="13" s="1"/>
  <c r="AU165" i="13"/>
  <c r="AU164" i="13" s="1"/>
  <c r="AU162" i="13" s="1"/>
  <c r="AL165" i="13"/>
  <c r="AL164" i="13" s="1"/>
  <c r="AL162" i="13" s="1"/>
  <c r="AL21" i="13"/>
  <c r="AL20" i="13" s="1"/>
  <c r="AL18" i="13" s="1"/>
  <c r="AL42" i="13" s="1"/>
  <c r="AL40" i="13" s="1"/>
  <c r="R165" i="13"/>
  <c r="R164" i="13" s="1"/>
  <c r="R162" i="13" s="1"/>
  <c r="R21" i="13"/>
  <c r="R20" i="13" s="1"/>
  <c r="R18" i="13" s="1"/>
  <c r="R42" i="13" s="1"/>
  <c r="R40" i="13" s="1"/>
  <c r="AV165" i="13"/>
  <c r="AV164" i="13" s="1"/>
  <c r="AV162" i="13" s="1"/>
  <c r="AV21" i="13"/>
  <c r="AV20" i="13" s="1"/>
  <c r="AV18" i="13" s="1"/>
  <c r="AV42" i="13" s="1"/>
  <c r="AV40" i="13" s="1"/>
  <c r="AR165" i="13"/>
  <c r="AR164" i="13" s="1"/>
  <c r="AR162" i="13" s="1"/>
  <c r="AR21" i="13"/>
  <c r="AR20" i="13" s="1"/>
  <c r="AR18" i="13" s="1"/>
  <c r="AR42" i="13" s="1"/>
  <c r="AR40" i="13" s="1"/>
  <c r="N71" i="6"/>
  <c r="N6" i="2"/>
  <c r="BA19" i="2"/>
  <c r="N17" i="2"/>
  <c r="Q90" i="6" l="1"/>
  <c r="Q88" i="6" s="1"/>
  <c r="Q111" i="4"/>
  <c r="AZ68" i="6"/>
  <c r="AZ66" i="6" s="1"/>
  <c r="BA68" i="6"/>
  <c r="BA66" i="6" s="1"/>
  <c r="BA111" i="4" s="1"/>
  <c r="R90" i="6"/>
  <c r="R88" i="6" s="1"/>
  <c r="AQ68" i="6"/>
  <c r="AQ66" i="6" s="1"/>
  <c r="X68" i="6"/>
  <c r="X66" i="6" s="1"/>
  <c r="X111" i="4" s="1"/>
  <c r="AL68" i="6"/>
  <c r="AL66" i="6" s="1"/>
  <c r="AL111" i="4" s="1"/>
  <c r="AI68" i="6"/>
  <c r="AI66" i="6" s="1"/>
  <c r="AI111" i="4" s="1"/>
  <c r="AW68" i="6"/>
  <c r="AW66" i="6" s="1"/>
  <c r="AW111" i="4" s="1"/>
  <c r="T68" i="6"/>
  <c r="T66" i="6" s="1"/>
  <c r="T111" i="4" s="1"/>
  <c r="AV68" i="6"/>
  <c r="AV66" i="6" s="1"/>
  <c r="AV111" i="4" s="1"/>
  <c r="AC68" i="6"/>
  <c r="AC66" i="6" s="1"/>
  <c r="AC111" i="4" s="1"/>
  <c r="V68" i="6"/>
  <c r="V66" i="6" s="1"/>
  <c r="V111" i="4" s="1"/>
  <c r="AH68" i="6"/>
  <c r="AH66" i="6" s="1"/>
  <c r="AH111" i="4" s="1"/>
  <c r="AD68" i="6"/>
  <c r="AD66" i="6" s="1"/>
  <c r="AD111" i="4" s="1"/>
  <c r="AJ68" i="6"/>
  <c r="AJ66" i="6" s="1"/>
  <c r="AJ111" i="4" s="1"/>
  <c r="AE68" i="6"/>
  <c r="AE66" i="6" s="1"/>
  <c r="AE111" i="4" s="1"/>
  <c r="Z68" i="6"/>
  <c r="Z66" i="6" s="1"/>
  <c r="Z111" i="4" s="1"/>
  <c r="W68" i="6"/>
  <c r="W66" i="6" s="1"/>
  <c r="W111" i="4" s="1"/>
  <c r="AX68" i="6"/>
  <c r="AX66" i="6" s="1"/>
  <c r="AX111" i="4" s="1"/>
  <c r="AR68" i="6"/>
  <c r="AR66" i="6" s="1"/>
  <c r="AR111" i="4" s="1"/>
  <c r="AP68" i="6"/>
  <c r="AP66" i="6" s="1"/>
  <c r="AP111" i="4" s="1"/>
  <c r="AF68" i="6"/>
  <c r="AF66" i="6" s="1"/>
  <c r="AF111" i="4" s="1"/>
  <c r="S68" i="6"/>
  <c r="S66" i="6" s="1"/>
  <c r="S111" i="4" s="1"/>
  <c r="AT68" i="6"/>
  <c r="AT66" i="6" s="1"/>
  <c r="AT111" i="4" s="1"/>
  <c r="Y68" i="6"/>
  <c r="Y66" i="6" s="1"/>
  <c r="Y111" i="4" s="1"/>
  <c r="AM68" i="6"/>
  <c r="AM66" i="6" s="1"/>
  <c r="AM111" i="4" s="1"/>
  <c r="AG68" i="6"/>
  <c r="AG66" i="6" s="1"/>
  <c r="AG111" i="4" s="1"/>
  <c r="AB68" i="6"/>
  <c r="AB66" i="6" s="1"/>
  <c r="AB111" i="4" s="1"/>
  <c r="AO68" i="6"/>
  <c r="AO66" i="6" s="1"/>
  <c r="AO111" i="4" s="1"/>
  <c r="U68" i="6"/>
  <c r="U66" i="6" s="1"/>
  <c r="U111" i="4" s="1"/>
  <c r="AY68" i="6"/>
  <c r="AY66" i="6" s="1"/>
  <c r="AY111" i="4" s="1"/>
  <c r="AS68" i="6"/>
  <c r="AS66" i="6" s="1"/>
  <c r="AS111" i="4" s="1"/>
  <c r="AU68" i="6"/>
  <c r="AU66" i="6" s="1"/>
  <c r="AU111" i="4" s="1"/>
  <c r="AK68" i="6"/>
  <c r="AK66" i="6" s="1"/>
  <c r="AK111" i="4" s="1"/>
  <c r="AN68" i="6"/>
  <c r="AN66" i="6" s="1"/>
  <c r="AN111" i="4" s="1"/>
  <c r="AA68" i="6"/>
  <c r="AA66" i="6" s="1"/>
  <c r="AA111" i="4" s="1"/>
  <c r="N69" i="6"/>
  <c r="K9" i="6" s="1"/>
  <c r="K8" i="6" s="1"/>
  <c r="BA184" i="13"/>
  <c r="BA188" i="13"/>
  <c r="BA186" i="13" s="1"/>
  <c r="AX188" i="13"/>
  <c r="AX186" i="13" s="1"/>
  <c r="AX184" i="13"/>
  <c r="AF184" i="13"/>
  <c r="AF188" i="13"/>
  <c r="AF186" i="13" s="1"/>
  <c r="AR188" i="13"/>
  <c r="AR186" i="13" s="1"/>
  <c r="AR184" i="13"/>
  <c r="AA188" i="13"/>
  <c r="AA186" i="13" s="1"/>
  <c r="AA184" i="13"/>
  <c r="AM184" i="13"/>
  <c r="AM188" i="13"/>
  <c r="AM186" i="13" s="1"/>
  <c r="T188" i="13"/>
  <c r="T186" i="13" s="1"/>
  <c r="T184" i="13"/>
  <c r="AH188" i="13"/>
  <c r="AH186" i="13" s="1"/>
  <c r="AH184" i="13"/>
  <c r="AE184" i="13"/>
  <c r="AE188" i="13"/>
  <c r="AE186" i="13" s="1"/>
  <c r="W184" i="13"/>
  <c r="W188" i="13"/>
  <c r="W186" i="13" s="1"/>
  <c r="AY188" i="13"/>
  <c r="AY186" i="13" s="1"/>
  <c r="AY184" i="13"/>
  <c r="AG188" i="13"/>
  <c r="AG186" i="13" s="1"/>
  <c r="AG184" i="13"/>
  <c r="AS184" i="13"/>
  <c r="AS188" i="13"/>
  <c r="AS186" i="13" s="1"/>
  <c r="V184" i="13"/>
  <c r="V188" i="13"/>
  <c r="V186" i="13" s="1"/>
  <c r="AU184" i="13"/>
  <c r="AU188" i="13"/>
  <c r="AU186" i="13" s="1"/>
  <c r="AV184" i="13"/>
  <c r="AV188" i="13"/>
  <c r="AV186" i="13" s="1"/>
  <c r="AJ188" i="13"/>
  <c r="AJ186" i="13" s="1"/>
  <c r="AJ184" i="13"/>
  <c r="AC184" i="13"/>
  <c r="AC188" i="13"/>
  <c r="AC186" i="13" s="1"/>
  <c r="AB188" i="13"/>
  <c r="AB186" i="13" s="1"/>
  <c r="AB184" i="13"/>
  <c r="Y188" i="13"/>
  <c r="Y186" i="13" s="1"/>
  <c r="Y184" i="13"/>
  <c r="S188" i="13"/>
  <c r="S186" i="13" s="1"/>
  <c r="S184" i="13"/>
  <c r="U184" i="13"/>
  <c r="U188" i="13"/>
  <c r="U186" i="13" s="1"/>
  <c r="R188" i="13"/>
  <c r="R186" i="13" s="1"/>
  <c r="R184" i="13"/>
  <c r="AP188" i="13"/>
  <c r="AP186" i="13" s="1"/>
  <c r="AP184" i="13"/>
  <c r="AK184" i="13"/>
  <c r="AK188" i="13"/>
  <c r="AK186" i="13" s="1"/>
  <c r="N22" i="13"/>
  <c r="Q21" i="13"/>
  <c r="Z188" i="13"/>
  <c r="Z186" i="13" s="1"/>
  <c r="Z184" i="13"/>
  <c r="AO188" i="13"/>
  <c r="AO186" i="13" s="1"/>
  <c r="AO184" i="13"/>
  <c r="AQ188" i="13"/>
  <c r="AQ186" i="13" s="1"/>
  <c r="AQ184" i="13"/>
  <c r="AI188" i="13"/>
  <c r="AI186" i="13" s="1"/>
  <c r="AI184" i="13"/>
  <c r="AW188" i="13"/>
  <c r="AW186" i="13" s="1"/>
  <c r="AW184" i="13"/>
  <c r="N165" i="13"/>
  <c r="Q164" i="13"/>
  <c r="AZ188" i="13"/>
  <c r="AZ186" i="13" s="1"/>
  <c r="AZ184" i="13"/>
  <c r="AN184" i="13"/>
  <c r="AN188" i="13"/>
  <c r="AN186" i="13" s="1"/>
  <c r="AL184" i="13"/>
  <c r="AL188" i="13"/>
  <c r="AL186" i="13" s="1"/>
  <c r="AD184" i="13"/>
  <c r="AD188" i="13"/>
  <c r="AD186" i="13" s="1"/>
  <c r="AT184" i="13"/>
  <c r="AT188" i="13"/>
  <c r="AT186" i="13" s="1"/>
  <c r="X184" i="13"/>
  <c r="X188" i="13"/>
  <c r="X186" i="13" s="1"/>
  <c r="BA42" i="2"/>
  <c r="N19" i="2"/>
  <c r="BA21" i="2"/>
  <c r="BA90" i="6" l="1"/>
  <c r="BA88" i="6" s="1"/>
  <c r="AQ90" i="6"/>
  <c r="AQ88" i="6" s="1"/>
  <c r="AQ111" i="4"/>
  <c r="AZ90" i="6"/>
  <c r="AZ88" i="6" s="1"/>
  <c r="AZ111" i="4"/>
  <c r="AW90" i="6"/>
  <c r="AW88" i="6" s="1"/>
  <c r="AL90" i="6"/>
  <c r="AL88" i="6" s="1"/>
  <c r="AJ90" i="6"/>
  <c r="AJ88" i="6" s="1"/>
  <c r="T90" i="6"/>
  <c r="T88" i="6" s="1"/>
  <c r="AP90" i="6"/>
  <c r="AP88" i="6" s="1"/>
  <c r="AO90" i="6"/>
  <c r="AO88" i="6" s="1"/>
  <c r="V90" i="6"/>
  <c r="V88" i="6" s="1"/>
  <c r="AY90" i="6"/>
  <c r="AY88" i="6" s="1"/>
  <c r="AS90" i="6"/>
  <c r="AS88" i="6" s="1"/>
  <c r="AE90" i="6"/>
  <c r="AE88" i="6" s="1"/>
  <c r="AM90" i="6"/>
  <c r="AM88" i="6" s="1"/>
  <c r="N68" i="6"/>
  <c r="K6" i="6" s="1"/>
  <c r="K5" i="6" s="1"/>
  <c r="Z90" i="6"/>
  <c r="Z88" i="6" s="1"/>
  <c r="AU90" i="6"/>
  <c r="AU88" i="6" s="1"/>
  <c r="S90" i="6"/>
  <c r="S88" i="6" s="1"/>
  <c r="AD90" i="6"/>
  <c r="AD88" i="6" s="1"/>
  <c r="AA90" i="6"/>
  <c r="AA88" i="6" s="1"/>
  <c r="AG90" i="6"/>
  <c r="AG88" i="6" s="1"/>
  <c r="AK90" i="6"/>
  <c r="AK88" i="6" s="1"/>
  <c r="AC90" i="6"/>
  <c r="AC88" i="6" s="1"/>
  <c r="AI90" i="6"/>
  <c r="AI88" i="6" s="1"/>
  <c r="W90" i="6"/>
  <c r="W88" i="6" s="1"/>
  <c r="AV90" i="6"/>
  <c r="AV88" i="6" s="1"/>
  <c r="AF90" i="6"/>
  <c r="AF88" i="6" s="1"/>
  <c r="AH90" i="6"/>
  <c r="AH88" i="6" s="1"/>
  <c r="AB90" i="6"/>
  <c r="AB88" i="6" s="1"/>
  <c r="X90" i="6"/>
  <c r="X88" i="6" s="1"/>
  <c r="U90" i="6"/>
  <c r="U88" i="6" s="1"/>
  <c r="Y90" i="6"/>
  <c r="Y88" i="6" s="1"/>
  <c r="AX90" i="6"/>
  <c r="AX88" i="6" s="1"/>
  <c r="AR90" i="6"/>
  <c r="AR88" i="6" s="1"/>
  <c r="AN90" i="6"/>
  <c r="AN88" i="6" s="1"/>
  <c r="AT90" i="6"/>
  <c r="AT88" i="6" s="1"/>
  <c r="Q162" i="13"/>
  <c r="N164" i="13"/>
  <c r="S132" i="13" s="1"/>
  <c r="N21" i="13"/>
  <c r="Q20" i="13"/>
  <c r="N66" i="6"/>
  <c r="BA114" i="2"/>
  <c r="N21" i="2"/>
  <c r="N42" i="2"/>
  <c r="BA35" i="2"/>
  <c r="N111" i="4" l="1"/>
  <c r="N88" i="6"/>
  <c r="Q18" i="13"/>
  <c r="N20" i="13"/>
  <c r="N162" i="13"/>
  <c r="Q188" i="13"/>
  <c r="Q184" i="13"/>
  <c r="N184" i="13" s="1"/>
  <c r="N90" i="6"/>
  <c r="K13" i="6" s="1"/>
  <c r="K12" i="6" s="1"/>
  <c r="BA188" i="2"/>
  <c r="BA61" i="2"/>
  <c r="N61" i="2" s="1"/>
  <c r="N35" i="2"/>
  <c r="N114" i="2"/>
  <c r="Q186" i="13" l="1"/>
  <c r="N186" i="13" s="1"/>
  <c r="N188" i="13"/>
  <c r="Q42" i="13"/>
  <c r="N18" i="13"/>
  <c r="N188" i="2"/>
  <c r="BA193" i="2"/>
  <c r="N42" i="13" l="1"/>
  <c r="Q40" i="13"/>
  <c r="N40" i="13" s="1"/>
  <c r="BA194" i="2"/>
  <c r="BA50" i="2" l="1"/>
  <c r="BA115" i="2"/>
  <c r="BA206" i="2"/>
  <c r="N194" i="2"/>
  <c r="BA195" i="2"/>
  <c r="BA196" i="2" l="1"/>
  <c r="N206" i="2"/>
  <c r="N115" i="2"/>
  <c r="N50" i="2"/>
  <c r="BA129" i="2" l="1"/>
  <c r="N196" i="2"/>
  <c r="BA197" i="2"/>
  <c r="BA198" i="2" l="1"/>
  <c r="N129" i="2"/>
  <c r="BA126" i="2"/>
  <c r="N126" i="2" l="1"/>
  <c r="N130" i="2" s="1"/>
  <c r="BA130" i="2"/>
  <c r="BA144" i="2"/>
  <c r="N198" i="2"/>
  <c r="BA199" i="2"/>
  <c r="BA200" i="2" l="1"/>
  <c r="BA201" i="2" s="1"/>
  <c r="N144" i="2"/>
  <c r="BA142" i="2"/>
  <c r="N142" i="2" l="1"/>
  <c r="N145" i="2" s="1"/>
  <c r="BA145" i="2"/>
  <c r="BA31" i="2" s="1"/>
  <c r="BA51" i="2"/>
  <c r="BA116" i="2"/>
  <c r="N200" i="2"/>
  <c r="BA207" i="2" l="1"/>
  <c r="BA53" i="2"/>
  <c r="N53" i="2" s="1"/>
  <c r="N116" i="2"/>
  <c r="BA117" i="2"/>
  <c r="N51" i="2"/>
  <c r="BA49" i="2"/>
  <c r="N117" i="2" l="1"/>
  <c r="BA30" i="2"/>
  <c r="BA29" i="2" s="1"/>
  <c r="BA27" i="2" s="1"/>
  <c r="N49" i="2"/>
  <c r="BA45" i="2"/>
  <c r="N207" i="2"/>
  <c r="BA208" i="2"/>
  <c r="N210" i="2" s="1"/>
  <c r="K189" i="5" s="1"/>
  <c r="K191" i="5" s="1"/>
  <c r="K192" i="5" s="1"/>
  <c r="N45" i="2" l="1"/>
  <c r="BA55" i="2"/>
  <c r="N208" i="2"/>
  <c r="BA25" i="2"/>
  <c r="BA93" i="4" s="1"/>
  <c r="N93" i="4" s="1"/>
  <c r="BA59" i="2" l="1"/>
  <c r="N55" i="2"/>
  <c r="BA94" i="4" l="1"/>
  <c r="N94" i="4" s="1"/>
  <c r="BA95" i="4"/>
  <c r="N95" i="4" s="1"/>
  <c r="N59" i="2"/>
  <c r="K183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<sst xmlns="http://schemas.openxmlformats.org/spreadsheetml/2006/main" count="1100" uniqueCount="273">
  <si>
    <t>rok</t>
  </si>
  <si>
    <t>Usługa budowlana</t>
  </si>
  <si>
    <t>Usługa finansowa</t>
  </si>
  <si>
    <t>Usługa utrzymania</t>
  </si>
  <si>
    <t>Przychody</t>
  </si>
  <si>
    <t>Koszty</t>
  </si>
  <si>
    <t>Koszty operacyjne</t>
  </si>
  <si>
    <t>Koszty finansowe</t>
  </si>
  <si>
    <t>Zysk (strata) brutto</t>
  </si>
  <si>
    <t>CIT</t>
  </si>
  <si>
    <t>Zysk (strata) netto</t>
  </si>
  <si>
    <t>Aktywa finansowe z tyt. Umowy PPP</t>
  </si>
  <si>
    <t>Aktywa</t>
  </si>
  <si>
    <t>Pasywa</t>
  </si>
  <si>
    <t>Kapitał własny</t>
  </si>
  <si>
    <t>Zadłużenie finansowe</t>
  </si>
  <si>
    <t>Przepływy operacyjne</t>
  </si>
  <si>
    <t>Opłata za dostępność</t>
  </si>
  <si>
    <t>Przepływy finansowe</t>
  </si>
  <si>
    <t>Wpływy</t>
  </si>
  <si>
    <t>Wypływy</t>
  </si>
  <si>
    <t>Dywidenda</t>
  </si>
  <si>
    <t>Przepływy netto</t>
  </si>
  <si>
    <t>Środki pieniężne na początek okresu</t>
  </si>
  <si>
    <t>Środki pienięzne na koniec okresu</t>
  </si>
  <si>
    <t>Aktywa z tyt. kontraktu PPP</t>
  </si>
  <si>
    <t>Bilans otwarcia</t>
  </si>
  <si>
    <t>Bilans zamknięcia</t>
  </si>
  <si>
    <t>VAT należny</t>
  </si>
  <si>
    <t>Finansowanie</t>
  </si>
  <si>
    <t>uruchomienie</t>
  </si>
  <si>
    <t>spłata</t>
  </si>
  <si>
    <t>Rozliczenie VAT</t>
  </si>
  <si>
    <t>VAT naliczony</t>
  </si>
  <si>
    <t>Inflacja</t>
  </si>
  <si>
    <t>WIBOR</t>
  </si>
  <si>
    <t>VAT</t>
  </si>
  <si>
    <t>Okres Budowy</t>
  </si>
  <si>
    <t>Okres Eksploatacji</t>
  </si>
  <si>
    <t>Okres Przygotowania</t>
  </si>
  <si>
    <t>początek</t>
  </si>
  <si>
    <t>koniec</t>
  </si>
  <si>
    <t>czas trwania</t>
  </si>
  <si>
    <t>Flagi okresów</t>
  </si>
  <si>
    <t>Okres Umowy PPP</t>
  </si>
  <si>
    <t>Założenia podstawowe</t>
  </si>
  <si>
    <t>wynik netto</t>
  </si>
  <si>
    <t>dywidenda</t>
  </si>
  <si>
    <t>umorzenie</t>
  </si>
  <si>
    <t>check</t>
  </si>
  <si>
    <t>Odsetki skapitalizowane</t>
  </si>
  <si>
    <t>Wolne środki pieniężne</t>
  </si>
  <si>
    <t>Wynagrodzenie Partnera Prywatnego</t>
  </si>
  <si>
    <t>Umorzenie kapitału własnego</t>
  </si>
  <si>
    <t>Gotówka dostępna do wypłaty dywidendy</t>
  </si>
  <si>
    <t>Opłata za Finansowanie</t>
  </si>
  <si>
    <t>Skumulowana inflacja</t>
  </si>
  <si>
    <t>Umorzenie kapitału</t>
  </si>
  <si>
    <t>IRR</t>
  </si>
  <si>
    <t>Stopa zwrotu Partnera Prywatnego</t>
  </si>
  <si>
    <t>Gotówka na koniec okresu</t>
  </si>
  <si>
    <t>Zapłata VAT należnego do US</t>
  </si>
  <si>
    <t>Uproszczony rachunek zysków i strat</t>
  </si>
  <si>
    <t>Uproszczony bilans</t>
  </si>
  <si>
    <t>Uproszczony rachunek przepływów pieniężnych</t>
  </si>
  <si>
    <t>Harmonogram Projektu</t>
  </si>
  <si>
    <t>Pozostałe koszty inwestycyjne</t>
  </si>
  <si>
    <t>finansowanie Etapu Projektowania i Budowy</t>
  </si>
  <si>
    <t>Koszty eksploatacyjne</t>
  </si>
  <si>
    <t/>
  </si>
  <si>
    <t>kapitalizacja odsetek</t>
  </si>
  <si>
    <t>kapitalizacja prowizji</t>
  </si>
  <si>
    <t>Prowizje skapitalizowane</t>
  </si>
  <si>
    <t>Prewspółczynnik VAT Podmiotu Publicznego</t>
  </si>
  <si>
    <t>Marża</t>
  </si>
  <si>
    <t>Wydatki majątkowe</t>
  </si>
  <si>
    <t>Wydatki bieżące</t>
  </si>
  <si>
    <t>Docelowy IRR</t>
  </si>
  <si>
    <t>diff</t>
  </si>
  <si>
    <t>Podmiot Publiczny jest podatnikiem VAT</t>
  </si>
  <si>
    <t>Finansowanie VAT należnego od usługi budowlanej</t>
  </si>
  <si>
    <t>Koszty inwestycyjne</t>
  </si>
  <si>
    <t>Koszty remontów i modernizacji</t>
  </si>
  <si>
    <t>harmonogram</t>
  </si>
  <si>
    <t>wcześniejsza spłata</t>
  </si>
  <si>
    <t>Gotówka na umorzenie kapitału</t>
  </si>
  <si>
    <t>DSCR</t>
  </si>
  <si>
    <t>Kaskada gotówkowa</t>
  </si>
  <si>
    <t>Rok bieżący</t>
  </si>
  <si>
    <t>Cashflow</t>
  </si>
  <si>
    <t>Kaskada Gotówkowa</t>
  </si>
  <si>
    <t>WARIANT 1</t>
  </si>
  <si>
    <t>Finansowanie kosztów inwestycyjnych</t>
  </si>
  <si>
    <t>Finansowanie kapitałowe</t>
  </si>
  <si>
    <t>Finansowanie bankowe</t>
  </si>
  <si>
    <t xml:space="preserve">ZAŁOŻENIA </t>
  </si>
  <si>
    <t>INSTRUKCJA</t>
  </si>
  <si>
    <t>WARIANT 2</t>
  </si>
  <si>
    <t>WARIANT 3</t>
  </si>
  <si>
    <t>Koszt projektowania</t>
  </si>
  <si>
    <t>Koszt budowy</t>
  </si>
  <si>
    <t>Dotacja ze środków UE</t>
  </si>
  <si>
    <t>Dotacja inna niż ze środków UE</t>
  </si>
  <si>
    <t>Finansowanie zwrotne</t>
  </si>
  <si>
    <t>Wkład własny Partnera Prywatnego</t>
  </si>
  <si>
    <t>wkład własny Partnera Prywatnego</t>
  </si>
  <si>
    <t>Okres projektowania</t>
  </si>
  <si>
    <t>Okres budowy</t>
  </si>
  <si>
    <t>Okres eksploatacji</t>
  </si>
  <si>
    <t>PLN</t>
  </si>
  <si>
    <t>Źródło prognoz makroekonomicznych</t>
  </si>
  <si>
    <t>Źródła finansowania kosztów inwestycyjnych</t>
  </si>
  <si>
    <t>jednostka</t>
  </si>
  <si>
    <t>-</t>
  </si>
  <si>
    <t>Przyjęta jednostka pieniężna</t>
  </si>
  <si>
    <t>%</t>
  </si>
  <si>
    <t>Dotacja Podmiotu Publicznego</t>
  </si>
  <si>
    <t>Finansowanie zwrotne (podporządkowane)</t>
  </si>
  <si>
    <t>Finansowanie zwrotne (bankowe)</t>
  </si>
  <si>
    <t>Wcześniejsza spłata (finansowanie bankowe)</t>
  </si>
  <si>
    <t>Wcześniejsza spłata (finansowanie podporządkowane)</t>
  </si>
  <si>
    <t>Gotówka dostępna na wcześniejszą spłatę finansowania bankowego</t>
  </si>
  <si>
    <t>Gotówka dostępna na wcześniejszą spłatę finansowania podporządkowanego</t>
  </si>
  <si>
    <t>Finansowanie podporządkowane</t>
  </si>
  <si>
    <t>Marża za podporządkowanie</t>
  </si>
  <si>
    <t>dotacja</t>
  </si>
  <si>
    <t>Projekcje dla Podmiotu Publicznego</t>
  </si>
  <si>
    <t>Zakładka wynikowa</t>
  </si>
  <si>
    <t>Projekcje dla spółki Partnera Prywatnego - Wariant 1</t>
  </si>
  <si>
    <t>Zakładka kalkulacyjna</t>
  </si>
  <si>
    <t>Zakładka techniczna</t>
  </si>
  <si>
    <t>Założenia wskazane przez MFiPR</t>
  </si>
  <si>
    <t>Podmiot Publiczny</t>
  </si>
  <si>
    <t>I.</t>
  </si>
  <si>
    <t>II.</t>
  </si>
  <si>
    <t>Zwrot podatku VAT</t>
  </si>
  <si>
    <t>Opłata za dostępność brutto</t>
  </si>
  <si>
    <t>Całkowite wydatki Podmiotu Publicznego z tyt. Projektu</t>
  </si>
  <si>
    <t>zwrot VAT</t>
  </si>
  <si>
    <t>środki własne</t>
  </si>
  <si>
    <t>Finansowanie VAT od usługi budowlanej</t>
  </si>
  <si>
    <t>Pozostałe koszty Podmiotu Publicznego związane z Projektem</t>
  </si>
  <si>
    <t>Koszty odtworzeniowe</t>
  </si>
  <si>
    <t>Budżet</t>
  </si>
  <si>
    <t>Pozostałe przychody (lub oszczędności) Podmiotu Publicznego związane z Projektem</t>
  </si>
  <si>
    <t>Udział kosztów inwestycyjnych oprocentowanych 8% stawką VAT</t>
  </si>
  <si>
    <t>Udział kosztów inwestycyjnych oprocentowanych 23% stawką VAT</t>
  </si>
  <si>
    <t>Odsetki naliczone</t>
  </si>
  <si>
    <t>Opłata z tyt. usługi budowlanej</t>
  </si>
  <si>
    <t>VAT od uslugi budowlanej</t>
  </si>
  <si>
    <t>Opłata z tyt. usługi utrzymania</t>
  </si>
  <si>
    <t>Opłata z tyt. usługi finansowej</t>
  </si>
  <si>
    <t>Płatności Podmiotu Publicznego z tyt. opłaty za Dostępność</t>
  </si>
  <si>
    <t>Opłata za Dostępność brutto</t>
  </si>
  <si>
    <t>VAT od usługi budowlanej</t>
  </si>
  <si>
    <t>VAT od usługi utrzymania</t>
  </si>
  <si>
    <t>Opłata z tyt. usługi budowlanej brutto</t>
  </si>
  <si>
    <t>Finansowany przez Partnera Prywatnego</t>
  </si>
  <si>
    <t>Finansowany przez Podmiot Publiczny</t>
  </si>
  <si>
    <t>Opłata z tyt. usługi utrzymania brutto - w części dot. kosztów odtworzeniowych</t>
  </si>
  <si>
    <t>Opłata z tyt. usługi utrzymania brutto - w części dot. kosztów operacyjnych</t>
  </si>
  <si>
    <t>Opłata z tyt. usługi finansowej (zw. z VAT)</t>
  </si>
  <si>
    <t>Waloryzacja kosztów inwestycyjnych wskaźnikiem inflacji</t>
  </si>
  <si>
    <t>tak</t>
  </si>
  <si>
    <t>Sporządzenie prognozy</t>
  </si>
  <si>
    <t>Koszty Inwestycyjne</t>
  </si>
  <si>
    <t>Należy określić łączną wartość dotacji (w podziale na źródła), które Podmiot Publiczny spodziewa się otrzymać na realizację Projektu</t>
  </si>
  <si>
    <t>Należy wskazać kwoty netto (bez VAT) w ujęciu realnym (ceny obowiązujące na bieżący rok) - kwoty te zostaną zwaloryzowane o wskaźnik inflacji w okresie prognozy</t>
  </si>
  <si>
    <t>Należy wskazać (i) wartość netto (bez VAT) w ujęciu realnym (ceny obowiązujące na bieżący rok) oraz (ii) wybrać czy wartości te mają zostać zwaloryzowane o wskaźnik inflacji w okresie prognozy</t>
  </si>
  <si>
    <t>Nazewnictwo okresów</t>
  </si>
  <si>
    <t>kontrolka</t>
  </si>
  <si>
    <t>A.</t>
  </si>
  <si>
    <t>B.</t>
  </si>
  <si>
    <t>C.</t>
  </si>
  <si>
    <t>D.</t>
  </si>
  <si>
    <t>KSIĘGA ZAŁOŻEŃ</t>
  </si>
  <si>
    <t>kategoria</t>
  </si>
  <si>
    <t>Podsumowanie</t>
  </si>
  <si>
    <t>Porównanie</t>
  </si>
  <si>
    <t>Wariant bazowy</t>
  </si>
  <si>
    <t>Pozostałe przychody (oszczędności) i koszty Podmiotu Publicznego związane z Projektem</t>
  </si>
  <si>
    <t>Pozostałe przychody (oszczędności) Podmiotu Publicznego</t>
  </si>
  <si>
    <t>Pozostałe koszty Podmiotu Publicznego</t>
  </si>
  <si>
    <t>Weryfikacja poprawności obliczeń</t>
  </si>
  <si>
    <t>Przeliczenie Opłaty za dostępność</t>
  </si>
  <si>
    <t>Kalkulacja opłaty za dostępność</t>
  </si>
  <si>
    <t>Efektywna stawka VAT od usługi budowlanej</t>
  </si>
  <si>
    <t>Całościowe wydatki Podmiotu Publicznego z tyt. projektu</t>
  </si>
  <si>
    <t>Koszty operacyjne (roczne)</t>
  </si>
  <si>
    <t>Należy wybrać (i) dla którego wariantu (1-3) ma zostać sporządzona analiza oraz (ii) określić jednostkę pieniężną przyjętą do analizy i (iii) określić  rok bieżący, tj. rok sporządzenia analizy</t>
  </si>
  <si>
    <t>Należy określić rok początkowy i końcowy poszczególnych okresów realizacji Projektu</t>
  </si>
  <si>
    <t>Projekcje dla spółki Partnera Prywatnego - Wariant 2</t>
  </si>
  <si>
    <t>Projekcje dla spółki Partnera Prywatnego - Wariant 3</t>
  </si>
  <si>
    <r>
      <t xml:space="preserve">Należy wskazać kwoty </t>
    </r>
    <r>
      <rPr>
        <b/>
        <i/>
        <u/>
        <sz val="10"/>
        <rFont val="Arial"/>
        <family val="2"/>
        <charset val="238"/>
      </rPr>
      <t>brutto</t>
    </r>
    <r>
      <rPr>
        <i/>
        <sz val="10"/>
        <rFont val="Arial"/>
        <family val="2"/>
        <charset val="238"/>
      </rPr>
      <t xml:space="preserve"> w ujęciu realnym (ceny obowiązujące na bieżący rok) - kwoty te zostaną zwaloryzowane o wskaźnik inflacji w okresie prognozy</t>
    </r>
  </si>
  <si>
    <t>Spis treści</t>
  </si>
  <si>
    <t>Nazwa karty</t>
  </si>
  <si>
    <t>Typ karty</t>
  </si>
  <si>
    <t>Opis</t>
  </si>
  <si>
    <t>Sterująca</t>
  </si>
  <si>
    <t>Wyniki</t>
  </si>
  <si>
    <t>Wynikowa</t>
  </si>
  <si>
    <t xml:space="preserve">Legenda oznaczeń </t>
  </si>
  <si>
    <t>Formuły obliczeniowe</t>
  </si>
  <si>
    <t>Pole celowo pozostawione puste</t>
  </si>
  <si>
    <t>Założenia</t>
  </si>
  <si>
    <t>Wariant 1</t>
  </si>
  <si>
    <t>Wariant 2</t>
  </si>
  <si>
    <t>Wariant 3</t>
  </si>
  <si>
    <t>Księga założeń</t>
  </si>
  <si>
    <t>Dane z możliwością zmiany przez użytkownika poprzez wpisanie wartości</t>
  </si>
  <si>
    <t>Dane z możliwością zmiany przez użytkownika porzez wybór wartości z listy rozwijanej</t>
  </si>
  <si>
    <t>Prognoza zostanie przygotowana na podstawie założeń użytkownika, które należy uzupełnić w zakładce "Założenia". W zakładce tej znajduje się instrukcja obsługi narzędzia.</t>
  </si>
  <si>
    <t>Prognoza może zostać przygotowana w 3 osobnych wariantach.</t>
  </si>
  <si>
    <t>Podsumowanie założeń projekcji finansowych</t>
  </si>
  <si>
    <t>Kalkulacje opłaty za dostępość i uproszczone sprawozdania finansowe Partnera Prywatnego - Wariant 1</t>
  </si>
  <si>
    <t>Kalkulacje opłaty za dostępość i uproszczone sprawozdania finansowe Partnera Prywatnego - Wariant 2</t>
  </si>
  <si>
    <t>Kalkulacje opłaty za dostępość i uproszczone sprawozdania finansowe Partnera Prywatnego - Wariant 3</t>
  </si>
  <si>
    <t>Karta sterująca kalkulatorem - należy ją uzupełnić zgodnie z instrukcją zawartą w tej zakładce, aby otrzymać oszacowanie wydatków Podmiotu Publicznego z tyt. projektu PPP</t>
  </si>
  <si>
    <t>Podsumowanie całościowych wydatków Podmiotu Publicznego z tyt. projektu PPP, w tym opłaty za dostępność brutto</t>
  </si>
  <si>
    <t xml:space="preserve">Kalkulator umożliwia przygotowanie uproszczonej prognozy opłaty za dostępność, jak również całościowych wydatków Podmiotu Publicznego z tyt. realizacji projektu w fromule PPP. </t>
  </si>
  <si>
    <t>Aktualna wersja narzędzia</t>
  </si>
  <si>
    <t>Sprawdź czy posiadasz aktualną wersję narzędzia. Kliknij w tą komórkę, aby odwiedzić stronę internetową Ministerstwa Funduszy i Polityki Regionalnej.</t>
  </si>
  <si>
    <t>Liczba lat okresu projektowania</t>
  </si>
  <si>
    <t>Liczba lat okresu budowy</t>
  </si>
  <si>
    <t>Liczba lat okresu eksploatacji</t>
  </si>
  <si>
    <t>Wydatki Podmiotu Publicznego</t>
  </si>
  <si>
    <t>Bilans</t>
  </si>
  <si>
    <t>Finansowanie / budżet</t>
  </si>
  <si>
    <t>Sprawdzenie poprawności modelu</t>
  </si>
  <si>
    <t>opis</t>
  </si>
  <si>
    <t>Źródło prognozy WIBOR</t>
  </si>
  <si>
    <t>Pozostałe przychody (lub oszczędności) Podmiotu Publicznego związane z projektem</t>
  </si>
  <si>
    <t>Pozostałe koszty Podmiotu Publicznego związane z projektem</t>
  </si>
  <si>
    <t>Wykres 3</t>
  </si>
  <si>
    <t>Założenia makroekonomiczne</t>
  </si>
  <si>
    <t>Opłata za dostępność brutto stanowi sumę opłaty z tyt. usługi budowlanej, opłaty z tyt. usługi utrzymania oraz opłaty z tyt. usługi finansowej, a także VAT należnego (oszacowanego zgodnie z opisem poniżej).</t>
  </si>
  <si>
    <t>Opłata z tyt. usługi budowlanej dotyczy kosztów Partnera Prywatnego poniesionych w okresie projektowania i budowy - koszty projektowania, koszty budowy, pozostałe koszty inwestycyjne, a także skapitalizowane odsetki i prowizje od finansowania zwrotnego (bankowego oraz podporządkowanego).</t>
  </si>
  <si>
    <t>Kalkulator umożliwia użytkownikowi wybór sposobu finansowania VAT należnego od usługi budowlanej. VAT ten może być sfinansowany bezpośrednio przez Podmiot Publiczny w formie jednorazowej płatności po zakończeniu okresu budowy lub poprzez dodatkowe finansowanie zwrotne zaciągane przez Partnera Prywatnego, którego spłata jest pokrywana poprzez wzrost opłaty za dostępność.</t>
  </si>
  <si>
    <t>Struktura finansowa</t>
  </si>
  <si>
    <t>Koszty finansowania</t>
  </si>
  <si>
    <t>Marża finansowania zwrotnego</t>
  </si>
  <si>
    <t>Prowizja finansowania zwrotnego</t>
  </si>
  <si>
    <t>Koszt finansowania kapitałowego</t>
  </si>
  <si>
    <t>Opłata z tyt. usługi utrzymania dotyczy kosztów Partnera Prywatnego poniesionych w okresie eksploatacji, tj. kosztów bieżącego utrzymania oraz kosztów odtworzeniowych.</t>
  </si>
  <si>
    <t>Opłata z tyt. usługi finansowej dotyczy kosztów finansowania kapitałowego Partnera Prywatnego oraz kosztów finansowania zwrotnego podporządkowanego oraz bankowego.</t>
  </si>
  <si>
    <t>Opłata za dostępność dzieli się na (i) opłatę z tyt. usługi budowlanej - związaną z kosztami projektowania i budowy, które poniesie Partner Prywatny (ii) opłatę z tyt. usługi utrzymania - związaną z kosztami operacyjnymi i odtworzeniowymi, które poniesie Partner Prywatny (iii) opłatę z tyt. usługi finansowania - związaną z kosztem finansowania kapitałowego Partnera Prywatnego, a także kosztem finansowania zwrotnego (dłużnego), które poniesie Partner Prywatny.</t>
  </si>
  <si>
    <t>Założenia w zakresie VAT bazują na Objaśnieniach Podatkowych Ministerstwa Finansów z dn. 1 grudnia 2017 r.  rozliczenia w zakesie podatku od towarów i usług, podatku dochodowego od osób prawnych oraz podatku dochodowego od osób fizycznych transkacji realizowanych w ramach umów o partnerstwie publiczno-prywatnym.</t>
  </si>
  <si>
    <t>Informacje ogólne</t>
  </si>
  <si>
    <t>Wyniki - porównanie</t>
  </si>
  <si>
    <t>1.</t>
  </si>
  <si>
    <t>2.</t>
  </si>
  <si>
    <t>a.</t>
  </si>
  <si>
    <t>b.</t>
  </si>
  <si>
    <t>c.</t>
  </si>
  <si>
    <t>szczegóły</t>
  </si>
  <si>
    <t>Wydatki z tyt. opłaty za dostępność brutto w podziale na kategorie wydatków</t>
  </si>
  <si>
    <t>Wydatki z tyt. opłaty za dostępność brutto w podziale na kategorie opłat</t>
  </si>
  <si>
    <t>3.</t>
  </si>
  <si>
    <t>d.</t>
  </si>
  <si>
    <t>Dotacje</t>
  </si>
  <si>
    <t>Zwrot VAT</t>
  </si>
  <si>
    <t>Kalkulacyjna</t>
  </si>
  <si>
    <t>Informacyjna</t>
  </si>
  <si>
    <t>nie</t>
  </si>
  <si>
    <t>Porównanie wariantów realizacji projektu w zakresie opłaty za dostępność brutto oraz całościowych wydatków Podmiotu Publicznego</t>
  </si>
  <si>
    <t>do góry</t>
  </si>
  <si>
    <t>Materiały pomocnicze</t>
  </si>
  <si>
    <t>Wytyczne dotyczące wskaźników makroekonomicznych - Ministerstwo Finansów</t>
  </si>
  <si>
    <t xml:space="preserve">Wytyczne do umów o poprawę efektywności energetycznej EPC - Ministerstwo Klimatu i Środowiska	</t>
  </si>
  <si>
    <t>Baza wiedzy PPP - Ministerstwo Funduszy i Polityki Regionalnej</t>
  </si>
  <si>
    <t>Pozostałe przychody / koszty Podmiotu Publicznego</t>
  </si>
  <si>
    <t>Prognozy NBP z listopada 2025 r. za okres 2025-2027, zaś w kolejnych latach przyjmujemy wskaźnik inflacji będzie znajdował w środku celu inflacyjnego (2,5%).</t>
  </si>
  <si>
    <t>Założenia w zakresie WIBOR na lata 2025-2027 przyjęto na podstawie prognozy NBP z dn. 7 listopada 2025 r. W kolejnych latach stopę WIBOR przyjęto na poziomie 1 p.p. powyżej prognozy inflacji.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</si>
</sst>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_);_(* \(#,##0\);_(* &quot;-&quot;??_);_(@_)"/>
    <numFmt numFmtId="165" formatCode="0.0%"/>
    <numFmt numFmtId="166" formatCode="_(* #,##0.00_);_(* \(#,##0.00\);_(* &quot;-&quot;??_);_(@_)"/>
    <numFmt numFmtId="167" formatCode="_(* #,##0.000_);_(* \(#,##0.000\);_(* &quot;-&quot;??_);_(@_)"/>
  </numFmts>
  <fonts count="3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name val="Arial"/>
      <family val="2"/>
      <charset val="238"/>
    </font>
    <font>
      <sz val="11"/>
      <color theme="0"/>
      <name val="Arial"/>
      <family val="2"/>
      <charset val="238"/>
    </font>
    <font>
      <b/>
      <sz val="11"/>
      <color theme="0"/>
      <name val="Arial"/>
      <family val="2"/>
      <charset val="238"/>
    </font>
    <font>
      <sz val="11"/>
      <color theme="1"/>
      <name val="Arial"/>
      <family val="2"/>
      <charset val="238"/>
    </font>
    <font>
      <b/>
      <sz val="11"/>
      <name val="Arial"/>
      <family val="2"/>
      <charset val="238"/>
    </font>
    <font>
      <b/>
      <sz val="9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9"/>
      <color theme="1"/>
      <name val="Calibri"/>
      <family val="2"/>
      <charset val="238"/>
      <scheme val="minor"/>
    </font>
    <font>
      <i/>
      <sz val="11"/>
      <color rgb="FFFF0000"/>
      <name val="Arial"/>
      <family val="2"/>
      <charset val="238"/>
    </font>
    <font>
      <b/>
      <sz val="11"/>
      <color theme="1"/>
      <name val="Arial"/>
      <family val="2"/>
      <charset val="238"/>
    </font>
    <font>
      <i/>
      <sz val="11"/>
      <name val="Arial"/>
      <family val="2"/>
      <charset val="238"/>
    </font>
    <font>
      <b/>
      <i/>
      <sz val="8"/>
      <color theme="0" tint="-0.499984740745262"/>
      <name val="Arial"/>
      <family val="2"/>
      <charset val="238"/>
    </font>
    <font>
      <sz val="11"/>
      <color rgb="FFC00000"/>
      <name val="Arial"/>
      <family val="2"/>
      <charset val="238"/>
    </font>
    <font>
      <sz val="10"/>
      <name val="Arial"/>
      <family val="2"/>
      <charset val="238"/>
    </font>
    <font>
      <i/>
      <sz val="10"/>
      <name val="Arial"/>
      <family val="2"/>
      <charset val="238"/>
    </font>
    <font>
      <b/>
      <sz val="10"/>
      <color theme="0"/>
      <name val="Arial"/>
      <family val="2"/>
      <charset val="238"/>
    </font>
    <font>
      <sz val="10"/>
      <color theme="1"/>
      <name val="Calibri"/>
      <family val="2"/>
      <charset val="238"/>
      <scheme val="minor"/>
    </font>
    <font>
      <b/>
      <sz val="11"/>
      <color rgb="FFFFC000"/>
      <name val="Arial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i/>
      <u/>
      <sz val="10"/>
      <name val="Arial"/>
      <family val="2"/>
      <charset val="238"/>
    </font>
    <font>
      <i/>
      <sz val="11"/>
      <color theme="1"/>
      <name val="Calibri"/>
      <family val="2"/>
      <charset val="238"/>
      <scheme val="minor"/>
    </font>
    <font>
      <sz val="8"/>
      <color theme="1"/>
      <name val="Arial"/>
      <family val="2"/>
      <charset val="238"/>
    </font>
    <font>
      <b/>
      <sz val="8"/>
      <color theme="0"/>
      <name val="Arial"/>
      <family val="2"/>
      <charset val="238"/>
    </font>
    <font>
      <sz val="8"/>
      <color theme="0"/>
      <name val="Arial"/>
      <family val="2"/>
      <charset val="238"/>
    </font>
    <font>
      <b/>
      <sz val="8"/>
      <color theme="1"/>
      <name val="Arial"/>
      <family val="2"/>
      <charset val="238"/>
    </font>
    <font>
      <u/>
      <sz val="8"/>
      <color theme="10"/>
      <name val="Arial"/>
      <family val="2"/>
      <charset val="238"/>
    </font>
    <font>
      <sz val="8"/>
      <name val="Arial"/>
      <family val="2"/>
      <charset val="238"/>
    </font>
    <font>
      <sz val="11"/>
      <name val="Calibri"/>
      <family val="2"/>
      <charset val="238"/>
      <scheme val="minor"/>
    </font>
    <font>
      <u/>
      <sz val="9"/>
      <color rgb="FFC00000"/>
      <name val="Calibri"/>
      <family val="2"/>
      <charset val="238"/>
      <scheme val="minor"/>
    </font>
    <font>
      <sz val="11"/>
      <color theme="7"/>
      <name val="Arial"/>
      <family val="2"/>
      <charset val="238"/>
    </font>
    <font>
      <b/>
      <sz val="11"/>
      <color rgb="FFFFFF00"/>
      <name val="Arial"/>
      <family val="2"/>
      <charset val="238"/>
    </font>
    <font>
      <sz val="11"/>
      <name val="Arial"/>
      <family val="2"/>
      <charset val="238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125">
        <fgColor theme="0" tint="-0.499984740745262"/>
        <bgColor indexed="65"/>
      </patternFill>
    </fill>
    <fill>
      <patternFill patternType="solid">
        <fgColor rgb="FFDFE0F1"/>
        <bgColor indexed="64"/>
      </patternFill>
    </fill>
    <fill>
      <patternFill patternType="solid">
        <fgColor rgb="FF475493"/>
        <bgColor indexed="64"/>
      </patternFill>
    </fill>
    <fill>
      <patternFill patternType="solid">
        <fgColor rgb="FF1B327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DF3E7"/>
        <bgColor indexed="64"/>
      </patternFill>
    </fill>
    <fill>
      <patternFill patternType="solid">
        <fgColor rgb="FFE7E8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hair">
        <color theme="0" tint="-0.499984740745262"/>
      </bottom>
      <diagonal/>
    </border>
    <border>
      <left/>
      <right style="medium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medium">
        <color indexed="64"/>
      </right>
      <top style="hair">
        <color theme="0" tint="-0.499984740745262"/>
      </top>
      <bottom style="thin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/>
      <right/>
      <top/>
      <bottom style="dotted">
        <color theme="0" tint="-0.24994659260841701"/>
      </bottom>
      <diagonal/>
    </border>
    <border>
      <left/>
      <right/>
      <top style="dotted">
        <color theme="0" tint="-0.24994659260841701"/>
      </top>
      <bottom style="dotted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theme="0" tint="-0.499984740745262"/>
      </top>
      <bottom style="thin">
        <color indexed="64"/>
      </bottom>
      <diagonal/>
    </border>
    <border>
      <left style="thick">
        <color rgb="FFFFC000"/>
      </left>
      <right style="thick">
        <color rgb="FFFFC000"/>
      </right>
      <top style="thick">
        <color rgb="FFFFC000"/>
      </top>
      <bottom style="thick">
        <color rgb="FFFFC000"/>
      </bottom>
      <diagonal/>
    </border>
    <border>
      <left style="thick">
        <color rgb="FFFFC000"/>
      </left>
      <right style="hair">
        <color indexed="64"/>
      </right>
      <top style="thick">
        <color rgb="FFFFC000"/>
      </top>
      <bottom style="thick">
        <color rgb="FFFFC000"/>
      </bottom>
      <diagonal/>
    </border>
    <border>
      <left style="hair">
        <color indexed="64"/>
      </left>
      <right style="hair">
        <color indexed="64"/>
      </right>
      <top style="thick">
        <color rgb="FFFFC000"/>
      </top>
      <bottom style="thick">
        <color rgb="FFFFC000"/>
      </bottom>
      <diagonal/>
    </border>
    <border>
      <left/>
      <right/>
      <top style="thick">
        <color rgb="FFFFC000"/>
      </top>
      <bottom style="thick">
        <color rgb="FFFFC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 style="thin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 style="thin">
        <color indexed="64"/>
      </right>
      <top/>
      <bottom style="thin">
        <color theme="2"/>
      </bottom>
      <diagonal/>
    </border>
    <border>
      <left/>
      <right style="hair">
        <color indexed="64"/>
      </right>
      <top/>
      <bottom style="dotted">
        <color theme="0" tint="-0.24994659260841701"/>
      </bottom>
      <diagonal/>
    </border>
    <border>
      <left style="hair">
        <color indexed="64"/>
      </left>
      <right style="hair">
        <color indexed="64"/>
      </right>
      <top/>
      <bottom style="thick">
        <color rgb="FFFFC000"/>
      </bottom>
      <diagonal/>
    </border>
    <border>
      <left/>
      <right style="hair">
        <color indexed="64"/>
      </right>
      <top/>
      <bottom style="thick">
        <color rgb="FFFFC000"/>
      </bottom>
      <diagonal/>
    </border>
    <border>
      <left style="hair">
        <color indexed="64"/>
      </left>
      <right/>
      <top/>
      <bottom style="thick">
        <color rgb="FFFFC000"/>
      </bottom>
      <diagonal/>
    </border>
    <border>
      <left style="hair">
        <color indexed="64"/>
      </left>
      <right style="thick">
        <color rgb="FFFFC000"/>
      </right>
      <top style="thick">
        <color rgb="FFFFC000"/>
      </top>
      <bottom style="thick">
        <color rgb="FFFFC0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66">
    <xf numFmtId="0" fontId="0" fillId="0" borderId="0" xfId="0"/>
    <xf numFmtId="164" fontId="2" fillId="2" borderId="1" xfId="0" applyNumberFormat="1" applyFont="1" applyFill="1" applyBorder="1" applyAlignment="1">
      <alignment vertical="center"/>
    </xf>
    <xf numFmtId="164" fontId="2" fillId="2" borderId="0" xfId="0" applyNumberFormat="1" applyFont="1" applyFill="1" applyAlignment="1">
      <alignment vertical="center"/>
    </xf>
    <xf numFmtId="164" fontId="6" fillId="2" borderId="3" xfId="0" applyNumberFormat="1" applyFont="1" applyFill="1" applyBorder="1" applyAlignment="1">
      <alignment vertical="center"/>
    </xf>
    <xf numFmtId="164" fontId="6" fillId="2" borderId="4" xfId="0" applyNumberFormat="1" applyFont="1" applyFill="1" applyBorder="1" applyAlignment="1">
      <alignment vertical="center"/>
    </xf>
    <xf numFmtId="0" fontId="5" fillId="2" borderId="0" xfId="0" applyFont="1" applyFill="1"/>
    <xf numFmtId="165" fontId="2" fillId="2" borderId="1" xfId="1" applyNumberFormat="1" applyFont="1" applyFill="1" applyBorder="1" applyAlignment="1">
      <alignment vertical="center"/>
    </xf>
    <xf numFmtId="164" fontId="10" fillId="2" borderId="0" xfId="0" applyNumberFormat="1" applyFont="1" applyFill="1" applyAlignment="1">
      <alignment vertical="center"/>
    </xf>
    <xf numFmtId="164" fontId="2" fillId="2" borderId="3" xfId="0" applyNumberFormat="1" applyFont="1" applyFill="1" applyBorder="1" applyAlignment="1">
      <alignment vertical="center"/>
    </xf>
    <xf numFmtId="0" fontId="5" fillId="2" borderId="3" xfId="0" applyFont="1" applyFill="1" applyBorder="1"/>
    <xf numFmtId="164" fontId="2" fillId="2" borderId="4" xfId="0" applyNumberFormat="1" applyFont="1" applyFill="1" applyBorder="1" applyAlignment="1">
      <alignment vertical="center"/>
    </xf>
    <xf numFmtId="164" fontId="2" fillId="2" borderId="5" xfId="0" applyNumberFormat="1" applyFont="1" applyFill="1" applyBorder="1" applyAlignment="1">
      <alignment vertical="center"/>
    </xf>
    <xf numFmtId="10" fontId="2" fillId="2" borderId="1" xfId="1" applyNumberFormat="1" applyFont="1" applyFill="1" applyBorder="1" applyAlignment="1">
      <alignment vertical="center"/>
    </xf>
    <xf numFmtId="164" fontId="2" fillId="3" borderId="1" xfId="0" applyNumberFormat="1" applyFont="1" applyFill="1" applyBorder="1" applyAlignment="1">
      <alignment vertical="center"/>
    </xf>
    <xf numFmtId="164" fontId="2" fillId="3" borderId="5" xfId="0" applyNumberFormat="1" applyFont="1" applyFill="1" applyBorder="1" applyAlignment="1">
      <alignment vertical="center"/>
    </xf>
    <xf numFmtId="0" fontId="11" fillId="2" borderId="0" xfId="0" applyFont="1" applyFill="1"/>
    <xf numFmtId="0" fontId="11" fillId="2" borderId="3" xfId="0" applyFont="1" applyFill="1" applyBorder="1"/>
    <xf numFmtId="2" fontId="2" fillId="2" borderId="1" xfId="0" applyNumberFormat="1" applyFont="1" applyFill="1" applyBorder="1" applyAlignment="1">
      <alignment vertical="center"/>
    </xf>
    <xf numFmtId="166" fontId="2" fillId="2" borderId="1" xfId="0" applyNumberFormat="1" applyFont="1" applyFill="1" applyBorder="1" applyAlignment="1">
      <alignment vertical="center"/>
    </xf>
    <xf numFmtId="167" fontId="2" fillId="2" borderId="0" xfId="0" applyNumberFormat="1" applyFont="1" applyFill="1" applyAlignment="1">
      <alignment vertical="center"/>
    </xf>
    <xf numFmtId="9" fontId="2" fillId="2" borderId="1" xfId="1" applyFont="1" applyFill="1" applyBorder="1" applyAlignment="1">
      <alignment vertical="center"/>
    </xf>
    <xf numFmtId="164" fontId="2" fillId="2" borderId="0" xfId="0" applyNumberFormat="1" applyFont="1" applyFill="1" applyAlignment="1">
      <alignment horizontal="center" vertical="center"/>
    </xf>
    <xf numFmtId="164" fontId="12" fillId="2" borderId="0" xfId="0" applyNumberFormat="1" applyFont="1" applyFill="1" applyAlignment="1">
      <alignment horizontal="center" vertical="center"/>
    </xf>
    <xf numFmtId="164" fontId="13" fillId="4" borderId="0" xfId="0" applyNumberFormat="1" applyFont="1" applyFill="1"/>
    <xf numFmtId="164" fontId="2" fillId="2" borderId="0" xfId="0" applyNumberFormat="1" applyFont="1" applyFill="1" applyAlignment="1">
      <alignment horizontal="left" vertical="center"/>
    </xf>
    <xf numFmtId="0" fontId="2" fillId="2" borderId="1" xfId="0" applyFont="1" applyFill="1" applyBorder="1" applyAlignment="1">
      <alignment vertical="center"/>
    </xf>
    <xf numFmtId="164" fontId="2" fillId="2" borderId="8" xfId="0" applyNumberFormat="1" applyFont="1" applyFill="1" applyBorder="1" applyAlignment="1">
      <alignment vertical="center"/>
    </xf>
    <xf numFmtId="165" fontId="2" fillId="5" borderId="1" xfId="1" applyNumberFormat="1" applyFont="1" applyFill="1" applyBorder="1" applyAlignment="1">
      <alignment vertical="center"/>
    </xf>
    <xf numFmtId="164" fontId="4" fillId="6" borderId="0" xfId="0" applyNumberFormat="1" applyFont="1" applyFill="1" applyAlignment="1">
      <alignment horizontal="left" vertical="center"/>
    </xf>
    <xf numFmtId="164" fontId="4" fillId="6" borderId="0" xfId="0" applyNumberFormat="1" applyFont="1" applyFill="1" applyAlignment="1">
      <alignment vertical="center"/>
    </xf>
    <xf numFmtId="164" fontId="4" fillId="6" borderId="0" xfId="0" applyNumberFormat="1" applyFont="1" applyFill="1" applyAlignment="1">
      <alignment horizontal="center" vertical="center"/>
    </xf>
    <xf numFmtId="164" fontId="2" fillId="3" borderId="4" xfId="0" applyNumberFormat="1" applyFont="1" applyFill="1" applyBorder="1" applyAlignment="1">
      <alignment vertical="center"/>
    </xf>
    <xf numFmtId="164" fontId="7" fillId="7" borderId="0" xfId="0" applyNumberFormat="1" applyFont="1" applyFill="1" applyAlignment="1">
      <alignment horizontal="left" vertical="center"/>
    </xf>
    <xf numFmtId="164" fontId="7" fillId="7" borderId="0" xfId="0" applyNumberFormat="1" applyFont="1" applyFill="1" applyAlignment="1">
      <alignment horizontal="right" vertical="center"/>
    </xf>
    <xf numFmtId="164" fontId="7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164" fontId="15" fillId="2" borderId="0" xfId="0" applyNumberFormat="1" applyFont="1" applyFill="1" applyAlignment="1">
      <alignment vertical="center"/>
    </xf>
    <xf numFmtId="164" fontId="16" fillId="3" borderId="0" xfId="0" applyNumberFormat="1" applyFont="1" applyFill="1" applyAlignment="1">
      <alignment horizontal="left" vertical="center"/>
    </xf>
    <xf numFmtId="164" fontId="17" fillId="3" borderId="0" xfId="0" applyNumberFormat="1" applyFont="1" applyFill="1" applyAlignment="1">
      <alignment vertical="center"/>
    </xf>
    <xf numFmtId="164" fontId="17" fillId="3" borderId="0" xfId="0" applyNumberFormat="1" applyFont="1" applyFill="1" applyAlignment="1">
      <alignment horizontal="center" vertical="center"/>
    </xf>
    <xf numFmtId="0" fontId="18" fillId="3" borderId="0" xfId="0" applyFont="1" applyFill="1"/>
    <xf numFmtId="164" fontId="8" fillId="7" borderId="0" xfId="0" applyNumberFormat="1" applyFont="1" applyFill="1" applyAlignment="1">
      <alignment horizontal="right" vertical="center"/>
    </xf>
    <xf numFmtId="0" fontId="0" fillId="7" borderId="0" xfId="0" applyFill="1" applyAlignment="1">
      <alignment horizontal="right"/>
    </xf>
    <xf numFmtId="0" fontId="9" fillId="7" borderId="0" xfId="0" applyFont="1" applyFill="1" applyAlignment="1">
      <alignment horizontal="right"/>
    </xf>
    <xf numFmtId="164" fontId="4" fillId="6" borderId="2" xfId="0" applyNumberFormat="1" applyFont="1" applyFill="1" applyBorder="1" applyAlignment="1">
      <alignment vertical="center"/>
    </xf>
    <xf numFmtId="0" fontId="0" fillId="6" borderId="0" xfId="0" applyFill="1"/>
    <xf numFmtId="0" fontId="3" fillId="7" borderId="0" xfId="0" applyFont="1" applyFill="1" applyAlignment="1">
      <alignment horizontal="left" vertical="center"/>
    </xf>
    <xf numFmtId="9" fontId="2" fillId="5" borderId="1" xfId="1" applyFont="1" applyFill="1" applyBorder="1" applyAlignment="1">
      <alignment vertical="center"/>
    </xf>
    <xf numFmtId="165" fontId="2" fillId="3" borderId="9" xfId="1" applyNumberFormat="1" applyFont="1" applyFill="1" applyBorder="1" applyAlignment="1">
      <alignment vertical="center"/>
    </xf>
    <xf numFmtId="165" fontId="2" fillId="3" borderId="10" xfId="1" applyNumberFormat="1" applyFont="1" applyFill="1" applyBorder="1" applyAlignment="1">
      <alignment vertical="center"/>
    </xf>
    <xf numFmtId="165" fontId="2" fillId="3" borderId="11" xfId="1" applyNumberFormat="1" applyFont="1" applyFill="1" applyBorder="1" applyAlignment="1">
      <alignment vertical="center"/>
    </xf>
    <xf numFmtId="165" fontId="2" fillId="5" borderId="5" xfId="1" applyNumberFormat="1" applyFont="1" applyFill="1" applyBorder="1" applyAlignment="1">
      <alignment vertical="center"/>
    </xf>
    <xf numFmtId="164" fontId="2" fillId="2" borderId="3" xfId="0" applyNumberFormat="1" applyFont="1" applyFill="1" applyBorder="1" applyAlignment="1">
      <alignment horizontal="center" vertical="center"/>
    </xf>
    <xf numFmtId="9" fontId="2" fillId="5" borderId="5" xfId="1" applyFont="1" applyFill="1" applyBorder="1" applyAlignment="1">
      <alignment vertical="center"/>
    </xf>
    <xf numFmtId="164" fontId="12" fillId="2" borderId="0" xfId="0" applyNumberFormat="1" applyFont="1" applyFill="1" applyAlignment="1">
      <alignment vertical="center"/>
    </xf>
    <xf numFmtId="164" fontId="12" fillId="3" borderId="0" xfId="0" applyNumberFormat="1" applyFont="1" applyFill="1" applyAlignment="1">
      <alignment vertical="center"/>
    </xf>
    <xf numFmtId="164" fontId="12" fillId="3" borderId="0" xfId="0" applyNumberFormat="1" applyFont="1" applyFill="1" applyAlignment="1">
      <alignment horizontal="right" vertical="center"/>
    </xf>
    <xf numFmtId="164" fontId="14" fillId="2" borderId="7" xfId="0" applyNumberFormat="1" applyFont="1" applyFill="1" applyBorder="1" applyAlignment="1">
      <alignment horizontal="center" vertical="center" wrapText="1"/>
    </xf>
    <xf numFmtId="164" fontId="4" fillId="6" borderId="6" xfId="0" applyNumberFormat="1" applyFont="1" applyFill="1" applyBorder="1" applyAlignment="1">
      <alignment vertical="center"/>
    </xf>
    <xf numFmtId="164" fontId="6" fillId="8" borderId="12" xfId="0" applyNumberFormat="1" applyFont="1" applyFill="1" applyBorder="1" applyAlignment="1">
      <alignment vertical="center"/>
    </xf>
    <xf numFmtId="164" fontId="19" fillId="6" borderId="6" xfId="0" applyNumberFormat="1" applyFont="1" applyFill="1" applyBorder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4" fontId="6" fillId="8" borderId="12" xfId="0" applyNumberFormat="1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3" fillId="7" borderId="0" xfId="0" applyFont="1" applyFill="1" applyAlignment="1">
      <alignment horizontal="center" vertical="center"/>
    </xf>
    <xf numFmtId="164" fontId="2" fillId="10" borderId="17" xfId="0" applyNumberFormat="1" applyFont="1" applyFill="1" applyBorder="1" applyAlignment="1">
      <alignment horizontal="center" vertical="center"/>
    </xf>
    <xf numFmtId="164" fontId="2" fillId="10" borderId="16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vertical="center"/>
    </xf>
    <xf numFmtId="164" fontId="2" fillId="13" borderId="1" xfId="0" applyNumberFormat="1" applyFont="1" applyFill="1" applyBorder="1" applyAlignment="1">
      <alignment vertical="center"/>
    </xf>
    <xf numFmtId="10" fontId="2" fillId="5" borderId="1" xfId="1" applyNumberFormat="1" applyFont="1" applyFill="1" applyBorder="1" applyAlignment="1">
      <alignment vertical="center"/>
    </xf>
    <xf numFmtId="164" fontId="20" fillId="2" borderId="0" xfId="2" applyNumberFormat="1" applyFill="1" applyAlignment="1">
      <alignment vertical="center"/>
    </xf>
    <xf numFmtId="164" fontId="6" fillId="2" borderId="26" xfId="0" applyNumberFormat="1" applyFont="1" applyFill="1" applyBorder="1" applyAlignment="1">
      <alignment vertical="center"/>
    </xf>
    <xf numFmtId="164" fontId="2" fillId="2" borderId="9" xfId="0" applyNumberFormat="1" applyFont="1" applyFill="1" applyBorder="1" applyAlignment="1">
      <alignment vertical="center"/>
    </xf>
    <xf numFmtId="164" fontId="2" fillId="2" borderId="27" xfId="0" applyNumberFormat="1" applyFont="1" applyFill="1" applyBorder="1" applyAlignment="1">
      <alignment vertical="center"/>
    </xf>
    <xf numFmtId="0" fontId="16" fillId="3" borderId="0" xfId="0" applyFont="1" applyFill="1" applyAlignment="1">
      <alignment horizontal="left" vertical="center"/>
    </xf>
    <xf numFmtId="0" fontId="22" fillId="0" borderId="0" xfId="0" applyFont="1"/>
    <xf numFmtId="0" fontId="0" fillId="2" borderId="0" xfId="0" applyFill="1"/>
    <xf numFmtId="0" fontId="23" fillId="2" borderId="0" xfId="0" applyFont="1" applyFill="1"/>
    <xf numFmtId="0" fontId="28" fillId="14" borderId="29" xfId="2" applyFont="1" applyFill="1" applyBorder="1" applyAlignment="1">
      <alignment horizontal="left" vertical="center"/>
    </xf>
    <xf numFmtId="0" fontId="28" fillId="14" borderId="29" xfId="2" applyFont="1" applyFill="1" applyBorder="1" applyAlignment="1">
      <alignment horizontal="center" vertical="center"/>
    </xf>
    <xf numFmtId="0" fontId="27" fillId="14" borderId="29" xfId="2" quotePrefix="1" applyFont="1" applyFill="1" applyBorder="1" applyAlignment="1">
      <alignment vertical="center"/>
    </xf>
    <xf numFmtId="0" fontId="28" fillId="14" borderId="29" xfId="2" quotePrefix="1" applyFont="1" applyFill="1" applyBorder="1" applyAlignment="1">
      <alignment horizontal="center" vertical="center"/>
    </xf>
    <xf numFmtId="0" fontId="23" fillId="14" borderId="0" xfId="0" applyFont="1" applyFill="1"/>
    <xf numFmtId="0" fontId="24" fillId="7" borderId="0" xfId="0" applyFont="1" applyFill="1"/>
    <xf numFmtId="0" fontId="25" fillId="7" borderId="0" xfId="0" applyFont="1" applyFill="1"/>
    <xf numFmtId="0" fontId="25" fillId="7" borderId="0" xfId="0" applyFont="1" applyFill="1" applyAlignment="1">
      <alignment horizont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2" fillId="2" borderId="1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 wrapText="1"/>
    </xf>
    <xf numFmtId="0" fontId="14" fillId="2" borderId="31" xfId="0" applyFont="1" applyFill="1" applyBorder="1" applyAlignment="1">
      <alignment horizontal="center" vertical="center" wrapText="1"/>
    </xf>
    <xf numFmtId="164" fontId="6" fillId="15" borderId="6" xfId="0" applyNumberFormat="1" applyFont="1" applyFill="1" applyBorder="1" applyAlignment="1">
      <alignment vertical="center"/>
    </xf>
    <xf numFmtId="0" fontId="29" fillId="15" borderId="0" xfId="0" applyFont="1" applyFill="1"/>
    <xf numFmtId="0" fontId="2" fillId="2" borderId="21" xfId="0" quotePrefix="1" applyFont="1" applyFill="1" applyBorder="1" applyAlignment="1">
      <alignment horizontal="left" vertical="center" wrapText="1"/>
    </xf>
    <xf numFmtId="0" fontId="2" fillId="2" borderId="23" xfId="0" applyFont="1" applyFill="1" applyBorder="1" applyAlignment="1">
      <alignment horizontal="left" vertical="center" wrapText="1"/>
    </xf>
    <xf numFmtId="0" fontId="2" fillId="2" borderId="24" xfId="0" applyFont="1" applyFill="1" applyBorder="1" applyAlignment="1">
      <alignment horizontal="left" vertical="center" wrapText="1"/>
    </xf>
    <xf numFmtId="0" fontId="2" fillId="2" borderId="22" xfId="0" applyFont="1" applyFill="1" applyBorder="1" applyAlignment="1">
      <alignment horizontal="left" vertical="center" wrapText="1"/>
    </xf>
    <xf numFmtId="0" fontId="2" fillId="2" borderId="32" xfId="0" applyFont="1" applyFill="1" applyBorder="1" applyAlignment="1">
      <alignment horizontal="left" vertical="center" wrapText="1"/>
    </xf>
    <xf numFmtId="0" fontId="2" fillId="2" borderId="25" xfId="0" applyFont="1" applyFill="1" applyBorder="1" applyAlignment="1">
      <alignment horizontal="left" vertical="center" wrapText="1"/>
    </xf>
    <xf numFmtId="164" fontId="3" fillId="2" borderId="0" xfId="0" applyNumberFormat="1" applyFont="1" applyFill="1" applyAlignment="1">
      <alignment vertical="center"/>
    </xf>
    <xf numFmtId="165" fontId="2" fillId="5" borderId="8" xfId="1" applyNumberFormat="1" applyFont="1" applyFill="1" applyBorder="1" applyAlignment="1">
      <alignment vertical="center"/>
    </xf>
    <xf numFmtId="165" fontId="2" fillId="5" borderId="33" xfId="1" applyNumberFormat="1" applyFont="1" applyFill="1" applyBorder="1" applyAlignment="1">
      <alignment vertical="center"/>
    </xf>
    <xf numFmtId="10" fontId="2" fillId="5" borderId="5" xfId="1" applyNumberFormat="1" applyFont="1" applyFill="1" applyBorder="1" applyAlignment="1">
      <alignment vertical="center"/>
    </xf>
    <xf numFmtId="10" fontId="2" fillId="2" borderId="35" xfId="1" applyNumberFormat="1" applyFont="1" applyFill="1" applyBorder="1" applyAlignment="1">
      <alignment vertical="center"/>
    </xf>
    <xf numFmtId="10" fontId="2" fillId="5" borderId="35" xfId="1" applyNumberFormat="1" applyFont="1" applyFill="1" applyBorder="1" applyAlignment="1">
      <alignment vertical="center"/>
    </xf>
    <xf numFmtId="0" fontId="0" fillId="0" borderId="36" xfId="0" applyBorder="1"/>
    <xf numFmtId="164" fontId="2" fillId="12" borderId="1" xfId="0" applyNumberFormat="1" applyFont="1" applyFill="1" applyBorder="1" applyAlignment="1" applyProtection="1">
      <alignment horizontal="center" vertical="center"/>
      <protection locked="0"/>
    </xf>
    <xf numFmtId="0" fontId="2" fillId="12" borderId="1" xfId="0" applyFont="1" applyFill="1" applyBorder="1" applyAlignment="1" applyProtection="1">
      <alignment horizontal="center" vertical="center"/>
      <protection locked="0"/>
    </xf>
    <xf numFmtId="164" fontId="2" fillId="12" borderId="28" xfId="0" applyNumberFormat="1" applyFont="1" applyFill="1" applyBorder="1" applyAlignment="1" applyProtection="1">
      <alignment horizontal="center" vertical="center"/>
      <protection locked="0"/>
    </xf>
    <xf numFmtId="0" fontId="2" fillId="12" borderId="1" xfId="0" applyFont="1" applyFill="1" applyBorder="1" applyAlignment="1" applyProtection="1">
      <alignment vertical="center"/>
      <protection locked="0"/>
    </xf>
    <xf numFmtId="164" fontId="2" fillId="13" borderId="1" xfId="0" applyNumberFormat="1" applyFont="1" applyFill="1" applyBorder="1" applyAlignment="1" applyProtection="1">
      <alignment vertical="center"/>
      <protection locked="0"/>
    </xf>
    <xf numFmtId="10" fontId="2" fillId="13" borderId="1" xfId="1" applyNumberFormat="1" applyFont="1" applyFill="1" applyBorder="1" applyAlignment="1" applyProtection="1">
      <alignment vertical="center"/>
      <protection locked="0"/>
    </xf>
    <xf numFmtId="164" fontId="2" fillId="12" borderId="1" xfId="0" applyNumberFormat="1" applyFont="1" applyFill="1" applyBorder="1" applyAlignment="1" applyProtection="1">
      <alignment horizontal="center" vertical="center" wrapText="1"/>
      <protection locked="0"/>
    </xf>
    <xf numFmtId="1" fontId="2" fillId="11" borderId="1" xfId="0" applyNumberFormat="1" applyFont="1" applyFill="1" applyBorder="1" applyAlignment="1" applyProtection="1">
      <alignment horizontal="center" vertical="center"/>
      <protection locked="0"/>
    </xf>
    <xf numFmtId="164" fontId="2" fillId="3" borderId="1" xfId="0" applyNumberFormat="1" applyFont="1" applyFill="1" applyBorder="1" applyAlignment="1" applyProtection="1">
      <alignment vertical="center"/>
      <protection locked="0"/>
    </xf>
    <xf numFmtId="0" fontId="20" fillId="2" borderId="0" xfId="2" applyFill="1" applyBorder="1" applyAlignment="1">
      <alignment horizontal="left"/>
    </xf>
    <xf numFmtId="164" fontId="31" fillId="6" borderId="12" xfId="0" applyNumberFormat="1" applyFont="1" applyFill="1" applyBorder="1" applyAlignment="1">
      <alignment vertical="center"/>
    </xf>
    <xf numFmtId="164" fontId="31" fillId="6" borderId="37" xfId="0" applyNumberFormat="1" applyFont="1" applyFill="1" applyBorder="1" applyAlignment="1">
      <alignment vertical="center"/>
    </xf>
    <xf numFmtId="164" fontId="6" fillId="2" borderId="41" xfId="0" applyNumberFormat="1" applyFont="1" applyFill="1" applyBorder="1" applyAlignment="1">
      <alignment vertical="center"/>
    </xf>
    <xf numFmtId="164" fontId="6" fillId="2" borderId="42" xfId="0" applyNumberFormat="1" applyFont="1" applyFill="1" applyBorder="1" applyAlignment="1">
      <alignment vertical="center"/>
    </xf>
    <xf numFmtId="164" fontId="2" fillId="2" borderId="42" xfId="0" applyNumberFormat="1" applyFont="1" applyFill="1" applyBorder="1" applyAlignment="1">
      <alignment vertical="center"/>
    </xf>
    <xf numFmtId="164" fontId="6" fillId="2" borderId="43" xfId="0" applyNumberFormat="1" applyFont="1" applyFill="1" applyBorder="1" applyAlignment="1">
      <alignment vertical="center"/>
    </xf>
    <xf numFmtId="164" fontId="2" fillId="2" borderId="41" xfId="0" applyNumberFormat="1" applyFont="1" applyFill="1" applyBorder="1" applyAlignment="1">
      <alignment vertical="center"/>
    </xf>
    <xf numFmtId="164" fontId="2" fillId="2" borderId="43" xfId="0" applyNumberFormat="1" applyFont="1" applyFill="1" applyBorder="1" applyAlignment="1">
      <alignment vertical="center"/>
    </xf>
    <xf numFmtId="0" fontId="28" fillId="2" borderId="29" xfId="2" applyFont="1" applyFill="1" applyBorder="1" applyAlignment="1">
      <alignment horizontal="left" vertical="center"/>
    </xf>
    <xf numFmtId="0" fontId="28" fillId="2" borderId="29" xfId="2" quotePrefix="1" applyFont="1" applyFill="1" applyBorder="1" applyAlignment="1">
      <alignment horizontal="left" vertical="center"/>
    </xf>
    <xf numFmtId="164" fontId="6" fillId="2" borderId="44" xfId="0" applyNumberFormat="1" applyFont="1" applyFill="1" applyBorder="1" applyAlignment="1">
      <alignment vertical="center"/>
    </xf>
    <xf numFmtId="164" fontId="6" fillId="2" borderId="45" xfId="0" applyNumberFormat="1" applyFont="1" applyFill="1" applyBorder="1" applyAlignment="1">
      <alignment vertical="center"/>
    </xf>
    <xf numFmtId="164" fontId="2" fillId="2" borderId="45" xfId="0" applyNumberFormat="1" applyFont="1" applyFill="1" applyBorder="1" applyAlignment="1">
      <alignment vertical="center"/>
    </xf>
    <xf numFmtId="164" fontId="6" fillId="2" borderId="46" xfId="0" applyNumberFormat="1" applyFont="1" applyFill="1" applyBorder="1" applyAlignment="1">
      <alignment vertical="center"/>
    </xf>
    <xf numFmtId="164" fontId="32" fillId="6" borderId="38" xfId="0" applyNumberFormat="1" applyFont="1" applyFill="1" applyBorder="1" applyAlignment="1">
      <alignment vertical="center"/>
    </xf>
    <xf numFmtId="0" fontId="14" fillId="2" borderId="0" xfId="0" applyFont="1" applyFill="1" applyAlignment="1">
      <alignment horizontal="center" vertical="center" wrapText="1"/>
    </xf>
    <xf numFmtId="164" fontId="32" fillId="6" borderId="6" xfId="0" applyNumberFormat="1" applyFont="1" applyFill="1" applyBorder="1" applyAlignment="1">
      <alignment vertical="center"/>
    </xf>
    <xf numFmtId="0" fontId="26" fillId="8" borderId="0" xfId="0" applyFont="1" applyFill="1"/>
    <xf numFmtId="164" fontId="33" fillId="2" borderId="5" xfId="0" applyNumberFormat="1" applyFont="1" applyFill="1" applyBorder="1" applyAlignment="1">
      <alignment vertical="center"/>
    </xf>
    <xf numFmtId="10" fontId="2" fillId="16" borderId="35" xfId="1" applyNumberFormat="1" applyFont="1" applyFill="1" applyBorder="1" applyAlignment="1">
      <alignment vertical="center"/>
    </xf>
    <xf numFmtId="10" fontId="2" fillId="2" borderId="48" xfId="1" applyNumberFormat="1" applyFont="1" applyFill="1" applyBorder="1" applyAlignment="1">
      <alignment vertical="center"/>
    </xf>
    <xf numFmtId="10" fontId="2" fillId="2" borderId="49" xfId="1" applyNumberFormat="1" applyFont="1" applyFill="1" applyBorder="1" applyAlignment="1">
      <alignment vertical="center"/>
    </xf>
    <xf numFmtId="10" fontId="2" fillId="2" borderId="50" xfId="1" applyNumberFormat="1" applyFont="1" applyFill="1" applyBorder="1" applyAlignment="1">
      <alignment vertical="center"/>
    </xf>
    <xf numFmtId="10" fontId="2" fillId="16" borderId="34" xfId="1" applyNumberFormat="1" applyFont="1" applyFill="1" applyBorder="1" applyAlignment="1">
      <alignment vertical="center"/>
    </xf>
    <xf numFmtId="10" fontId="2" fillId="5" borderId="51" xfId="1" applyNumberFormat="1" applyFont="1" applyFill="1" applyBorder="1" applyAlignment="1">
      <alignment vertical="center"/>
    </xf>
    <xf numFmtId="0" fontId="27" fillId="14" borderId="29" xfId="2" applyFont="1" applyFill="1" applyBorder="1" applyAlignment="1">
      <alignment horizontal="left" vertical="center" wrapText="1"/>
    </xf>
    <xf numFmtId="0" fontId="27" fillId="14" borderId="30" xfId="2" applyFont="1" applyFill="1" applyBorder="1" applyAlignment="1">
      <alignment horizontal="left" vertical="center" wrapText="1"/>
    </xf>
    <xf numFmtId="0" fontId="28" fillId="14" borderId="29" xfId="0" applyFont="1" applyFill="1" applyBorder="1" applyAlignment="1">
      <alignment horizontal="left" vertical="center" wrapText="1"/>
    </xf>
    <xf numFmtId="0" fontId="28" fillId="14" borderId="47" xfId="0" applyFont="1" applyFill="1" applyBorder="1" applyAlignment="1">
      <alignment horizontal="left" vertical="center" wrapText="1"/>
    </xf>
    <xf numFmtId="0" fontId="28" fillId="14" borderId="30" xfId="0" applyFont="1" applyFill="1" applyBorder="1" applyAlignment="1">
      <alignment horizontal="left" vertical="center" wrapText="1"/>
    </xf>
    <xf numFmtId="0" fontId="30" fillId="2" borderId="0" xfId="2" applyFont="1" applyFill="1" applyAlignment="1">
      <alignment horizontal="left" vertical="center"/>
    </xf>
    <xf numFmtId="0" fontId="28" fillId="2" borderId="30" xfId="0" applyFont="1" applyFill="1" applyBorder="1" applyAlignment="1">
      <alignment horizontal="left" vertical="center" wrapText="1"/>
    </xf>
    <xf numFmtId="164" fontId="20" fillId="2" borderId="0" xfId="2" applyNumberFormat="1" applyFill="1" applyAlignment="1">
      <alignment horizontal="center" vertical="center"/>
    </xf>
    <xf numFmtId="0" fontId="20" fillId="3" borderId="39" xfId="2" applyFill="1" applyBorder="1" applyAlignment="1">
      <alignment horizontal="left"/>
    </xf>
    <xf numFmtId="0" fontId="20" fillId="3" borderId="3" xfId="2" applyFill="1" applyBorder="1" applyAlignment="1">
      <alignment horizontal="left"/>
    </xf>
    <xf numFmtId="0" fontId="20" fillId="3" borderId="40" xfId="2" applyFill="1" applyBorder="1" applyAlignment="1">
      <alignment horizontal="left"/>
    </xf>
    <xf numFmtId="164" fontId="20" fillId="2" borderId="3" xfId="2" applyNumberFormat="1" applyFill="1" applyBorder="1" applyAlignment="1">
      <alignment horizontal="center" vertical="center"/>
    </xf>
    <xf numFmtId="164" fontId="2" fillId="2" borderId="9" xfId="0" applyNumberFormat="1" applyFont="1" applyFill="1" applyBorder="1" applyAlignment="1">
      <alignment horizontal="center" vertical="center"/>
    </xf>
    <xf numFmtId="164" fontId="2" fillId="2" borderId="10" xfId="0" applyNumberFormat="1" applyFont="1" applyFill="1" applyBorder="1" applyAlignment="1">
      <alignment horizontal="center" vertical="center"/>
    </xf>
    <xf numFmtId="164" fontId="2" fillId="2" borderId="11" xfId="0" applyNumberFormat="1" applyFont="1" applyFill="1" applyBorder="1" applyAlignment="1">
      <alignment horizontal="center" vertical="center"/>
    </xf>
    <xf numFmtId="164" fontId="4" fillId="9" borderId="19" xfId="0" applyNumberFormat="1" applyFont="1" applyFill="1" applyBorder="1" applyAlignment="1">
      <alignment horizontal="center" vertical="center" wrapText="1"/>
    </xf>
    <xf numFmtId="164" fontId="3" fillId="9" borderId="20" xfId="0" applyNumberFormat="1" applyFont="1" applyFill="1" applyBorder="1" applyAlignment="1">
      <alignment horizontal="center" vertical="center" wrapText="1"/>
    </xf>
    <xf numFmtId="164" fontId="3" fillId="7" borderId="18" xfId="0" applyNumberFormat="1" applyFont="1" applyFill="1" applyBorder="1" applyAlignment="1">
      <alignment horizontal="center" vertical="center" wrapText="1"/>
    </xf>
    <xf numFmtId="164" fontId="3" fillId="7" borderId="17" xfId="0" applyNumberFormat="1" applyFont="1" applyFill="1" applyBorder="1" applyAlignment="1">
      <alignment horizontal="center" vertical="center" wrapText="1"/>
    </xf>
    <xf numFmtId="164" fontId="3" fillId="7" borderId="14" xfId="0" applyNumberFormat="1" applyFont="1" applyFill="1" applyBorder="1" applyAlignment="1">
      <alignment horizontal="center" vertical="center" wrapText="1"/>
    </xf>
    <xf numFmtId="164" fontId="3" fillId="7" borderId="15" xfId="0" applyNumberFormat="1" applyFont="1" applyFill="1" applyBorder="1" applyAlignment="1">
      <alignment horizontal="center" vertical="center" wrapText="1"/>
    </xf>
    <xf numFmtId="164" fontId="3" fillId="7" borderId="13" xfId="0" applyNumberFormat="1" applyFont="1" applyFill="1" applyBorder="1" applyAlignment="1">
      <alignment horizontal="center" vertical="center" wrapText="1"/>
    </xf>
  </cellXfs>
  <cellStyles count="3">
    <cellStyle name="Hiperłącze" xfId="2" builtinId="8"/>
    <cellStyle name="Normalny" xfId="0" builtinId="0"/>
    <cellStyle name="Procentowy" xfId="1" builtinId="5"/>
  </cellStyles>
  <dxfs count="124">
    <dxf>
      <font>
        <b val="0"/>
        <i val="0"/>
        <color theme="1"/>
      </font>
      <fill>
        <patternFill>
          <bgColor rgb="FFFFD9D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D9D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D9D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D9D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D9D9"/>
        </patternFill>
      </fill>
    </dxf>
    <dxf>
      <font>
        <color theme="1"/>
      </font>
      <fill>
        <patternFill>
          <bgColor theme="9" tint="0.79998168889431442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vertical/>
        <horizontal/>
      </border>
    </dxf>
    <dxf>
      <border>
        <left style="thin">
          <color theme="5"/>
        </left>
        <right style="thin">
          <color theme="5"/>
        </right>
        <bottom style="thin">
          <color theme="5"/>
        </bottom>
      </border>
    </dxf>
    <dxf>
      <border>
        <left style="thin">
          <color theme="5"/>
        </left>
        <right style="thin">
          <color theme="5"/>
        </right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vertical/>
        <horizontal/>
      </border>
    </dxf>
    <dxf>
      <border>
        <left style="thin">
          <color theme="5"/>
        </left>
        <right style="thin">
          <color theme="5"/>
        </right>
        <bottom style="thin">
          <color theme="5"/>
        </bottom>
      </border>
    </dxf>
    <dxf>
      <border>
        <left style="thin">
          <color theme="5"/>
        </left>
        <right style="thin">
          <color theme="5"/>
        </right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vertical/>
        <horizontal/>
      </border>
    </dxf>
    <dxf>
      <border>
        <left style="thin">
          <color theme="5"/>
        </left>
        <right style="thin">
          <color theme="5"/>
        </right>
        <bottom style="thin">
          <color theme="5"/>
        </bottom>
      </border>
    </dxf>
    <dxf>
      <border>
        <left style="thin">
          <color theme="5"/>
        </left>
        <right style="thin">
          <color theme="5"/>
        </right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vertical/>
        <horizontal/>
      </border>
    </dxf>
    <dxf>
      <border>
        <left style="thin">
          <color theme="5"/>
        </left>
        <right style="thin">
          <color theme="5"/>
        </right>
        <bottom style="thin">
          <color theme="5"/>
        </bottom>
      </border>
    </dxf>
    <dxf>
      <border>
        <left style="thin">
          <color theme="5"/>
        </left>
        <right style="thin">
          <color theme="5"/>
        </right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vertical/>
        <horizontal/>
      </border>
    </dxf>
    <dxf>
      <border>
        <left style="thin">
          <color theme="5"/>
        </left>
        <right style="thin">
          <color theme="5"/>
        </right>
        <bottom style="thin">
          <color theme="5"/>
        </bottom>
      </border>
    </dxf>
    <dxf>
      <border>
        <left style="thin">
          <color theme="5"/>
        </left>
        <right style="thin">
          <color theme="5"/>
        </right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vertical/>
        <horizontal/>
      </border>
    </dxf>
    <dxf>
      <font>
        <b val="0"/>
        <i val="0"/>
        <color theme="1"/>
      </font>
      <fill>
        <patternFill>
          <bgColor rgb="FFFFD9D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D9D9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D9D9"/>
        </patternFill>
      </fill>
    </dxf>
    <dxf>
      <font>
        <color theme="1"/>
      </font>
      <fill>
        <patternFill>
          <bgColor theme="9" tint="0.79998168889431442"/>
        </patternFill>
      </fill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  <color rgb="FF00B050"/>
      </font>
      <fill>
        <patternFill patternType="solid">
          <bgColor rgb="FFFDF3E7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rgb="FFC00000"/>
      </font>
      <fill>
        <patternFill>
          <bgColor rgb="FFFDF3E7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rgb="FF00B050"/>
      </font>
      <fill>
        <patternFill patternType="solid">
          <bgColor rgb="FFFDF3E7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rgb="FFC00000"/>
      </font>
      <fill>
        <patternFill>
          <bgColor rgb="FFFDF3E7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rgb="FF00B050"/>
      </font>
      <fill>
        <patternFill patternType="solid">
          <bgColor rgb="FFFDF3E7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rgb="FFC00000"/>
      </font>
      <fill>
        <patternFill>
          <bgColor rgb="FFFDF3E7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thin">
          <color theme="5"/>
        </left>
        <right style="thin">
          <color theme="5"/>
        </right>
        <bottom style="thin">
          <color theme="5"/>
        </bottom>
      </border>
    </dxf>
    <dxf>
      <border>
        <left style="thin">
          <color theme="5"/>
        </left>
        <right style="thin">
          <color theme="5"/>
        </right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</dxf>
    <dxf>
      <font>
        <b val="0"/>
        <i val="0"/>
        <color theme="1"/>
      </font>
      <fill>
        <patternFill>
          <bgColor rgb="FFFFD9D9"/>
        </patternFill>
      </fill>
    </dxf>
    <dxf>
      <font>
        <color theme="1"/>
      </font>
      <fill>
        <patternFill>
          <bgColor theme="9" tint="0.79998168889431442"/>
        </patternFill>
      </fill>
    </dxf>
    <dxf>
      <fill>
        <patternFill patternType="gray1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1"/>
      </font>
      <fill>
        <patternFill>
          <bgColor rgb="FFFFD9D9"/>
        </patternFill>
      </fill>
    </dxf>
    <dxf>
      <font>
        <color theme="1"/>
      </font>
      <fill>
        <patternFill>
          <bgColor theme="9" tint="0.79998168889431442"/>
        </patternFill>
      </fill>
    </dxf>
    <dxf>
      <fill>
        <patternFill patternType="gray125">
          <bgColor theme="0"/>
        </patternFill>
      </fill>
    </dxf>
    <dxf>
      <font>
        <b val="0"/>
        <i val="0"/>
        <color theme="1"/>
      </font>
      <fill>
        <patternFill>
          <bgColor rgb="FFFFD9D9"/>
        </patternFill>
      </fill>
    </dxf>
    <dxf>
      <font>
        <color theme="1"/>
      </font>
      <fill>
        <patternFill>
          <bgColor theme="9" tint="0.79998168889431442"/>
        </patternFill>
      </fill>
    </dxf>
    <dxf>
      <fill>
        <patternFill patternType="gray1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gray125">
          <bgColor theme="0"/>
        </patternFill>
      </fill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auto="1"/>
      </font>
      <fill>
        <patternFill patternType="gray125">
          <bgColor theme="0"/>
        </patternFill>
      </fill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gray125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colors>
    <mruColors>
      <color rgb="FF475493"/>
      <color rgb="FFFDF3E7"/>
      <color rgb="FF1B3273"/>
      <color rgb="FFF6AB58"/>
      <color rgb="FFF8BB78"/>
      <color rgb="FFF38E24"/>
      <color rgb="FFE7E8F5"/>
      <color rgb="FFDFE0F1"/>
      <color rgb="FFD9DBEF"/>
      <color rgb="FF5C6B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Opłata za dostępność brutto - Wariant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Wyniki!$C$69</c:f>
              <c:strCache>
                <c:ptCount val="1"/>
                <c:pt idx="0">
                  <c:v>Opłata z tyt. usługi budowlanej brutto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Wyniki!$Q$69:$BA$69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79-4EA8-8948-6CA752554AA9}"/>
            </c:ext>
          </c:extLst>
        </c:ser>
        <c:ser>
          <c:idx val="1"/>
          <c:order val="1"/>
          <c:tx>
            <c:strRef>
              <c:f>Wyniki!$C$76</c:f>
              <c:strCache>
                <c:ptCount val="1"/>
                <c:pt idx="0">
                  <c:v>Opłata z tyt. usługi utrzymania brutto - w części dot. kosztów odtworzeniowych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Wyniki!$Q$76:$BA$76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79-4EA8-8948-6CA752554AA9}"/>
            </c:ext>
          </c:extLst>
        </c:ser>
        <c:ser>
          <c:idx val="2"/>
          <c:order val="2"/>
          <c:tx>
            <c:strRef>
              <c:f>Wyniki!$C$81</c:f>
              <c:strCache>
                <c:ptCount val="1"/>
                <c:pt idx="0">
                  <c:v>Opłata z tyt. usługi utrzymania brutto - w części dot. kosztów operacyjnych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Wyniki!$Q$81:$BA$81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79-4EA8-8948-6CA752554AA9}"/>
            </c:ext>
          </c:extLst>
        </c:ser>
        <c:ser>
          <c:idx val="3"/>
          <c:order val="3"/>
          <c:tx>
            <c:strRef>
              <c:f>Wyniki!$C$84</c:f>
              <c:strCache>
                <c:ptCount val="1"/>
                <c:pt idx="0">
                  <c:v>Opłata z tyt. usługi finansowej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Wyniki!$Q$84:$BA$84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79-4EA8-8948-6CA752554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76287"/>
        <c:axId val="492420879"/>
      </c:barChart>
      <c:catAx>
        <c:axId val="2487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2420879"/>
        <c:crosses val="autoZero"/>
        <c:auto val="1"/>
        <c:lblAlgn val="ctr"/>
        <c:lblOffset val="100"/>
        <c:noMultiLvlLbl val="0"/>
      </c:catAx>
      <c:valAx>
        <c:axId val="49242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8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Opłata za dostępność brutto - Wariant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Wyniki!$C$103</c:f>
              <c:strCache>
                <c:ptCount val="1"/>
                <c:pt idx="0">
                  <c:v>Opłata z tyt. usługi budowlanej brutto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Wyniki!$Q$103:$BA$103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A-4A8F-9DCC-1DB84BCC9ADA}"/>
            </c:ext>
          </c:extLst>
        </c:ser>
        <c:ser>
          <c:idx val="1"/>
          <c:order val="1"/>
          <c:tx>
            <c:strRef>
              <c:f>Wyniki!$C$110</c:f>
              <c:strCache>
                <c:ptCount val="1"/>
                <c:pt idx="0">
                  <c:v>Opłata z tyt. usługi utrzymania brutto - w części dot. kosztów odtworzeniowych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Wyniki!$Q$110:$BA$110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2A-4A8F-9DCC-1DB84BCC9ADA}"/>
            </c:ext>
          </c:extLst>
        </c:ser>
        <c:ser>
          <c:idx val="2"/>
          <c:order val="2"/>
          <c:tx>
            <c:strRef>
              <c:f>Wyniki!$C$115</c:f>
              <c:strCache>
                <c:ptCount val="1"/>
                <c:pt idx="0">
                  <c:v>Opłata z tyt. usługi utrzymania brutto - w części dot. kosztów operacyjnych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Wyniki!$Q$115:$BA$115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2A-4A8F-9DCC-1DB84BCC9ADA}"/>
            </c:ext>
          </c:extLst>
        </c:ser>
        <c:ser>
          <c:idx val="3"/>
          <c:order val="3"/>
          <c:tx>
            <c:strRef>
              <c:f>Wyniki!$C$118</c:f>
              <c:strCache>
                <c:ptCount val="1"/>
                <c:pt idx="0">
                  <c:v>Opłata z tyt. usługi finansowej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Wyniki!$Q$118:$BA$118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2A-4A8F-9DCC-1DB84BCC9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76287"/>
        <c:axId val="492420879"/>
      </c:barChart>
      <c:catAx>
        <c:axId val="2487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2420879"/>
        <c:crosses val="autoZero"/>
        <c:auto val="1"/>
        <c:lblAlgn val="ctr"/>
        <c:lblOffset val="100"/>
        <c:noMultiLvlLbl val="0"/>
      </c:catAx>
      <c:valAx>
        <c:axId val="49242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8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Opłata za dostępność brutto - Wariant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Wyniki!$C$137</c:f>
              <c:strCache>
                <c:ptCount val="1"/>
                <c:pt idx="0">
                  <c:v>Opłata z tyt. usługi budowlanej brutto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Wyniki!$Q$137:$BA$137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18-47DD-BF7C-FBC7539A12D5}"/>
            </c:ext>
          </c:extLst>
        </c:ser>
        <c:ser>
          <c:idx val="1"/>
          <c:order val="1"/>
          <c:tx>
            <c:strRef>
              <c:f>Wyniki!$C$144</c:f>
              <c:strCache>
                <c:ptCount val="1"/>
                <c:pt idx="0">
                  <c:v>Opłata z tyt. usługi utrzymania brutto - w części dot. kosztów odtworzeniowych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Wyniki!$Q$144:$BA$144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18-47DD-BF7C-FBC7539A12D5}"/>
            </c:ext>
          </c:extLst>
        </c:ser>
        <c:ser>
          <c:idx val="2"/>
          <c:order val="2"/>
          <c:tx>
            <c:strRef>
              <c:f>Wyniki!$C$149</c:f>
              <c:strCache>
                <c:ptCount val="1"/>
                <c:pt idx="0">
                  <c:v>Opłata z tyt. usługi utrzymania brutto - w części dot. kosztów operacyjnych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Wyniki!$Q$149:$BA$149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18-47DD-BF7C-FBC7539A12D5}"/>
            </c:ext>
          </c:extLst>
        </c:ser>
        <c:ser>
          <c:idx val="3"/>
          <c:order val="3"/>
          <c:tx>
            <c:strRef>
              <c:f>Wyniki!$C$152</c:f>
              <c:strCache>
                <c:ptCount val="1"/>
                <c:pt idx="0">
                  <c:v>Opłata z tyt. usługi finansowej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Wyniki!$Q$152:$BA$152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18-47DD-BF7C-FBC7539A1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76287"/>
        <c:axId val="492420879"/>
      </c:barChart>
      <c:catAx>
        <c:axId val="24876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2420879"/>
        <c:crosses val="autoZero"/>
        <c:auto val="1"/>
        <c:lblAlgn val="ctr"/>
        <c:lblOffset val="100"/>
        <c:noMultiLvlLbl val="0"/>
      </c:catAx>
      <c:valAx>
        <c:axId val="49242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8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Opłata za dostępność brutto - porównanie wariantów realizacji projektu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Wyniki!$B$4</c:f>
              <c:strCache>
                <c:ptCount val="1"/>
                <c:pt idx="0">
                  <c:v> Wariant 1 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Wyniki!$Q$66:$BA$66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5-4C0F-9BC8-170C69B9BFF1}"/>
            </c:ext>
          </c:extLst>
        </c:ser>
        <c:ser>
          <c:idx val="1"/>
          <c:order val="1"/>
          <c:tx>
            <c:strRef>
              <c:f>Wyniki!$B$19</c:f>
              <c:strCache>
                <c:ptCount val="1"/>
                <c:pt idx="0">
                  <c:v> Wariant 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Wyniki!$Q$100:$BA$100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B5-4C0F-9BC8-170C69B9BFF1}"/>
            </c:ext>
          </c:extLst>
        </c:ser>
        <c:ser>
          <c:idx val="2"/>
          <c:order val="2"/>
          <c:tx>
            <c:strRef>
              <c:f>Wyniki!$B$34</c:f>
              <c:strCache>
                <c:ptCount val="1"/>
                <c:pt idx="0">
                  <c:v> Wariant 3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Wyniki!$Q$1:$BA$1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Wyniki!$Q$134:$BA$134</c:f>
              <c:numCache>
                <c:formatCode>_(* #\ ##0_);_(* \(#\ ##0\);_(* "-"??_);_(@_)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B5-4C0F-9BC8-170C69B9B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8809615"/>
        <c:axId val="302746735"/>
      </c:barChart>
      <c:catAx>
        <c:axId val="1698809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02746735"/>
        <c:crosses val="autoZero"/>
        <c:auto val="1"/>
        <c:lblAlgn val="ctr"/>
        <c:lblOffset val="100"/>
        <c:noMultiLvlLbl val="0"/>
      </c:catAx>
      <c:valAx>
        <c:axId val="30274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98809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123826</xdr:rowOff>
    </xdr:from>
    <xdr:to>
      <xdr:col>9</xdr:col>
      <xdr:colOff>116418</xdr:colOff>
      <xdr:row>7</xdr:row>
      <xdr:rowOff>81644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23028B4-41CD-0867-8F29-B05BE096CA6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07" t="26437" r="5000" b="24425"/>
        <a:stretch/>
      </xdr:blipFill>
      <xdr:spPr bwMode="auto">
        <a:xfrm>
          <a:off x="1" y="123826"/>
          <a:ext cx="8218714" cy="12913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990600</xdr:colOff>
      <xdr:row>40</xdr:row>
      <xdr:rowOff>66553</xdr:rowOff>
    </xdr:from>
    <xdr:to>
      <xdr:col>8</xdr:col>
      <xdr:colOff>0</xdr:colOff>
      <xdr:row>43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605DF43-3AFD-C57B-C4BD-E7A733485C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7762753"/>
          <a:ext cx="5772150" cy="6668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120185</xdr:colOff>
      <xdr:row>2</xdr:row>
      <xdr:rowOff>48714</xdr:rowOff>
    </xdr:from>
    <xdr:to>
      <xdr:col>1</xdr:col>
      <xdr:colOff>6713724</xdr:colOff>
      <xdr:row>12</xdr:row>
      <xdr:rowOff>154780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4C2F285-1B42-48D9-8AD9-E98ED636192E}"/>
            </a:ext>
          </a:extLst>
        </xdr:cNvPr>
        <xdr:cNvSpPr txBox="1"/>
      </xdr:nvSpPr>
      <xdr:spPr>
        <a:xfrm>
          <a:off x="120185" y="334464"/>
          <a:ext cx="6819758" cy="205869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spcAft>
              <a:spcPts val="600"/>
            </a:spcAft>
          </a:pPr>
          <a:r>
            <a:rPr lang="pl-PL" sz="1200" b="0" u="sng" baseline="0">
              <a:solidFill>
                <a:srgbClr val="1B3273"/>
              </a:solidFill>
            </a:rPr>
            <a:t>Krok 1 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aseline="0">
              <a:solidFill>
                <a:srgbClr val="1B3273"/>
              </a:solidFill>
            </a:rPr>
            <a:t>Poprzez wybór "tak" lub "nie" z listy rozwijanej, użytkownik określa, dla którego wariantu Kalkulator ma przygotować prognozę. Prognoza zostanie przygotowania w przypadku wybrania odpowiedzi "tak". W przypadku odpowiedzi "nie", komórki do uzupełnienia przez użytkownika zostaną oznaczone szarą kolorystyką, a wyniki nie będą się wyświetlać.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aseline="0">
              <a:solidFill>
                <a:srgbClr val="1B3273"/>
              </a:solidFill>
            </a:rPr>
            <a:t>Użytkownik określa, jaką jednostkę pieniężną przyjmuje się w prognozie. Będzie ona wspólna dla wszystkich wariantów.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aseline="0">
              <a:solidFill>
                <a:srgbClr val="1B3273"/>
              </a:solidFill>
            </a:rPr>
            <a:t>Użytkownik określa, na który rok ma zostać przygotowana prognoza (najczęściej będzie to rok bieżący). Będzie on dotyczył wszystkich wariantów.</a:t>
          </a:r>
        </a:p>
      </xdr:txBody>
    </xdr:sp>
    <xdr:clientData/>
  </xdr:twoCellAnchor>
  <xdr:twoCellAnchor>
    <xdr:from>
      <xdr:col>10</xdr:col>
      <xdr:colOff>10581</xdr:colOff>
      <xdr:row>183</xdr:row>
      <xdr:rowOff>74087</xdr:rowOff>
    </xdr:from>
    <xdr:to>
      <xdr:col>10</xdr:col>
      <xdr:colOff>1746250</xdr:colOff>
      <xdr:row>186</xdr:row>
      <xdr:rowOff>42337</xdr:rowOff>
    </xdr:to>
    <xdr:sp macro="[0]!IRR_w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490F7CB-5E01-4A28-B0BC-8EB4ACF45747}"/>
            </a:ext>
          </a:extLst>
        </xdr:cNvPr>
        <xdr:cNvSpPr/>
      </xdr:nvSpPr>
      <xdr:spPr>
        <a:xfrm>
          <a:off x="13694831" y="34163004"/>
          <a:ext cx="1735669" cy="539750"/>
        </a:xfrm>
        <a:prstGeom prst="roundRect">
          <a:avLst/>
        </a:prstGeom>
        <a:solidFill>
          <a:srgbClr val="F38E2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tx1"/>
              </a:solidFill>
            </a:rPr>
            <a:t>Przelicz</a:t>
          </a:r>
          <a:r>
            <a:rPr lang="pl-PL" sz="1100" b="1" baseline="0">
              <a:solidFill>
                <a:schemeClr val="tx1"/>
              </a:solidFill>
            </a:rPr>
            <a:t> opłatę za dostępność</a:t>
          </a:r>
          <a:endParaRPr lang="pl-PL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31750</xdr:colOff>
      <xdr:row>183</xdr:row>
      <xdr:rowOff>74086</xdr:rowOff>
    </xdr:from>
    <xdr:to>
      <xdr:col>13</xdr:col>
      <xdr:colOff>10585</xdr:colOff>
      <xdr:row>186</xdr:row>
      <xdr:rowOff>42336</xdr:rowOff>
    </xdr:to>
    <xdr:sp macro="[0]!IRR_w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43499F-489F-42A8-A24A-68011ABE8523}"/>
            </a:ext>
          </a:extLst>
        </xdr:cNvPr>
        <xdr:cNvSpPr/>
      </xdr:nvSpPr>
      <xdr:spPr>
        <a:xfrm>
          <a:off x="15621000" y="34163003"/>
          <a:ext cx="1735668" cy="539750"/>
        </a:xfrm>
        <a:prstGeom prst="roundRect">
          <a:avLst/>
        </a:prstGeom>
        <a:solidFill>
          <a:srgbClr val="F38E2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tx1"/>
              </a:solidFill>
            </a:rPr>
            <a:t>Przelicz</a:t>
          </a:r>
          <a:r>
            <a:rPr lang="pl-PL" sz="1100" b="1" baseline="0">
              <a:solidFill>
                <a:schemeClr val="tx1"/>
              </a:solidFill>
            </a:rPr>
            <a:t> opłatę za dostępność</a:t>
          </a:r>
          <a:endParaRPr lang="pl-PL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35983</xdr:colOff>
      <xdr:row>183</xdr:row>
      <xdr:rowOff>78320</xdr:rowOff>
    </xdr:from>
    <xdr:to>
      <xdr:col>15</xdr:col>
      <xdr:colOff>14819</xdr:colOff>
      <xdr:row>186</xdr:row>
      <xdr:rowOff>46570</xdr:rowOff>
    </xdr:to>
    <xdr:sp macro="[0]!IRR_w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C3D8D38-3DC0-4760-AE4A-6E384A356DF8}"/>
            </a:ext>
          </a:extLst>
        </xdr:cNvPr>
        <xdr:cNvSpPr/>
      </xdr:nvSpPr>
      <xdr:spPr>
        <a:xfrm>
          <a:off x="17509066" y="34167237"/>
          <a:ext cx="1735670" cy="539750"/>
        </a:xfrm>
        <a:prstGeom prst="roundRect">
          <a:avLst/>
        </a:prstGeom>
        <a:solidFill>
          <a:srgbClr val="F38E2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</a:rPr>
            <a:t>Przelicz</a:t>
          </a:r>
          <a:r>
            <a:rPr lang="pl-PL" sz="1100" b="1" baseline="0">
              <a:solidFill>
                <a:sysClr val="windowText" lastClr="000000"/>
              </a:solidFill>
            </a:rPr>
            <a:t> opłatę za dostępność</a:t>
          </a:r>
          <a:endParaRPr lang="pl-PL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6713724</xdr:colOff>
      <xdr:row>2</xdr:row>
      <xdr:rowOff>85991</xdr:rowOff>
    </xdr:from>
    <xdr:to>
      <xdr:col>2</xdr:col>
      <xdr:colOff>538427</xdr:colOff>
      <xdr:row>7</xdr:row>
      <xdr:rowOff>101747</xdr:rowOff>
    </xdr:to>
    <xdr:cxnSp macro="">
      <xdr:nvCxnSpPr>
        <xdr:cNvPr id="7" name="Connector: Elbow 6">
          <a:extLst>
            <a:ext uri="{FF2B5EF4-FFF2-40B4-BE49-F238E27FC236}">
              <a16:creationId xmlns:a16="http://schemas.microsoft.com/office/drawing/2014/main" id="{E888DF52-4475-BF70-5343-461A357396B0}"/>
            </a:ext>
          </a:extLst>
        </xdr:cNvPr>
        <xdr:cNvCxnSpPr>
          <a:stCxn id="5" idx="3"/>
          <a:endCxn id="12" idx="2"/>
        </xdr:cNvCxnSpPr>
      </xdr:nvCxnSpPr>
      <xdr:spPr>
        <a:xfrm flipV="1">
          <a:off x="6939943" y="371741"/>
          <a:ext cx="575547" cy="992069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538427</xdr:colOff>
      <xdr:row>2</xdr:row>
      <xdr:rowOff>48949</xdr:rowOff>
    </xdr:from>
    <xdr:to>
      <xdr:col>3</xdr:col>
      <xdr:colOff>64823</xdr:colOff>
      <xdr:row>2</xdr:row>
      <xdr:rowOff>123032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64CE1CCE-0200-85BE-7656-C4D19A792A23}"/>
            </a:ext>
          </a:extLst>
        </xdr:cNvPr>
        <xdr:cNvSpPr/>
      </xdr:nvSpPr>
      <xdr:spPr>
        <a:xfrm>
          <a:off x="7515490" y="334699"/>
          <a:ext cx="74083" cy="7408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112058</xdr:colOff>
      <xdr:row>14</xdr:row>
      <xdr:rowOff>23736</xdr:rowOff>
    </xdr:from>
    <xdr:to>
      <xdr:col>1</xdr:col>
      <xdr:colOff>6722532</xdr:colOff>
      <xdr:row>29</xdr:row>
      <xdr:rowOff>76200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29A06008-A04D-481D-B61E-522DC33F106B}"/>
            </a:ext>
          </a:extLst>
        </xdr:cNvPr>
        <xdr:cNvSpPr txBox="1"/>
      </xdr:nvSpPr>
      <xdr:spPr>
        <a:xfrm>
          <a:off x="112058" y="2633586"/>
          <a:ext cx="6839074" cy="2909964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spcAft>
              <a:spcPts val="600"/>
            </a:spcAft>
          </a:pPr>
          <a:r>
            <a:rPr lang="pl-PL" sz="1200" u="sng" baseline="0">
              <a:solidFill>
                <a:srgbClr val="1B3273"/>
              </a:solidFill>
            </a:rPr>
            <a:t>Krok 2</a:t>
          </a:r>
        </a:p>
        <a:p>
          <a:pPr algn="l">
            <a:spcAft>
              <a:spcPts val="600"/>
            </a:spcAft>
          </a:pPr>
          <a:r>
            <a:rPr lang="pl-PL" sz="1200" b="0" u="none" baseline="0">
              <a:solidFill>
                <a:srgbClr val="1B3273"/>
              </a:solidFill>
            </a:rPr>
            <a:t>W tym kroku użytkownik określa harmonogram projektu w podziale na poszczególne okresy trwania projektu. 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Okres projektowania: należy wskazać rok rozpoczęcia oraz rok zakończenia prac projektowych.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Okres budowy: należy wskazać </a:t>
          </a:r>
          <a:r>
            <a:rPr lang="pl-PL" sz="1200" b="1" u="none" baseline="0">
              <a:solidFill>
                <a:srgbClr val="1B3273"/>
              </a:solidFill>
            </a:rPr>
            <a:t>rok</a:t>
          </a:r>
          <a:r>
            <a:rPr lang="pl-PL" sz="1200" b="0" u="none" baseline="0">
              <a:solidFill>
                <a:srgbClr val="1B3273"/>
              </a:solidFill>
            </a:rPr>
            <a:t> </a:t>
          </a:r>
          <a:r>
            <a:rPr lang="pl-PL" sz="1200" b="1" u="none" baseline="0">
              <a:solidFill>
                <a:srgbClr val="1B3273"/>
              </a:solidFill>
            </a:rPr>
            <a:t>zakończenia</a:t>
          </a:r>
          <a:r>
            <a:rPr lang="pl-PL" sz="1200" b="0" u="none" baseline="0">
              <a:solidFill>
                <a:srgbClr val="1B3273"/>
              </a:solidFill>
            </a:rPr>
            <a:t> prac budowlanych. Początek okresu budowy przelicza się automatycznie jako rok następujący po roku zakończenia okresu projektowania.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Okres eksploatacji: należy wskazać </a:t>
          </a:r>
          <a:r>
            <a:rPr lang="pl-PL" sz="1200" b="1" u="none" baseline="0">
              <a:solidFill>
                <a:srgbClr val="1B3273"/>
              </a:solidFill>
            </a:rPr>
            <a:t>rok zakończenia </a:t>
          </a:r>
          <a:r>
            <a:rPr lang="pl-PL" sz="1200" b="0" u="none" baseline="0">
              <a:solidFill>
                <a:srgbClr val="1B3273"/>
              </a:solidFill>
            </a:rPr>
            <a:t>okresu eksploatacji, będacy ostatnim rokiem trwania umowy PPP. Początek okresu eksploatacji przelicza się automatycznie jako rok następujący po roku zakończenia okresu budowy. </a:t>
          </a:r>
        </a:p>
        <a:p>
          <a:pPr marL="0" indent="0">
            <a:spcAft>
              <a:spcPts val="600"/>
            </a:spcAft>
            <a:buFontTx/>
            <a:buNone/>
          </a:pPr>
          <a:r>
            <a:rPr lang="pl-PL" sz="1200" b="0" u="none" baseline="0">
              <a:solidFill>
                <a:srgbClr val="1B3273"/>
              </a:solidFill>
            </a:rPr>
            <a:t>W przypadku projektów realizowanych w formule EPC – Energy Performance Contract, zgodnie z </a:t>
          </a:r>
          <a:r>
            <a:rPr lang="pl-PL" sz="1200" b="1" u="none" baseline="0">
              <a:solidFill>
                <a:srgbClr val="1B3273"/>
              </a:solidFill>
            </a:rPr>
            <a:t>Wytycznymi Ministerstwa Klimatu i Środowiska</a:t>
          </a:r>
          <a:r>
            <a:rPr lang="pl-PL" sz="1200" b="0" u="none" baseline="0">
              <a:solidFill>
                <a:srgbClr val="1B3273"/>
              </a:solidFill>
            </a:rPr>
            <a:t>, okres trwania umowy (projektowanie, budowa, eksploatacja) to zazwyczaj między 8 a 15 lat. Odnośnik do tych wytycznych znajduje się w zakładce "Wstęp", w sekcji "Materiały pomocnicze".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endParaRPr lang="pl-PL" sz="1200" b="0" u="none" baseline="0">
            <a:solidFill>
              <a:srgbClr val="1B3273"/>
            </a:solidFill>
          </a:endParaRPr>
        </a:p>
      </xdr:txBody>
    </xdr:sp>
    <xdr:clientData/>
  </xdr:twoCellAnchor>
  <xdr:twoCellAnchor>
    <xdr:from>
      <xdr:col>1</xdr:col>
      <xdr:colOff>6722532</xdr:colOff>
      <xdr:row>9</xdr:row>
      <xdr:rowOff>91547</xdr:rowOff>
    </xdr:from>
    <xdr:to>
      <xdr:col>2</xdr:col>
      <xdr:colOff>536411</xdr:colOff>
      <xdr:row>21</xdr:row>
      <xdr:rowOff>145218</xdr:rowOff>
    </xdr:to>
    <xdr:cxnSp macro="">
      <xdr:nvCxnSpPr>
        <xdr:cNvPr id="20" name="Connector: Elbow 19">
          <a:extLst>
            <a:ext uri="{FF2B5EF4-FFF2-40B4-BE49-F238E27FC236}">
              <a16:creationId xmlns:a16="http://schemas.microsoft.com/office/drawing/2014/main" id="{F50504C0-1A8A-4F56-B071-3AAB442152BF}"/>
            </a:ext>
          </a:extLst>
        </xdr:cNvPr>
        <xdr:cNvCxnSpPr>
          <a:cxnSpLocks/>
          <a:stCxn id="19" idx="3"/>
          <a:endCxn id="21" idx="2"/>
        </xdr:cNvCxnSpPr>
      </xdr:nvCxnSpPr>
      <xdr:spPr>
        <a:xfrm flipV="1">
          <a:off x="6951132" y="1729847"/>
          <a:ext cx="567104" cy="235872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536411</xdr:colOff>
      <xdr:row>9</xdr:row>
      <xdr:rowOff>54505</xdr:rowOff>
    </xdr:from>
    <xdr:to>
      <xdr:col>3</xdr:col>
      <xdr:colOff>65270</xdr:colOff>
      <xdr:row>9</xdr:row>
      <xdr:rowOff>128588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E77F4471-713B-4A39-930D-348685B51030}"/>
            </a:ext>
          </a:extLst>
        </xdr:cNvPr>
        <xdr:cNvSpPr/>
      </xdr:nvSpPr>
      <xdr:spPr>
        <a:xfrm>
          <a:off x="7519221" y="1683608"/>
          <a:ext cx="74083" cy="7408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84107</xdr:colOff>
      <xdr:row>30</xdr:row>
      <xdr:rowOff>117194</xdr:rowOff>
    </xdr:from>
    <xdr:to>
      <xdr:col>1</xdr:col>
      <xdr:colOff>6716805</xdr:colOff>
      <xdr:row>47</xdr:row>
      <xdr:rowOff>24589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068FE16-2FC1-41CA-8F81-91A33AB0943C}"/>
            </a:ext>
          </a:extLst>
        </xdr:cNvPr>
        <xdr:cNvSpPr txBox="1"/>
      </xdr:nvSpPr>
      <xdr:spPr>
        <a:xfrm>
          <a:off x="84107" y="5775044"/>
          <a:ext cx="6861298" cy="3183995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spcAft>
              <a:spcPts val="600"/>
            </a:spcAft>
          </a:pPr>
          <a:r>
            <a:rPr lang="pl-PL" sz="1200" u="sng" baseline="0">
              <a:solidFill>
                <a:srgbClr val="1B3273"/>
              </a:solidFill>
            </a:rPr>
            <a:t>Krok 3</a:t>
          </a:r>
        </a:p>
        <a:p>
          <a:pPr algn="l">
            <a:spcAft>
              <a:spcPts val="600"/>
            </a:spcAft>
          </a:pPr>
          <a:r>
            <a:rPr lang="pl-PL" sz="1200" b="0" u="none" baseline="0">
              <a:solidFill>
                <a:srgbClr val="1B3273"/>
              </a:solidFill>
            </a:rPr>
            <a:t>W tym kroku użytkownik określa wartość kosztów inwestycyjnych związanych z realizacją projektu. Koszty te poniesie Partner Prywatny w okresie projektowania i okresie budowy, a Podmiot Publiczny zwróci je w okresie eksploatacji w formie płatności z tyt. opłaty za dostępność (opłata z tyt. usługi budowlanej).</a:t>
          </a:r>
        </a:p>
        <a:p>
          <a:pPr algn="l">
            <a:spcAft>
              <a:spcPts val="600"/>
            </a:spcAft>
          </a:pPr>
          <a:r>
            <a:rPr lang="pl-PL" sz="1200" b="0" u="none" baseline="0">
              <a:solidFill>
                <a:srgbClr val="1B3273"/>
              </a:solidFill>
            </a:rPr>
            <a:t>Wartości te należy wskazać w kwotach netto i w cenach realnych, czyli cenach obowiązujących w roku bieżącym.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Należy określić wartóść kosztów projektowania infrastuktury / kubatury, która ma zostać wytworzona w ramach projektu.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Należy określić wartość kosztów budowy infrastuktury / kubatury, która ma zostać wytworzona w ramach projektu.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Należy określić wartość pozostałych koszt inwestycyjnych, związanych z projektem.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Poprzez wybór "tak" lub "nie" z listy rozwijanej, należy określić czy wartości wskazane w podpunktach A - C mają zostać zwaloryzowane o wskaźnik inflacji.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endParaRPr lang="pl-PL" sz="1200" b="0" u="none" baseline="0">
            <a:solidFill>
              <a:srgbClr val="1B3273"/>
            </a:solidFill>
          </a:endParaRPr>
        </a:p>
      </xdr:txBody>
    </xdr:sp>
    <xdr:clientData/>
  </xdr:twoCellAnchor>
  <xdr:twoCellAnchor>
    <xdr:from>
      <xdr:col>0</xdr:col>
      <xdr:colOff>96980</xdr:colOff>
      <xdr:row>48</xdr:row>
      <xdr:rowOff>104569</xdr:rowOff>
    </xdr:from>
    <xdr:to>
      <xdr:col>1</xdr:col>
      <xdr:colOff>6703219</xdr:colOff>
      <xdr:row>61</xdr:row>
      <xdr:rowOff>159057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C126937-6680-49C4-BC63-B0C1567D1D2E}"/>
            </a:ext>
          </a:extLst>
        </xdr:cNvPr>
        <xdr:cNvSpPr txBox="1"/>
      </xdr:nvSpPr>
      <xdr:spPr>
        <a:xfrm>
          <a:off x="96980" y="9229519"/>
          <a:ext cx="6834839" cy="25309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spcAft>
              <a:spcPts val="600"/>
            </a:spcAft>
          </a:pPr>
          <a:r>
            <a:rPr lang="pl-PL" sz="1200" u="sng" baseline="0">
              <a:solidFill>
                <a:srgbClr val="1B3273"/>
              </a:solidFill>
            </a:rPr>
            <a:t>Krok 4</a:t>
          </a:r>
        </a:p>
        <a:p>
          <a:pPr algn="l">
            <a:spcAft>
              <a:spcPts val="600"/>
            </a:spcAft>
          </a:pPr>
          <a:r>
            <a:rPr lang="pl-PL" sz="1200" b="0" u="none" baseline="0">
              <a:solidFill>
                <a:srgbClr val="1B3273"/>
              </a:solidFill>
            </a:rPr>
            <a:t>W tym kroku użytkownik określa wartość kosztów operacyjnych i odtworzeniowych związanych z realizacją projektu. Koszty te poniesie Partner Prywatny w okresie eksploatacji, a Podmiot Publiczny zwróci je w tym samym okresie w formie płatności z tyt. opłaty za dostępność (opłata z tyt. usługi utrzymania).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Należy określić poziom rocznych kosztów operacyjnych, które będzie ponosić spółka Partnera Prywatnego w okresie eksploatacji. Wskazana wartość powinna być kwotą netto, obowiązującą w roku bieżącym. W każdym roku prognozy kwota ta będzie waloryzowana o wskaźnik inflacji.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Należy określić poziom kosztów odtworzeniowych, które będzie ponosić spółka Partnera Prywatnego. Koszty te należy określić osobno dla każdego roku okresu eksploatacji - w tym celu należy uzupełnić wyłącznie pola oznaczone kolorem fioletowym. Pola oznaczone kolorem szarym wykraczają poza okres eksploatacji - w nich należy przyjąć wartość 0.</a:t>
          </a:r>
        </a:p>
      </xdr:txBody>
    </xdr:sp>
    <xdr:clientData/>
  </xdr:twoCellAnchor>
  <xdr:twoCellAnchor>
    <xdr:from>
      <xdr:col>0</xdr:col>
      <xdr:colOff>174750</xdr:colOff>
      <xdr:row>75</xdr:row>
      <xdr:rowOff>41524</xdr:rowOff>
    </xdr:from>
    <xdr:to>
      <xdr:col>2</xdr:col>
      <xdr:colOff>12465</xdr:colOff>
      <xdr:row>84</xdr:row>
      <xdr:rowOff>154781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C77769CF-B292-4A07-9691-A0C774537EA7}"/>
            </a:ext>
          </a:extLst>
        </xdr:cNvPr>
        <xdr:cNvSpPr txBox="1"/>
      </xdr:nvSpPr>
      <xdr:spPr>
        <a:xfrm>
          <a:off x="174750" y="14329024"/>
          <a:ext cx="6814778" cy="1899195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spcAft>
              <a:spcPts val="600"/>
            </a:spcAft>
          </a:pPr>
          <a:r>
            <a:rPr lang="pl-PL" sz="1200" u="sng" baseline="0">
              <a:solidFill>
                <a:srgbClr val="1B3273"/>
              </a:solidFill>
            </a:rPr>
            <a:t>Krok 5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Należy określić pozostałe przychody lub oszczędności </a:t>
          </a:r>
          <a:r>
            <a:rPr lang="pl-PL" sz="1200" b="1" u="sng" baseline="0">
              <a:solidFill>
                <a:srgbClr val="1B3273"/>
              </a:solidFill>
            </a:rPr>
            <a:t>brutto</a:t>
          </a:r>
          <a:r>
            <a:rPr lang="pl-PL" sz="1200" b="0" u="none" baseline="0">
              <a:solidFill>
                <a:srgbClr val="1B3273"/>
              </a:solidFill>
            </a:rPr>
            <a:t>, które Podmiot Publiczny spodziewa się wygenerować w związku z projektem.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Należy określić pozostałe koszty </a:t>
          </a:r>
          <a:r>
            <a:rPr lang="pl-PL" sz="1200" b="1" u="sng" baseline="0">
              <a:solidFill>
                <a:srgbClr val="1B3273"/>
              </a:solidFill>
            </a:rPr>
            <a:t>brutto</a:t>
          </a:r>
          <a:r>
            <a:rPr lang="pl-PL" sz="1200" b="0" u="none" baseline="0">
              <a:solidFill>
                <a:srgbClr val="1B3273"/>
              </a:solidFill>
            </a:rPr>
            <a:t>, które Podmiot Publiczny spodziewa się wygenerować w związku z projektem.</a:t>
          </a:r>
        </a:p>
        <a:p>
          <a:pPr marL="0" indent="0">
            <a:spcAft>
              <a:spcPts val="600"/>
            </a:spcAft>
            <a:buFontTx/>
            <a:buNone/>
          </a:pPr>
          <a:r>
            <a:rPr lang="pl-PL" sz="1200" b="0" u="none" baseline="0">
              <a:solidFill>
                <a:srgbClr val="1B3273"/>
              </a:solidFill>
            </a:rPr>
            <a:t>Założono możliwość wykazywania zarówno pozostałych przychodów, jak i kosztów w okresie do 2060 r. Pomarańczowy kolor obramowania komórek wskazuje granice okresu eksploatacji zdefiniowanego w sekcji Harmonogram (</a:t>
          </a:r>
          <a:r>
            <a:rPr lang="pl-PL" sz="1200" b="0" u="sng" baseline="0">
              <a:solidFill>
                <a:srgbClr val="1B3273"/>
              </a:solidFill>
            </a:rPr>
            <a:t>Krok 2</a:t>
          </a:r>
          <a:r>
            <a:rPr lang="pl-PL" sz="1200" b="0" u="none" baseline="0">
              <a:solidFill>
                <a:srgbClr val="1B3273"/>
              </a:solidFill>
            </a:rPr>
            <a:t>).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endParaRPr lang="pl-PL" sz="1200" b="0" u="none" baseline="0">
            <a:solidFill>
              <a:srgbClr val="1B3273"/>
            </a:solidFill>
          </a:endParaRPr>
        </a:p>
      </xdr:txBody>
    </xdr:sp>
    <xdr:clientData/>
  </xdr:twoCellAnchor>
  <xdr:twoCellAnchor>
    <xdr:from>
      <xdr:col>1</xdr:col>
      <xdr:colOff>10582</xdr:colOff>
      <xdr:row>157</xdr:row>
      <xdr:rowOff>181429</xdr:rowOff>
    </xdr:from>
    <xdr:to>
      <xdr:col>2</xdr:col>
      <xdr:colOff>80819</xdr:colOff>
      <xdr:row>163</xdr:row>
      <xdr:rowOff>22412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990B9F01-E477-4FF5-BA6D-F9B2B73189F1}"/>
            </a:ext>
          </a:extLst>
        </xdr:cNvPr>
        <xdr:cNvSpPr txBox="1"/>
      </xdr:nvSpPr>
      <xdr:spPr>
        <a:xfrm>
          <a:off x="234700" y="29406370"/>
          <a:ext cx="6827384" cy="983983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spcAft>
              <a:spcPts val="600"/>
            </a:spcAft>
          </a:pPr>
          <a:r>
            <a:rPr lang="pl-PL" sz="1200" u="sng" baseline="0">
              <a:solidFill>
                <a:srgbClr val="1B3273"/>
              </a:solidFill>
            </a:rPr>
            <a:t>Krok 6</a:t>
          </a:r>
        </a:p>
        <a:p>
          <a:pPr algn="l">
            <a:spcAft>
              <a:spcPts val="600"/>
            </a:spcAft>
          </a:pPr>
          <a:r>
            <a:rPr lang="pl-PL" sz="1200" b="0" u="none" baseline="0">
              <a:solidFill>
                <a:srgbClr val="1B3273"/>
              </a:solidFill>
            </a:rPr>
            <a:t>Należy określić wartość dotacji (w zależności od źródła), którą Podmiot Publiczny spodziwa się otrzymać na realizację projektu. Kwota dotacji zostanie uwzględniona w pierwszej płatności opłaty za dostępność i  przeznaczona na spłatę finansowania zwrotnego.</a:t>
          </a:r>
        </a:p>
      </xdr:txBody>
    </xdr:sp>
    <xdr:clientData/>
  </xdr:twoCellAnchor>
  <xdr:twoCellAnchor>
    <xdr:from>
      <xdr:col>1</xdr:col>
      <xdr:colOff>14816</xdr:colOff>
      <xdr:row>164</xdr:row>
      <xdr:rowOff>44699</xdr:rowOff>
    </xdr:from>
    <xdr:to>
      <xdr:col>2</xdr:col>
      <xdr:colOff>85053</xdr:colOff>
      <xdr:row>177</xdr:row>
      <xdr:rowOff>67236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27FF8474-7ABF-4C3F-B071-02F92E15C92D}"/>
            </a:ext>
          </a:extLst>
        </xdr:cNvPr>
        <xdr:cNvSpPr txBox="1"/>
      </xdr:nvSpPr>
      <xdr:spPr>
        <a:xfrm>
          <a:off x="238934" y="30603140"/>
          <a:ext cx="6827384" cy="259989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spcAft>
              <a:spcPts val="600"/>
            </a:spcAft>
          </a:pPr>
          <a:r>
            <a:rPr lang="pl-PL" sz="1200" u="sng" baseline="0">
              <a:solidFill>
                <a:srgbClr val="1B3273"/>
              </a:solidFill>
            </a:rPr>
            <a:t>Krok 7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Poprzez wybór "tak" lub "nie" z listy rozwijanej, należy określić czy Podmiot Publiczny realizujący projekt jest podatnikiem VAT.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Należy określić poziom (0% - 100%) prewspółczynnika VAT Podmiotu Publicznego, zastosowany dla projektu.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W celu oszacowania efektywnej stawki VAT, która zostanie zastosowana w odniesieniu do usługi budowlanej, należy określić udział % kosztów oprocentowanych stawką VAT = 8%. Efektywna stawka VAT zostanie obliczona automatycznie.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Należy określić źródło finansowania płatności z tyt. VAT od usługi budowlanej, tj. wskazać czy będzie sfinansowana przez Podmiot Publiczny, czy dodatkowe finansowanie zwrotne (kredyt, pożyczka), które zaciągnie Partner Prywatny.</a:t>
          </a:r>
        </a:p>
      </xdr:txBody>
    </xdr:sp>
    <xdr:clientData/>
  </xdr:twoCellAnchor>
  <xdr:twoCellAnchor>
    <xdr:from>
      <xdr:col>1</xdr:col>
      <xdr:colOff>15404</xdr:colOff>
      <xdr:row>178</xdr:row>
      <xdr:rowOff>61740</xdr:rowOff>
    </xdr:from>
    <xdr:to>
      <xdr:col>2</xdr:col>
      <xdr:colOff>84129</xdr:colOff>
      <xdr:row>184</xdr:row>
      <xdr:rowOff>145143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E41533C7-E071-419D-A0AC-C86D29ABA876}"/>
            </a:ext>
          </a:extLst>
        </xdr:cNvPr>
        <xdr:cNvSpPr txBox="1"/>
      </xdr:nvSpPr>
      <xdr:spPr>
        <a:xfrm>
          <a:off x="239522" y="33388034"/>
          <a:ext cx="6825872" cy="140569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spcAft>
              <a:spcPts val="600"/>
            </a:spcAft>
          </a:pPr>
          <a:r>
            <a:rPr lang="pl-PL" sz="1200" u="sng" baseline="0">
              <a:solidFill>
                <a:srgbClr val="1B3273"/>
              </a:solidFill>
            </a:rPr>
            <a:t>Krok 8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Należy sprawdzić komunikat o poprawności obliczenia opłaty za dostępność. Jeżeli kalkulacje są prawidłowe, wyświetli się komunikat "Obliczenia poprawne". W innym przypadku komunikat wskaże "Należy dokonać ponownego przeliczenia".</a:t>
          </a:r>
        </a:p>
        <a:p>
          <a:pPr marL="228600" indent="-228600">
            <a:spcAft>
              <a:spcPts val="600"/>
            </a:spcAft>
            <a:buFont typeface="+mj-lt"/>
            <a:buAutoNum type="alphaUcPeriod"/>
          </a:pPr>
          <a:r>
            <a:rPr lang="pl-PL" sz="1200" b="0" u="none" baseline="0">
              <a:solidFill>
                <a:srgbClr val="1B3273"/>
              </a:solidFill>
            </a:rPr>
            <a:t>W przypadku konieczności dokonania ponownego przeliczenia, należy wcisnąć pomarańczowy guzik "Przelicz opłatę za dostępność".</a:t>
          </a:r>
        </a:p>
      </xdr:txBody>
    </xdr:sp>
    <xdr:clientData/>
  </xdr:twoCellAnchor>
  <xdr:twoCellAnchor>
    <xdr:from>
      <xdr:col>2</xdr:col>
      <xdr:colOff>84129</xdr:colOff>
      <xdr:row>180</xdr:row>
      <xdr:rowOff>89958</xdr:rowOff>
    </xdr:from>
    <xdr:to>
      <xdr:col>3</xdr:col>
      <xdr:colOff>10582</xdr:colOff>
      <xdr:row>181</xdr:row>
      <xdr:rowOff>159471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E26E862D-FE9B-4092-AAA5-1943E177CF0C}"/>
            </a:ext>
          </a:extLst>
        </xdr:cNvPr>
        <xdr:cNvCxnSpPr>
          <a:stCxn id="26" idx="3"/>
          <a:endCxn id="28" idx="2"/>
        </xdr:cNvCxnSpPr>
      </xdr:nvCxnSpPr>
      <xdr:spPr>
        <a:xfrm flipV="1">
          <a:off x="7065394" y="33819664"/>
          <a:ext cx="464335" cy="271219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10582</xdr:colOff>
      <xdr:row>180</xdr:row>
      <xdr:rowOff>52916</xdr:rowOff>
    </xdr:from>
    <xdr:to>
      <xdr:col>3</xdr:col>
      <xdr:colOff>84665</xdr:colOff>
      <xdr:row>180</xdr:row>
      <xdr:rowOff>126999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390B5AFF-379A-418F-BF68-2D34FAD58369}"/>
            </a:ext>
          </a:extLst>
        </xdr:cNvPr>
        <xdr:cNvSpPr/>
      </xdr:nvSpPr>
      <xdr:spPr>
        <a:xfrm>
          <a:off x="7059082" y="33125833"/>
          <a:ext cx="74083" cy="7408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6716805</xdr:colOff>
      <xdr:row>30</xdr:row>
      <xdr:rowOff>91875</xdr:rowOff>
    </xdr:from>
    <xdr:to>
      <xdr:col>3</xdr:col>
      <xdr:colOff>23046</xdr:colOff>
      <xdr:row>38</xdr:row>
      <xdr:rowOff>166142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4A07D7BD-2839-4B31-8A09-40961C7E7C98}"/>
            </a:ext>
          </a:extLst>
        </xdr:cNvPr>
        <xdr:cNvCxnSpPr>
          <a:cxnSpLocks/>
          <a:stCxn id="13" idx="3"/>
          <a:endCxn id="56" idx="2"/>
        </xdr:cNvCxnSpPr>
      </xdr:nvCxnSpPr>
      <xdr:spPr>
        <a:xfrm flipV="1">
          <a:off x="6945405" y="5749725"/>
          <a:ext cx="602391" cy="1617317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23046</xdr:colOff>
      <xdr:row>30</xdr:row>
      <xdr:rowOff>54833</xdr:rowOff>
    </xdr:from>
    <xdr:to>
      <xdr:col>3</xdr:col>
      <xdr:colOff>94830</xdr:colOff>
      <xdr:row>30</xdr:row>
      <xdr:rowOff>128916</xdr:rowOff>
    </xdr:to>
    <xdr:sp macro="" textlink="">
      <xdr:nvSpPr>
        <xdr:cNvPr id="56" name="Oval 55">
          <a:extLst>
            <a:ext uri="{FF2B5EF4-FFF2-40B4-BE49-F238E27FC236}">
              <a16:creationId xmlns:a16="http://schemas.microsoft.com/office/drawing/2014/main" id="{0BA0D54A-C7D4-4739-82FA-E9C28D32C145}"/>
            </a:ext>
          </a:extLst>
        </xdr:cNvPr>
        <xdr:cNvSpPr/>
      </xdr:nvSpPr>
      <xdr:spPr>
        <a:xfrm>
          <a:off x="7547796" y="4188683"/>
          <a:ext cx="71784" cy="7408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6703219</xdr:colOff>
      <xdr:row>39</xdr:row>
      <xdr:rowOff>104277</xdr:rowOff>
    </xdr:from>
    <xdr:to>
      <xdr:col>2</xdr:col>
      <xdr:colOff>539395</xdr:colOff>
      <xdr:row>55</xdr:row>
      <xdr:rowOff>36563</xdr:rowOff>
    </xdr:to>
    <xdr:cxnSp macro="">
      <xdr:nvCxnSpPr>
        <xdr:cNvPr id="62" name="Connector: Elbow 61">
          <a:extLst>
            <a:ext uri="{FF2B5EF4-FFF2-40B4-BE49-F238E27FC236}">
              <a16:creationId xmlns:a16="http://schemas.microsoft.com/office/drawing/2014/main" id="{2D20E816-72A8-4AA7-8E3C-5EC3B2478D4F}"/>
            </a:ext>
          </a:extLst>
        </xdr:cNvPr>
        <xdr:cNvCxnSpPr>
          <a:cxnSpLocks/>
          <a:stCxn id="14" idx="3"/>
          <a:endCxn id="63" idx="2"/>
        </xdr:cNvCxnSpPr>
      </xdr:nvCxnSpPr>
      <xdr:spPr>
        <a:xfrm flipV="1">
          <a:off x="6931819" y="7495677"/>
          <a:ext cx="589401" cy="2999336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539395</xdr:colOff>
      <xdr:row>39</xdr:row>
      <xdr:rowOff>67235</xdr:rowOff>
    </xdr:from>
    <xdr:to>
      <xdr:col>3</xdr:col>
      <xdr:colOff>73297</xdr:colOff>
      <xdr:row>39</xdr:row>
      <xdr:rowOff>141318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D26BAC54-0BAE-496A-BF38-3D20D6757860}"/>
            </a:ext>
          </a:extLst>
        </xdr:cNvPr>
        <xdr:cNvSpPr/>
      </xdr:nvSpPr>
      <xdr:spPr>
        <a:xfrm>
          <a:off x="7521634" y="5923039"/>
          <a:ext cx="80554" cy="7408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</xdr:col>
      <xdr:colOff>12465</xdr:colOff>
      <xdr:row>80</xdr:row>
      <xdr:rowOff>38622</xdr:rowOff>
    </xdr:from>
    <xdr:to>
      <xdr:col>3</xdr:col>
      <xdr:colOff>532</xdr:colOff>
      <xdr:row>82</xdr:row>
      <xdr:rowOff>94192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80E0FBC7-5EB4-44D5-B8F7-9EBA461AE88C}"/>
            </a:ext>
          </a:extLst>
        </xdr:cNvPr>
        <xdr:cNvCxnSpPr>
          <a:cxnSpLocks/>
          <a:stCxn id="17" idx="3"/>
          <a:endCxn id="67" idx="2"/>
        </xdr:cNvCxnSpPr>
      </xdr:nvCxnSpPr>
      <xdr:spPr>
        <a:xfrm>
          <a:off x="6989528" y="15278622"/>
          <a:ext cx="535754" cy="436570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532</xdr:colOff>
      <xdr:row>82</xdr:row>
      <xdr:rowOff>57150</xdr:rowOff>
    </xdr:from>
    <xdr:to>
      <xdr:col>3</xdr:col>
      <xdr:colOff>77359</xdr:colOff>
      <xdr:row>82</xdr:row>
      <xdr:rowOff>131233</xdr:rowOff>
    </xdr:to>
    <xdr:sp macro="" textlink="">
      <xdr:nvSpPr>
        <xdr:cNvPr id="67" name="Oval 66">
          <a:extLst>
            <a:ext uri="{FF2B5EF4-FFF2-40B4-BE49-F238E27FC236}">
              <a16:creationId xmlns:a16="http://schemas.microsoft.com/office/drawing/2014/main" id="{A0808EFC-94B3-4D2E-AAED-5CC01CAF4EC2}"/>
            </a:ext>
          </a:extLst>
        </xdr:cNvPr>
        <xdr:cNvSpPr/>
      </xdr:nvSpPr>
      <xdr:spPr>
        <a:xfrm>
          <a:off x="7519679" y="14154150"/>
          <a:ext cx="76827" cy="7408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</xdr:col>
      <xdr:colOff>80819</xdr:colOff>
      <xdr:row>160</xdr:row>
      <xdr:rowOff>101921</xdr:rowOff>
    </xdr:from>
    <xdr:to>
      <xdr:col>3</xdr:col>
      <xdr:colOff>4075</xdr:colOff>
      <xdr:row>163</xdr:row>
      <xdr:rowOff>99754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85DF237D-03D2-4B51-9B53-1D3AB9E155EE}"/>
            </a:ext>
          </a:extLst>
        </xdr:cNvPr>
        <xdr:cNvCxnSpPr>
          <a:cxnSpLocks/>
          <a:stCxn id="18" idx="3"/>
          <a:endCxn id="71" idx="2"/>
        </xdr:cNvCxnSpPr>
      </xdr:nvCxnSpPr>
      <xdr:spPr>
        <a:xfrm>
          <a:off x="7062084" y="29898362"/>
          <a:ext cx="461138" cy="569333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4075</xdr:colOff>
      <xdr:row>163</xdr:row>
      <xdr:rowOff>62712</xdr:rowOff>
    </xdr:from>
    <xdr:to>
      <xdr:col>3</xdr:col>
      <xdr:colOff>80902</xdr:colOff>
      <xdr:row>163</xdr:row>
      <xdr:rowOff>136795</xdr:rowOff>
    </xdr:to>
    <xdr:sp macro="" textlink="">
      <xdr:nvSpPr>
        <xdr:cNvPr id="71" name="Oval 70">
          <a:extLst>
            <a:ext uri="{FF2B5EF4-FFF2-40B4-BE49-F238E27FC236}">
              <a16:creationId xmlns:a16="http://schemas.microsoft.com/office/drawing/2014/main" id="{CB9FDE7C-BD4C-4C95-B56E-DD00D573893E}"/>
            </a:ext>
          </a:extLst>
        </xdr:cNvPr>
        <xdr:cNvSpPr/>
      </xdr:nvSpPr>
      <xdr:spPr>
        <a:xfrm>
          <a:off x="7532966" y="29557082"/>
          <a:ext cx="76827" cy="7408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</xdr:col>
      <xdr:colOff>85053</xdr:colOff>
      <xdr:row>169</xdr:row>
      <xdr:rowOff>94784</xdr:rowOff>
    </xdr:from>
    <xdr:to>
      <xdr:col>3</xdr:col>
      <xdr:colOff>7388</xdr:colOff>
      <xdr:row>170</xdr:row>
      <xdr:rowOff>190438</xdr:rowOff>
    </xdr:to>
    <xdr:cxnSp macro="">
      <xdr:nvCxnSpPr>
        <xdr:cNvPr id="73" name="Connector: Elbow 72">
          <a:extLst>
            <a:ext uri="{FF2B5EF4-FFF2-40B4-BE49-F238E27FC236}">
              <a16:creationId xmlns:a16="http://schemas.microsoft.com/office/drawing/2014/main" id="{F6D9523C-8BC0-492B-90CF-80C298411024}"/>
            </a:ext>
          </a:extLst>
        </xdr:cNvPr>
        <xdr:cNvCxnSpPr>
          <a:cxnSpLocks/>
          <a:stCxn id="22" idx="3"/>
          <a:endCxn id="74" idx="2"/>
        </xdr:cNvCxnSpPr>
      </xdr:nvCxnSpPr>
      <xdr:spPr>
        <a:xfrm flipV="1">
          <a:off x="7066318" y="31605725"/>
          <a:ext cx="460217" cy="297360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7388</xdr:colOff>
      <xdr:row>169</xdr:row>
      <xdr:rowOff>57742</xdr:rowOff>
    </xdr:from>
    <xdr:to>
      <xdr:col>3</xdr:col>
      <xdr:colOff>84215</xdr:colOff>
      <xdr:row>169</xdr:row>
      <xdr:rowOff>131825</xdr:rowOff>
    </xdr:to>
    <xdr:sp macro="" textlink="">
      <xdr:nvSpPr>
        <xdr:cNvPr id="74" name="Oval 73">
          <a:extLst>
            <a:ext uri="{FF2B5EF4-FFF2-40B4-BE49-F238E27FC236}">
              <a16:creationId xmlns:a16="http://schemas.microsoft.com/office/drawing/2014/main" id="{83A759F9-F586-4516-97FD-137FA5FC9274}"/>
            </a:ext>
          </a:extLst>
        </xdr:cNvPr>
        <xdr:cNvSpPr/>
      </xdr:nvSpPr>
      <xdr:spPr>
        <a:xfrm>
          <a:off x="7516263" y="32363367"/>
          <a:ext cx="76827" cy="7408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267600</xdr:colOff>
      <xdr:row>10</xdr:row>
      <xdr:rowOff>144938</xdr:rowOff>
    </xdr:from>
    <xdr:to>
      <xdr:col>8</xdr:col>
      <xdr:colOff>341118</xdr:colOff>
      <xdr:row>11</xdr:row>
      <xdr:rowOff>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2B99C541-AD6E-40B7-B34E-F74E9124A9FC}"/>
            </a:ext>
          </a:extLst>
        </xdr:cNvPr>
        <xdr:cNvSpPr/>
      </xdr:nvSpPr>
      <xdr:spPr>
        <a:xfrm>
          <a:off x="4417779" y="1315152"/>
          <a:ext cx="73518" cy="7408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8</xdr:col>
      <xdr:colOff>267600</xdr:colOff>
      <xdr:row>25</xdr:row>
      <xdr:rowOff>144938</xdr:rowOff>
    </xdr:from>
    <xdr:to>
      <xdr:col>8</xdr:col>
      <xdr:colOff>341118</xdr:colOff>
      <xdr:row>26</xdr:row>
      <xdr:rowOff>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16C4D59A-527B-4A89-B59A-66FF7A789BF0}"/>
            </a:ext>
          </a:extLst>
        </xdr:cNvPr>
        <xdr:cNvSpPr/>
      </xdr:nvSpPr>
      <xdr:spPr>
        <a:xfrm>
          <a:off x="4481012" y="2274056"/>
          <a:ext cx="73518" cy="45562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8</xdr:col>
      <xdr:colOff>267600</xdr:colOff>
      <xdr:row>40</xdr:row>
      <xdr:rowOff>144938</xdr:rowOff>
    </xdr:from>
    <xdr:to>
      <xdr:col>8</xdr:col>
      <xdr:colOff>341118</xdr:colOff>
      <xdr:row>41</xdr:row>
      <xdr:rowOff>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A1DAB726-FC82-4B9F-A8C1-BF1903EF5CB4}"/>
            </a:ext>
          </a:extLst>
        </xdr:cNvPr>
        <xdr:cNvSpPr/>
      </xdr:nvSpPr>
      <xdr:spPr>
        <a:xfrm>
          <a:off x="4481012" y="4784173"/>
          <a:ext cx="73518" cy="56768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11</xdr:col>
      <xdr:colOff>257735</xdr:colOff>
      <xdr:row>3</xdr:row>
      <xdr:rowOff>4940</xdr:rowOff>
    </xdr:from>
    <xdr:to>
      <xdr:col>27</xdr:col>
      <xdr:colOff>130676</xdr:colOff>
      <xdr:row>17</xdr:row>
      <xdr:rowOff>1940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F922261-9393-239A-2166-D946453AAF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257735</xdr:colOff>
      <xdr:row>18</xdr:row>
      <xdr:rowOff>5535</xdr:rowOff>
    </xdr:from>
    <xdr:to>
      <xdr:col>27</xdr:col>
      <xdr:colOff>130676</xdr:colOff>
      <xdr:row>32</xdr:row>
      <xdr:rowOff>2535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930229A-9D42-497D-B974-7F8553CA46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257735</xdr:colOff>
      <xdr:row>33</xdr:row>
      <xdr:rowOff>6130</xdr:rowOff>
    </xdr:from>
    <xdr:to>
      <xdr:col>27</xdr:col>
      <xdr:colOff>130676</xdr:colOff>
      <xdr:row>47</xdr:row>
      <xdr:rowOff>3130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89FC133-3571-467F-A3E4-001E2768F2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257735</xdr:colOff>
      <xdr:row>48</xdr:row>
      <xdr:rowOff>6725</xdr:rowOff>
    </xdr:from>
    <xdr:to>
      <xdr:col>27</xdr:col>
      <xdr:colOff>130676</xdr:colOff>
      <xdr:row>61</xdr:row>
      <xdr:rowOff>37342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524EE49-B39A-D78D-517B-DA5877D9F6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998341</xdr:colOff>
      <xdr:row>2</xdr:row>
      <xdr:rowOff>117661</xdr:rowOff>
    </xdr:from>
    <xdr:to>
      <xdr:col>29</xdr:col>
      <xdr:colOff>44232</xdr:colOff>
      <xdr:row>5</xdr:row>
      <xdr:rowOff>22411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795E381-80EB-4912-BB05-C3DD2FE3ACED}"/>
            </a:ext>
          </a:extLst>
        </xdr:cNvPr>
        <xdr:cNvSpPr txBox="1"/>
      </xdr:nvSpPr>
      <xdr:spPr>
        <a:xfrm>
          <a:off x="6351391" y="517711"/>
          <a:ext cx="15428891" cy="4762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>
            <a:spcAft>
              <a:spcPts val="600"/>
            </a:spcAft>
          </a:pPr>
          <a:r>
            <a:rPr lang="pl-PL" sz="1200" baseline="0">
              <a:solidFill>
                <a:srgbClr val="1B3273"/>
              </a:solidFill>
            </a:rPr>
            <a:t>Wariant bazowy to wariant wyświetlany w podsumowaniu poniżej - automatycznie ustawiony jest wariant 1, ale można to zmienić, wybierając z listy rozwijanej numer od 1 do 3, odpowiadający interesującemu nas wariantowi.</a:t>
          </a:r>
        </a:p>
      </xdr:txBody>
    </xdr:sp>
    <xdr:clientData/>
  </xdr:twoCellAnchor>
  <xdr:twoCellAnchor>
    <xdr:from>
      <xdr:col>8</xdr:col>
      <xdr:colOff>304360</xdr:colOff>
      <xdr:row>3</xdr:row>
      <xdr:rowOff>165286</xdr:rowOff>
    </xdr:from>
    <xdr:to>
      <xdr:col>10</xdr:col>
      <xdr:colOff>998342</xdr:colOff>
      <xdr:row>6</xdr:row>
      <xdr:rowOff>144938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CDECB97D-8888-40CD-8063-025E89FBA0F2}"/>
            </a:ext>
          </a:extLst>
        </xdr:cNvPr>
        <xdr:cNvCxnSpPr>
          <a:cxnSpLocks/>
          <a:stCxn id="3" idx="1"/>
          <a:endCxn id="5" idx="0"/>
        </xdr:cNvCxnSpPr>
      </xdr:nvCxnSpPr>
      <xdr:spPr>
        <a:xfrm rot="10800000" flipV="1">
          <a:off x="4438210" y="755836"/>
          <a:ext cx="1913182" cy="55115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267600</xdr:colOff>
      <xdr:row>6</xdr:row>
      <xdr:rowOff>144938</xdr:rowOff>
    </xdr:from>
    <xdr:to>
      <xdr:col>8</xdr:col>
      <xdr:colOff>341118</xdr:colOff>
      <xdr:row>7</xdr:row>
      <xdr:rowOff>28521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D4F26CFB-A3F5-47BA-A5F3-F74F18AB48C4}"/>
            </a:ext>
          </a:extLst>
        </xdr:cNvPr>
        <xdr:cNvSpPr/>
      </xdr:nvSpPr>
      <xdr:spPr>
        <a:xfrm>
          <a:off x="4401450" y="1306988"/>
          <a:ext cx="73518" cy="7408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8</xdr:col>
      <xdr:colOff>270773</xdr:colOff>
      <xdr:row>8</xdr:row>
      <xdr:rowOff>147593</xdr:rowOff>
    </xdr:from>
    <xdr:to>
      <xdr:col>8</xdr:col>
      <xdr:colOff>338495</xdr:colOff>
      <xdr:row>9</xdr:row>
      <xdr:rowOff>31176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3D149164-3269-4DDD-BA58-21BDEE0F5C73}"/>
            </a:ext>
          </a:extLst>
        </xdr:cNvPr>
        <xdr:cNvSpPr/>
      </xdr:nvSpPr>
      <xdr:spPr>
        <a:xfrm>
          <a:off x="4409221" y="1684731"/>
          <a:ext cx="67722" cy="74083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10</xdr:col>
      <xdr:colOff>981862</xdr:colOff>
      <xdr:row>7</xdr:row>
      <xdr:rowOff>0</xdr:rowOff>
    </xdr:from>
    <xdr:to>
      <xdr:col>29</xdr:col>
      <xdr:colOff>25348</xdr:colOff>
      <xdr:row>13</xdr:row>
      <xdr:rowOff>54429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9D1DE1E0-5315-40E5-ACEB-0DE4E6190FCB}"/>
            </a:ext>
          </a:extLst>
        </xdr:cNvPr>
        <xdr:cNvSpPr txBox="1"/>
      </xdr:nvSpPr>
      <xdr:spPr>
        <a:xfrm>
          <a:off x="6356683" y="1360714"/>
          <a:ext cx="15412879" cy="119742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Aft>
              <a:spcPts val="600"/>
            </a:spcAft>
          </a:pPr>
          <a:r>
            <a:rPr lang="pl-PL" sz="1200" baseline="0">
              <a:solidFill>
                <a:srgbClr val="1B3273"/>
              </a:solidFill>
            </a:rPr>
            <a:t>W tym miejscu użytkownik ma możliwość wybrania wariantu, który zostanie porównany z wariantem bazowym, a wyniki tego porównania zostaną przedstawione poniżej w sekcji Podsumowanie.</a:t>
          </a:r>
        </a:p>
        <a:p>
          <a:pPr>
            <a:spcAft>
              <a:spcPts val="600"/>
            </a:spcAft>
          </a:pPr>
          <a:r>
            <a:rPr lang="pl-PL" sz="1200" b="1" baseline="0">
              <a:solidFill>
                <a:srgbClr val="1B3273"/>
              </a:solidFill>
            </a:rPr>
            <a:t>Uwaga</a:t>
          </a:r>
          <a:r>
            <a:rPr lang="pl-PL" sz="1200" b="0" baseline="0">
              <a:solidFill>
                <a:srgbClr val="1B3273"/>
              </a:solidFill>
            </a:rPr>
            <a:t>: porównanie wariantów polega na uchwyceniu różnicy pomiędzy Wariantem bazowym a Wariantem porównywanym [Wb-Wp=R], zatem </a:t>
          </a:r>
          <a:r>
            <a:rPr lang="pl-PL" sz="1200" b="1" baseline="0">
              <a:solidFill>
                <a:srgbClr val="1B3273"/>
              </a:solidFill>
            </a:rPr>
            <a:t>wynik ujemny </a:t>
          </a:r>
          <a:r>
            <a:rPr lang="pl-PL" sz="1200" b="0" baseline="0">
              <a:solidFill>
                <a:srgbClr val="1B3273"/>
              </a:solidFill>
            </a:rPr>
            <a:t>przedstawiony w sekcji Podsumowanie poniżej należy interpretować jako kwotę, o którą opłata za dostępność w Wariancie porównywanym jest </a:t>
          </a:r>
          <a:r>
            <a:rPr lang="pl-PL" sz="1200" b="1" baseline="0">
              <a:solidFill>
                <a:srgbClr val="1B3273"/>
              </a:solidFill>
            </a:rPr>
            <a:t>wyższa </a:t>
          </a:r>
          <a:r>
            <a:rPr lang="pl-PL" sz="1200" b="0" baseline="0">
              <a:solidFill>
                <a:srgbClr val="1B3273"/>
              </a:solidFill>
            </a:rPr>
            <a:t>od opłaty w Wariancie bazowym (Wariant bazowy jest wariantem korzystniejszym). </a:t>
          </a:r>
          <a:r>
            <a:rPr lang="pl-PL" sz="1200" b="1" baseline="0">
              <a:solidFill>
                <a:srgbClr val="1B3273"/>
              </a:solidFill>
            </a:rPr>
            <a:t>Wynik dodatni </a:t>
          </a:r>
          <a:r>
            <a:rPr lang="pl-PL" sz="1200" b="0" baseline="0">
              <a:solidFill>
                <a:srgbClr val="1B3273"/>
              </a:solidFill>
            </a:rPr>
            <a:t>to kwota, o którą opłata za dostępność w Wariancie porównywanym jest </a:t>
          </a:r>
          <a:r>
            <a:rPr lang="pl-PL" sz="1200" b="1" baseline="0">
              <a:solidFill>
                <a:srgbClr val="1B3273"/>
              </a:solidFill>
            </a:rPr>
            <a:t>niższa </a:t>
          </a:r>
          <a:r>
            <a:rPr lang="pl-PL" sz="1200" b="0" baseline="0">
              <a:solidFill>
                <a:srgbClr val="1B3273"/>
              </a:solidFill>
            </a:rPr>
            <a:t>od opłaty w Wariancie bazowym (Wariant porównywany jest wariantem korzystniejszym).</a:t>
          </a:r>
        </a:p>
        <a:p>
          <a:pPr>
            <a:spcAft>
              <a:spcPts val="600"/>
            </a:spcAft>
          </a:pPr>
          <a:r>
            <a:rPr lang="pl-PL" sz="1200" baseline="0">
              <a:solidFill>
                <a:srgbClr val="1B3273"/>
              </a:solidFill>
            </a:rPr>
            <a:t>Porównanie nie będzie aktywne, jeśli parametr </a:t>
          </a:r>
          <a:r>
            <a:rPr lang="pl-PL" sz="1200" i="1" baseline="0">
              <a:solidFill>
                <a:srgbClr val="1B3273"/>
              </a:solidFill>
            </a:rPr>
            <a:t>Porównanie</a:t>
          </a:r>
          <a:r>
            <a:rPr lang="pl-PL" sz="1200" baseline="0">
              <a:solidFill>
                <a:srgbClr val="1B3273"/>
              </a:solidFill>
            </a:rPr>
            <a:t> przyjmie wartość 0 - wtedy w sekcji Podsumowanie wyświetlone zostaną wyniki dla Wariantu bazowego. </a:t>
          </a:r>
        </a:p>
      </xdr:txBody>
    </xdr:sp>
    <xdr:clientData/>
  </xdr:twoCellAnchor>
  <xdr:twoCellAnchor>
    <xdr:from>
      <xdr:col>8</xdr:col>
      <xdr:colOff>304634</xdr:colOff>
      <xdr:row>9</xdr:row>
      <xdr:rowOff>31177</xdr:rowOff>
    </xdr:from>
    <xdr:to>
      <xdr:col>10</xdr:col>
      <xdr:colOff>981862</xdr:colOff>
      <xdr:row>10</xdr:row>
      <xdr:rowOff>27216</xdr:rowOff>
    </xdr:to>
    <xdr:cxnSp macro="">
      <xdr:nvCxnSpPr>
        <xdr:cNvPr id="9" name="Connector: Elbow 8">
          <a:extLst>
            <a:ext uri="{FF2B5EF4-FFF2-40B4-BE49-F238E27FC236}">
              <a16:creationId xmlns:a16="http://schemas.microsoft.com/office/drawing/2014/main" id="{39BA2C10-4977-488C-A367-17FD5D5A0EC7}"/>
            </a:ext>
          </a:extLst>
        </xdr:cNvPr>
        <xdr:cNvCxnSpPr>
          <a:cxnSpLocks/>
          <a:stCxn id="8" idx="1"/>
          <a:endCxn id="7" idx="4"/>
        </xdr:cNvCxnSpPr>
      </xdr:nvCxnSpPr>
      <xdr:spPr>
        <a:xfrm rot="10800000">
          <a:off x="4443082" y="1758815"/>
          <a:ext cx="1899056" cy="18653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FR%20Samorz&#261;dy\5.%20Doradztwo%20dla%20MFiPR\03.%20Projekty%20PPP\ITPO%20W&#322;oc&#322;awek\5.%20Model%20finansowy\Za&#322;.%205%20ITPO%20W&#322;oc&#322;awek%20-%20Model%20Finansowy_09.08.2023_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PANEL"/>
      <sheetName val="Wyniki"/>
      <sheetName val="Input Makroekonomia i flagi"/>
      <sheetName val="SF PPP"/>
      <sheetName val="Calc"/>
      <sheetName val="VFM"/>
      <sheetName val="SF MPEC"/>
      <sheetName val="AE"/>
      <sheetName val="WPF"/>
      <sheetName val="Załączniki OE"/>
      <sheetName val="Listy"/>
      <sheetName val="Tabele OE"/>
      <sheetName val="Input --&gt;"/>
      <sheetName val="Input rózne"/>
      <sheetName val="CAPEX"/>
      <sheetName val="OPEX"/>
      <sheetName val="Ryz. prawne"/>
      <sheetName val="Mott 1M ryz.tech"/>
      <sheetName val="Mott 2D ryz.tech"/>
    </sheetNames>
    <sheetDataSet>
      <sheetData sheetId="0"/>
      <sheetData sheetId="1">
        <row r="19">
          <cell r="G19" t="str">
            <v>Alternatywny</v>
          </cell>
        </row>
        <row r="23">
          <cell r="G23">
            <v>0.15</v>
          </cell>
        </row>
        <row r="24">
          <cell r="G24">
            <v>1.3</v>
          </cell>
        </row>
        <row r="36">
          <cell r="G36">
            <v>1.4999999999999999E-2</v>
          </cell>
        </row>
      </sheetData>
      <sheetData sheetId="2">
        <row r="29">
          <cell r="D29">
            <v>399372</v>
          </cell>
        </row>
        <row r="30">
          <cell r="D30">
            <v>32900</v>
          </cell>
        </row>
        <row r="31">
          <cell r="D31">
            <v>57822</v>
          </cell>
        </row>
        <row r="33">
          <cell r="D33">
            <v>584996.29902811698</v>
          </cell>
        </row>
        <row r="34">
          <cell r="D34">
            <v>401279.23195014044</v>
          </cell>
        </row>
        <row r="35">
          <cell r="D35">
            <v>92294.223348532309</v>
          </cell>
        </row>
        <row r="36">
          <cell r="D36">
            <v>91422.843729444197</v>
          </cell>
        </row>
        <row r="38">
          <cell r="D38">
            <v>584996.29902811698</v>
          </cell>
        </row>
        <row r="39">
          <cell r="D39">
            <v>69891.487870922283</v>
          </cell>
        </row>
        <row r="40">
          <cell r="D40">
            <v>52865.481061683538</v>
          </cell>
        </row>
        <row r="41">
          <cell r="D41">
            <v>96000</v>
          </cell>
        </row>
        <row r="42">
          <cell r="D42">
            <v>96000</v>
          </cell>
        </row>
        <row r="43">
          <cell r="D43">
            <v>177945.10674697885</v>
          </cell>
        </row>
        <row r="44">
          <cell r="D44">
            <v>92294.223348532309</v>
          </cell>
        </row>
        <row r="47">
          <cell r="D47">
            <v>120586.45104143163</v>
          </cell>
        </row>
        <row r="48">
          <cell r="D48">
            <v>58153.636770595702</v>
          </cell>
        </row>
        <row r="49">
          <cell r="D49">
            <v>29993.52410222957</v>
          </cell>
        </row>
        <row r="50">
          <cell r="D50">
            <v>32439.290168606371</v>
          </cell>
        </row>
        <row r="51">
          <cell r="D51">
            <v>14731.403774132312</v>
          </cell>
        </row>
        <row r="52">
          <cell r="D52">
            <v>0.33096589296520051</v>
          </cell>
        </row>
        <row r="54">
          <cell r="D54">
            <v>29778.934261458697</v>
          </cell>
        </row>
        <row r="55">
          <cell r="D55">
            <v>4987.7939089288702</v>
          </cell>
        </row>
        <row r="56">
          <cell r="D56">
            <v>92.304581822281989</v>
          </cell>
        </row>
        <row r="57">
          <cell r="D57">
            <v>6954.9539971490731</v>
          </cell>
        </row>
        <row r="58">
          <cell r="D58">
            <v>5165.9968721579653</v>
          </cell>
        </row>
        <row r="59">
          <cell r="D59">
            <v>1599.2502169720249</v>
          </cell>
        </row>
        <row r="60">
          <cell r="D60">
            <v>8296.3431582992616</v>
          </cell>
        </row>
        <row r="61">
          <cell r="D61">
            <v>2682.2915261292173</v>
          </cell>
        </row>
        <row r="63">
          <cell r="D63">
            <v>14414.066777647748</v>
          </cell>
        </row>
        <row r="64">
          <cell r="D64">
            <v>0.32383638080039023</v>
          </cell>
        </row>
        <row r="68">
          <cell r="D68">
            <v>60686.905742282324</v>
          </cell>
        </row>
        <row r="69">
          <cell r="D69">
            <v>33420.191248335519</v>
          </cell>
        </row>
        <row r="71">
          <cell r="D71">
            <v>1.815875477532009</v>
          </cell>
        </row>
        <row r="73">
          <cell r="D73">
            <v>99276.133634429047</v>
          </cell>
        </row>
        <row r="74">
          <cell r="D74">
            <v>3120.3169224380867</v>
          </cell>
        </row>
        <row r="75">
          <cell r="D75">
            <v>740.38439017625819</v>
          </cell>
        </row>
        <row r="76">
          <cell r="D76">
            <v>5647.0588235294117</v>
          </cell>
        </row>
        <row r="77">
          <cell r="D77">
            <v>89768.373498285291</v>
          </cell>
        </row>
        <row r="79">
          <cell r="D79">
            <v>28849.69165459746</v>
          </cell>
        </row>
        <row r="80">
          <cell r="D80">
            <v>13345.883006023412</v>
          </cell>
        </row>
        <row r="81">
          <cell r="D81">
            <v>5286.548106168354</v>
          </cell>
        </row>
        <row r="82">
          <cell r="D82">
            <v>5280</v>
          </cell>
        </row>
        <row r="83">
          <cell r="D83">
            <v>4937.260542405691</v>
          </cell>
        </row>
        <row r="94">
          <cell r="D94">
            <v>85064.597472176072</v>
          </cell>
        </row>
        <row r="95">
          <cell r="D95">
            <v>95301.975220362001</v>
          </cell>
        </row>
        <row r="97">
          <cell r="D97">
            <v>2232192.6923746178</v>
          </cell>
        </row>
        <row r="98">
          <cell r="D98">
            <v>2583150.2180594634</v>
          </cell>
        </row>
        <row r="100">
          <cell r="D100">
            <v>588684.26617993822</v>
          </cell>
        </row>
        <row r="101">
          <cell r="D101">
            <v>732756.48713857878</v>
          </cell>
        </row>
        <row r="103">
          <cell r="D103">
            <v>144072.22095864057</v>
          </cell>
        </row>
        <row r="110">
          <cell r="D110">
            <v>2278610.5410118201</v>
          </cell>
        </row>
        <row r="111">
          <cell r="D111">
            <v>404574.4761791784</v>
          </cell>
        </row>
        <row r="112">
          <cell r="D112">
            <v>0.21456397216779277</v>
          </cell>
        </row>
        <row r="113">
          <cell r="D113">
            <v>144072.22095864057</v>
          </cell>
        </row>
        <row r="115">
          <cell r="D115">
            <v>120586.45104143163</v>
          </cell>
        </row>
        <row r="116">
          <cell r="D116">
            <v>4118963.5281777605</v>
          </cell>
        </row>
        <row r="118">
          <cell r="D118">
            <v>95301.975220362001</v>
          </cell>
        </row>
        <row r="119">
          <cell r="D119">
            <v>2583150.2180594639</v>
          </cell>
        </row>
        <row r="121">
          <cell r="D121">
            <v>25284.475821069642</v>
          </cell>
        </row>
        <row r="122">
          <cell r="D122">
            <v>1535813.3101182971</v>
          </cell>
        </row>
      </sheetData>
      <sheetData sheetId="3">
        <row r="23">
          <cell r="C23" t="str">
            <v>WIBOR 12M średnioroczny uwzględniający analizę wrażliwości</v>
          </cell>
          <cell r="X23" t="str">
            <v>%</v>
          </cell>
          <cell r="AA23">
            <v>7.2000000000000008E-2</v>
          </cell>
          <cell r="AB23">
            <v>7.2000000000000008E-2</v>
          </cell>
          <cell r="AC23">
            <v>7.2000000000000008E-2</v>
          </cell>
          <cell r="AD23">
            <v>0.05</v>
          </cell>
          <cell r="AE23">
            <v>0.04</v>
          </cell>
          <cell r="AF23">
            <v>0.03</v>
          </cell>
          <cell r="AG23">
            <v>0.03</v>
          </cell>
          <cell r="AH23">
            <v>0.03</v>
          </cell>
          <cell r="AI23">
            <v>0.03</v>
          </cell>
          <cell r="AJ23">
            <v>0.03</v>
          </cell>
          <cell r="AK23">
            <v>0.03</v>
          </cell>
          <cell r="AL23">
            <v>0.03</v>
          </cell>
          <cell r="AM23">
            <v>0.03</v>
          </cell>
          <cell r="AN23">
            <v>0.03</v>
          </cell>
          <cell r="AO23">
            <v>0.03</v>
          </cell>
          <cell r="AP23">
            <v>0.03</v>
          </cell>
          <cell r="AQ23">
            <v>0.03</v>
          </cell>
          <cell r="AR23">
            <v>0.03</v>
          </cell>
          <cell r="AS23">
            <v>0.03</v>
          </cell>
          <cell r="AT23">
            <v>0.03</v>
          </cell>
          <cell r="AU23">
            <v>0.03</v>
          </cell>
          <cell r="AV23">
            <v>0.03</v>
          </cell>
          <cell r="AW23">
            <v>0.03</v>
          </cell>
          <cell r="AX23">
            <v>0.03</v>
          </cell>
          <cell r="AY23">
            <v>0.03</v>
          </cell>
          <cell r="AZ23">
            <v>0.03</v>
          </cell>
          <cell r="BA23">
            <v>0.03</v>
          </cell>
          <cell r="BB23">
            <v>0.03</v>
          </cell>
          <cell r="BC23">
            <v>0.03</v>
          </cell>
          <cell r="BD23">
            <v>0.03</v>
          </cell>
          <cell r="BE23">
            <v>0.03</v>
          </cell>
          <cell r="BF23">
            <v>0.03</v>
          </cell>
          <cell r="BG23">
            <v>0.03</v>
          </cell>
          <cell r="BH23">
            <v>0.03</v>
          </cell>
          <cell r="BI23">
            <v>0.03</v>
          </cell>
          <cell r="BJ23">
            <v>0.03</v>
          </cell>
          <cell r="BK23">
            <v>0.03</v>
          </cell>
          <cell r="BL23">
            <v>0.03</v>
          </cell>
          <cell r="BM23">
            <v>0.03</v>
          </cell>
        </row>
        <row r="28">
          <cell r="C28" t="str">
            <v>Koszty uprawnień CO2 (PLN)</v>
          </cell>
          <cell r="X28" t="str">
            <v>PLN / t</v>
          </cell>
          <cell r="AA28">
            <v>474.21755550000006</v>
          </cell>
          <cell r="AB28">
            <v>502.19639127450006</v>
          </cell>
          <cell r="AC28">
            <v>519.77326496910757</v>
          </cell>
          <cell r="AD28">
            <v>532.76759659333516</v>
          </cell>
          <cell r="AE28">
            <v>546.08678650816853</v>
          </cell>
          <cell r="AF28">
            <v>559.73895617087271</v>
          </cell>
          <cell r="AG28">
            <v>573.73243007514452</v>
          </cell>
          <cell r="AH28">
            <v>588.07574082702308</v>
          </cell>
          <cell r="AI28">
            <v>602.77763434769861</v>
          </cell>
          <cell r="AJ28">
            <v>617.84707520639097</v>
          </cell>
          <cell r="AK28">
            <v>633.29325208655075</v>
          </cell>
          <cell r="AL28">
            <v>649.1255833887144</v>
          </cell>
          <cell r="AM28">
            <v>665.35372297343235</v>
          </cell>
          <cell r="AN28">
            <v>681.98756604776804</v>
          </cell>
          <cell r="AO28">
            <v>699.03725519896216</v>
          </cell>
          <cell r="AP28">
            <v>716.51318657893614</v>
          </cell>
          <cell r="AQ28">
            <v>734.42601624340955</v>
          </cell>
          <cell r="AR28">
            <v>752.78666664949469</v>
          </cell>
          <cell r="AS28">
            <v>771.60633331573194</v>
          </cell>
          <cell r="AT28">
            <v>790.89649164862522</v>
          </cell>
          <cell r="AU28">
            <v>810.66890393984079</v>
          </cell>
          <cell r="AV28">
            <v>830.93562653833669</v>
          </cell>
          <cell r="AW28">
            <v>851.70901720179506</v>
          </cell>
          <cell r="AX28">
            <v>873.00174263183976</v>
          </cell>
          <cell r="AY28">
            <v>894.82678619763556</v>
          </cell>
          <cell r="AZ28">
            <v>917.19745585257647</v>
          </cell>
          <cell r="BA28">
            <v>940.12739224889083</v>
          </cell>
          <cell r="BB28">
            <v>963.63057705511301</v>
          </cell>
          <cell r="BC28">
            <v>987.72134148149075</v>
          </cell>
          <cell r="BD28">
            <v>1012.4143750185278</v>
          </cell>
          <cell r="BE28">
            <v>1037.724734393991</v>
          </cell>
          <cell r="BF28">
            <v>1063.6678527538406</v>
          </cell>
          <cell r="BG28">
            <v>1090.2595490726865</v>
          </cell>
          <cell r="BH28">
            <v>1117.5160377995035</v>
          </cell>
          <cell r="BI28">
            <v>1145.4539387444909</v>
          </cell>
          <cell r="BJ28">
            <v>1174.090287213103</v>
          </cell>
          <cell r="BK28">
            <v>1203.4425443934306</v>
          </cell>
          <cell r="BL28">
            <v>1233.5286080032661</v>
          </cell>
          <cell r="BM28">
            <v>1089.7049078400507</v>
          </cell>
        </row>
        <row r="30">
          <cell r="C30" t="str">
            <v>Cena opłaty na bramie zabezpieczonych odpadów</v>
          </cell>
          <cell r="W30">
            <v>400</v>
          </cell>
          <cell r="X30" t="str">
            <v>PLN / Mg</v>
          </cell>
          <cell r="AA30">
            <v>452.4</v>
          </cell>
          <cell r="AB30">
            <v>479.09159999999997</v>
          </cell>
          <cell r="AC30">
            <v>495.85980599999994</v>
          </cell>
          <cell r="AD30">
            <v>508.2563011499999</v>
          </cell>
          <cell r="AE30">
            <v>520.96270867874989</v>
          </cell>
          <cell r="AF30">
            <v>533.98677639571861</v>
          </cell>
          <cell r="AG30">
            <v>547.33644580561156</v>
          </cell>
          <cell r="AH30">
            <v>561.01985695075177</v>
          </cell>
          <cell r="AI30">
            <v>575.04535337452057</v>
          </cell>
          <cell r="AJ30">
            <v>589.42148720888349</v>
          </cell>
          <cell r="AK30">
            <v>604.15702438910557</v>
          </cell>
          <cell r="AL30">
            <v>619.26094999883321</v>
          </cell>
          <cell r="AM30">
            <v>634.74247374880395</v>
          </cell>
          <cell r="AN30">
            <v>650.61103559252399</v>
          </cell>
          <cell r="AO30">
            <v>666.87631148233709</v>
          </cell>
          <cell r="AP30">
            <v>683.54821926939542</v>
          </cell>
          <cell r="AQ30">
            <v>700.63692475113021</v>
          </cell>
          <cell r="AR30">
            <v>718.15284786990844</v>
          </cell>
          <cell r="AS30">
            <v>736.10666906665608</v>
          </cell>
          <cell r="AT30">
            <v>754.50933579332241</v>
          </cell>
          <cell r="AU30">
            <v>773.37206918815536</v>
          </cell>
          <cell r="AV30">
            <v>792.7063709178592</v>
          </cell>
          <cell r="AW30">
            <v>812.52403019080566</v>
          </cell>
          <cell r="AX30">
            <v>832.83713094557572</v>
          </cell>
          <cell r="AY30">
            <v>853.65805921921503</v>
          </cell>
          <cell r="AZ30">
            <v>874.99951069969529</v>
          </cell>
          <cell r="BA30">
            <v>896.87449846718755</v>
          </cell>
          <cell r="BB30">
            <v>919.2963609288671</v>
          </cell>
          <cell r="BC30">
            <v>942.27876995208874</v>
          </cell>
          <cell r="BD30">
            <v>965.83573920089088</v>
          </cell>
          <cell r="BE30">
            <v>989.98163268091309</v>
          </cell>
          <cell r="BF30">
            <v>1014.7311734979359</v>
          </cell>
          <cell r="BG30">
            <v>1040.0994528353842</v>
          </cell>
          <cell r="BH30">
            <v>1066.1019391562688</v>
          </cell>
          <cell r="BI30">
            <v>1092.7544876351756</v>
          </cell>
          <cell r="BJ30">
            <v>1120.0733498260549</v>
          </cell>
          <cell r="BK30">
            <v>1148.0751835717062</v>
          </cell>
          <cell r="BL30">
            <v>1176.7770631609988</v>
          </cell>
        </row>
        <row r="31">
          <cell r="C31" t="str">
            <v xml:space="preserve">Cena energii elektrycznej </v>
          </cell>
          <cell r="W31">
            <v>650</v>
          </cell>
          <cell r="X31" t="str">
            <v>PLN / MWh</v>
          </cell>
          <cell r="AA31">
            <v>735.15</v>
          </cell>
          <cell r="AB31">
            <v>778.52385000000004</v>
          </cell>
          <cell r="AC31">
            <v>805.77218474999995</v>
          </cell>
          <cell r="AD31">
            <v>825.91648936874992</v>
          </cell>
          <cell r="AE31">
            <v>846.56440160296859</v>
          </cell>
          <cell r="AF31">
            <v>867.72851164304279</v>
          </cell>
          <cell r="AG31">
            <v>889.4217244341188</v>
          </cell>
          <cell r="AH31">
            <v>911.65726754497166</v>
          </cell>
          <cell r="AI31">
            <v>934.4486992335959</v>
          </cell>
          <cell r="AJ31">
            <v>957.80991671443576</v>
          </cell>
          <cell r="AK31">
            <v>981.75516463229656</v>
          </cell>
          <cell r="AL31">
            <v>1006.2990437481039</v>
          </cell>
          <cell r="AM31">
            <v>1031.4565198418065</v>
          </cell>
          <cell r="AN31">
            <v>1057.2429328378514</v>
          </cell>
          <cell r="AO31">
            <v>1083.6740061587977</v>
          </cell>
          <cell r="AP31">
            <v>1110.7658563127675</v>
          </cell>
          <cell r="AQ31">
            <v>1138.5350027205866</v>
          </cell>
          <cell r="AR31">
            <v>1166.9983777886011</v>
          </cell>
          <cell r="AS31">
            <v>1196.173337233316</v>
          </cell>
          <cell r="AT31">
            <v>1226.0776706641489</v>
          </cell>
          <cell r="AU31">
            <v>1256.7296124307525</v>
          </cell>
          <cell r="AV31">
            <v>1288.1478527415211</v>
          </cell>
          <cell r="AW31">
            <v>1320.3515490600591</v>
          </cell>
          <cell r="AX31">
            <v>1353.3603377865604</v>
          </cell>
          <cell r="AY31">
            <v>1387.194346231224</v>
          </cell>
          <cell r="AZ31">
            <v>1421.8742048870047</v>
          </cell>
          <cell r="BA31">
            <v>1457.4210600091799</v>
          </cell>
          <cell r="BB31">
            <v>1493.8565865094092</v>
          </cell>
          <cell r="BC31">
            <v>1531.2030011721442</v>
          </cell>
          <cell r="BD31">
            <v>1569.4830762014476</v>
          </cell>
          <cell r="BE31">
            <v>1608.7201531064834</v>
          </cell>
          <cell r="BF31">
            <v>1648.9381569341454</v>
          </cell>
          <cell r="BG31">
            <v>1690.161610857499</v>
          </cell>
          <cell r="BH31">
            <v>1732.4156511289361</v>
          </cell>
          <cell r="BI31">
            <v>1775.7260424071594</v>
          </cell>
          <cell r="BJ31">
            <v>1820.1191934673379</v>
          </cell>
          <cell r="BK31">
            <v>1865.6221733040213</v>
          </cell>
          <cell r="BL31">
            <v>1912.2627276366215</v>
          </cell>
        </row>
        <row r="32">
          <cell r="C32" t="str">
            <v>Cena energii cieplnej</v>
          </cell>
          <cell r="W32">
            <v>103.82</v>
          </cell>
          <cell r="X32" t="str">
            <v>PLN / GJ</v>
          </cell>
          <cell r="AA32">
            <v>117.42041999999999</v>
          </cell>
          <cell r="AB32">
            <v>124.34822478</v>
          </cell>
          <cell r="AC32">
            <v>128.7004126473</v>
          </cell>
          <cell r="AD32">
            <v>131.91792296348248</v>
          </cell>
          <cell r="AE32">
            <v>135.21587103756954</v>
          </cell>
          <cell r="AF32">
            <v>138.59626781350877</v>
          </cell>
          <cell r="AG32">
            <v>142.06117450884648</v>
          </cell>
          <cell r="AH32">
            <v>145.61270387156762</v>
          </cell>
          <cell r="AI32">
            <v>149.25302146835679</v>
          </cell>
          <cell r="AJ32">
            <v>152.98434700506573</v>
          </cell>
          <cell r="AK32">
            <v>156.80895568019235</v>
          </cell>
          <cell r="AL32">
            <v>160.72917957219713</v>
          </cell>
          <cell r="AM32">
            <v>164.74740906150205</v>
          </cell>
          <cell r="AN32">
            <v>168.86609428803959</v>
          </cell>
          <cell r="AO32">
            <v>173.08774664524057</v>
          </cell>
          <cell r="AP32">
            <v>177.41494031137157</v>
          </cell>
          <cell r="AQ32">
            <v>181.85031381915584</v>
          </cell>
          <cell r="AR32">
            <v>186.39657166463471</v>
          </cell>
          <cell r="AS32">
            <v>191.05648595625055</v>
          </cell>
          <cell r="AT32">
            <v>195.83289810515683</v>
          </cell>
          <cell r="AU32">
            <v>200.72872055778572</v>
          </cell>
          <cell r="AV32">
            <v>205.74693857173034</v>
          </cell>
          <cell r="AW32">
            <v>210.89061203602358</v>
          </cell>
          <cell r="AX32">
            <v>216.16287733692414</v>
          </cell>
          <cell r="AY32">
            <v>221.56694927034721</v>
          </cell>
          <cell r="AZ32">
            <v>227.10612300210587</v>
          </cell>
          <cell r="BA32">
            <v>232.78377607715851</v>
          </cell>
          <cell r="BB32">
            <v>238.60337047908746</v>
          </cell>
          <cell r="BC32">
            <v>244.56845474106461</v>
          </cell>
          <cell r="BD32">
            <v>250.68266610959117</v>
          </cell>
          <cell r="BE32">
            <v>256.94973276233094</v>
          </cell>
          <cell r="BF32">
            <v>263.37347608138919</v>
          </cell>
          <cell r="BG32">
            <v>269.95781298342388</v>
          </cell>
          <cell r="BH32">
            <v>276.70675830800946</v>
          </cell>
          <cell r="BI32">
            <v>283.62442726570964</v>
          </cell>
          <cell r="BJ32">
            <v>290.71503794735236</v>
          </cell>
          <cell r="BK32">
            <v>297.98291389603611</v>
          </cell>
          <cell r="BL32">
            <v>305.43248674343698</v>
          </cell>
        </row>
        <row r="35">
          <cell r="B35" t="str">
            <v>CPI skumulowane</v>
          </cell>
          <cell r="X35" t="str">
            <v>mnożnik</v>
          </cell>
          <cell r="Z35">
            <v>1</v>
          </cell>
          <cell r="AA35">
            <v>1.131</v>
          </cell>
          <cell r="AB35">
            <v>1.197729</v>
          </cell>
          <cell r="AC35">
            <v>1.239649515</v>
          </cell>
          <cell r="AD35">
            <v>1.2706407528749999</v>
          </cell>
          <cell r="AE35">
            <v>1.3024067716968748</v>
          </cell>
          <cell r="AF35">
            <v>1.3349669409892966</v>
          </cell>
          <cell r="AG35">
            <v>1.368341114514029</v>
          </cell>
          <cell r="AH35">
            <v>1.4025496423768795</v>
          </cell>
          <cell r="AI35">
            <v>1.4376133834363014</v>
          </cell>
          <cell r="AJ35">
            <v>1.4735537180222089</v>
          </cell>
          <cell r="AK35">
            <v>1.510392560972764</v>
          </cell>
          <cell r="AL35">
            <v>1.5481523749970829</v>
          </cell>
          <cell r="AM35">
            <v>1.5868561843720099</v>
          </cell>
          <cell r="AN35">
            <v>1.62652758898131</v>
          </cell>
          <cell r="AO35">
            <v>1.6671907787058426</v>
          </cell>
          <cell r="AP35">
            <v>1.7088705481734885</v>
          </cell>
          <cell r="AQ35">
            <v>1.7515923118778256</v>
          </cell>
          <cell r="AR35">
            <v>1.795382119674771</v>
          </cell>
          <cell r="AS35">
            <v>1.8402666726666401</v>
          </cell>
          <cell r="AT35">
            <v>1.886273339483306</v>
          </cell>
          <cell r="AU35">
            <v>1.9334301729703884</v>
          </cell>
          <cell r="AV35">
            <v>1.981765927294648</v>
          </cell>
          <cell r="AW35">
            <v>2.0313100754770139</v>
          </cell>
          <cell r="AX35">
            <v>2.082092827363939</v>
          </cell>
          <cell r="AY35">
            <v>2.1341451480480371</v>
          </cell>
          <cell r="AZ35">
            <v>2.187498776749238</v>
          </cell>
          <cell r="BA35">
            <v>2.2421862461679689</v>
          </cell>
          <cell r="BB35">
            <v>2.2982409023221679</v>
          </cell>
          <cell r="BC35">
            <v>2.3556969248802218</v>
          </cell>
          <cell r="BD35">
            <v>2.4145893480022269</v>
          </cell>
          <cell r="BE35">
            <v>2.4749540817022821</v>
          </cell>
          <cell r="BF35">
            <v>2.5368279337448389</v>
          </cell>
          <cell r="BG35">
            <v>2.6002486320884599</v>
          </cell>
          <cell r="BH35">
            <v>2.665254847890671</v>
          </cell>
          <cell r="BI35">
            <v>2.7318862190879374</v>
          </cell>
          <cell r="BJ35">
            <v>2.8001833745651354</v>
          </cell>
          <cell r="BK35">
            <v>2.8701879589292636</v>
          </cell>
          <cell r="BL35">
            <v>2.9419426579024948</v>
          </cell>
          <cell r="BM35">
            <v>2.9419426579024948</v>
          </cell>
        </row>
        <row r="36">
          <cell r="B36" t="str">
            <v>Dynamika wynagrodzeń skumulowana</v>
          </cell>
          <cell r="X36" t="str">
            <v>mnożnik</v>
          </cell>
          <cell r="Z36">
            <v>1</v>
          </cell>
          <cell r="AA36">
            <v>1.119</v>
          </cell>
          <cell r="AB36">
            <v>1.2040440000000001</v>
          </cell>
          <cell r="AC36">
            <v>1.2750825960000001</v>
          </cell>
          <cell r="AD36">
            <v>1.31971048686</v>
          </cell>
          <cell r="AE36">
            <v>1.3593018014658</v>
          </cell>
          <cell r="AF36">
            <v>1.3987215537083082</v>
          </cell>
          <cell r="AG36">
            <v>1.439284478765849</v>
          </cell>
          <cell r="AH36">
            <v>1.4810237286500585</v>
          </cell>
          <cell r="AI36">
            <v>1.52397341678091</v>
          </cell>
          <cell r="AJ36">
            <v>1.5681686458675563</v>
          </cell>
          <cell r="AK36">
            <v>1.6120773679518479</v>
          </cell>
          <cell r="AL36">
            <v>1.6572155342544996</v>
          </cell>
          <cell r="AM36">
            <v>1.7036175692136257</v>
          </cell>
          <cell r="AN36">
            <v>1.7513188611516073</v>
          </cell>
          <cell r="AO36">
            <v>1.8003557892638524</v>
          </cell>
          <cell r="AP36">
            <v>1.8507657513632403</v>
          </cell>
          <cell r="AQ36">
            <v>1.9007364266500477</v>
          </cell>
          <cell r="AR36">
            <v>1.9520563101695989</v>
          </cell>
          <cell r="AS36">
            <v>2.0047618305441781</v>
          </cell>
          <cell r="AT36">
            <v>2.0588903999688708</v>
          </cell>
          <cell r="AU36">
            <v>2.11448044076803</v>
          </cell>
          <cell r="AV36">
            <v>2.1694569322279986</v>
          </cell>
          <cell r="AW36">
            <v>2.2280322693981542</v>
          </cell>
          <cell r="AX36">
            <v>2.2859611084025064</v>
          </cell>
          <cell r="AY36">
            <v>2.3453960972209718</v>
          </cell>
          <cell r="AZ36">
            <v>2.4063763957487172</v>
          </cell>
          <cell r="BA36">
            <v>2.4689421820381838</v>
          </cell>
          <cell r="BB36">
            <v>2.5306657365891381</v>
          </cell>
          <cell r="BC36">
            <v>2.5939323800038663</v>
          </cell>
          <cell r="BD36">
            <v>2.6587806895039625</v>
          </cell>
          <cell r="BE36">
            <v>2.7252502067415612</v>
          </cell>
          <cell r="BF36">
            <v>2.7933814619101001</v>
          </cell>
          <cell r="BG36">
            <v>2.8604226169959426</v>
          </cell>
          <cell r="BH36">
            <v>2.9290727598038453</v>
          </cell>
          <cell r="BI36">
            <v>2.9993705060391376</v>
          </cell>
          <cell r="BJ36">
            <v>3.0713553981840769</v>
          </cell>
          <cell r="BK36">
            <v>3.1450679277404947</v>
          </cell>
          <cell r="BL36">
            <v>3.2205495580062666</v>
          </cell>
          <cell r="BM36">
            <v>3.2205495580062666</v>
          </cell>
        </row>
        <row r="37">
          <cell r="B37" t="str">
            <v>Dynamika cen materiałów budowalnych i wykonastwa skumulowana</v>
          </cell>
          <cell r="X37" t="str">
            <v>mnożnik</v>
          </cell>
          <cell r="Z37">
            <v>1</v>
          </cell>
          <cell r="AA37">
            <v>1.131</v>
          </cell>
          <cell r="AB37">
            <v>1.197729</v>
          </cell>
          <cell r="AC37">
            <v>1.239649515</v>
          </cell>
          <cell r="AD37">
            <v>1.2706407528749999</v>
          </cell>
          <cell r="AE37">
            <v>1.3024067716968748</v>
          </cell>
          <cell r="AF37">
            <v>1.3349669409892966</v>
          </cell>
          <cell r="AG37">
            <v>1.368341114514029</v>
          </cell>
          <cell r="AH37">
            <v>1.4025496423768795</v>
          </cell>
          <cell r="AI37">
            <v>1.4376133834363014</v>
          </cell>
          <cell r="AJ37">
            <v>1.4735537180222089</v>
          </cell>
          <cell r="AK37">
            <v>1.510392560972764</v>
          </cell>
          <cell r="AL37">
            <v>1.5481523749970829</v>
          </cell>
          <cell r="AM37">
            <v>1.5868561843720099</v>
          </cell>
          <cell r="AN37">
            <v>1.62652758898131</v>
          </cell>
          <cell r="AO37">
            <v>1.6671907787058426</v>
          </cell>
          <cell r="AP37">
            <v>1.7088705481734885</v>
          </cell>
          <cell r="AQ37">
            <v>1.7515923118778256</v>
          </cell>
          <cell r="AR37">
            <v>1.795382119674771</v>
          </cell>
          <cell r="AS37">
            <v>1.8402666726666401</v>
          </cell>
          <cell r="AT37">
            <v>1.886273339483306</v>
          </cell>
          <cell r="AU37">
            <v>1.9334301729703884</v>
          </cell>
          <cell r="AV37">
            <v>1.981765927294648</v>
          </cell>
          <cell r="AW37">
            <v>2.0313100754770139</v>
          </cell>
          <cell r="AX37">
            <v>2.082092827363939</v>
          </cell>
          <cell r="AY37">
            <v>2.1341451480480371</v>
          </cell>
          <cell r="AZ37">
            <v>2.187498776749238</v>
          </cell>
          <cell r="BA37">
            <v>2.2421862461679689</v>
          </cell>
          <cell r="BB37">
            <v>2.2982409023221679</v>
          </cell>
          <cell r="BC37">
            <v>2.3556969248802218</v>
          </cell>
          <cell r="BD37">
            <v>2.4145893480022269</v>
          </cell>
          <cell r="BE37">
            <v>2.4749540817022821</v>
          </cell>
          <cell r="BF37">
            <v>2.5368279337448389</v>
          </cell>
          <cell r="BG37">
            <v>2.6002486320884599</v>
          </cell>
          <cell r="BH37">
            <v>2.665254847890671</v>
          </cell>
          <cell r="BI37">
            <v>2.7318862190879374</v>
          </cell>
          <cell r="BJ37">
            <v>2.8001833745651354</v>
          </cell>
          <cell r="BK37">
            <v>2.8701879589292636</v>
          </cell>
          <cell r="BL37">
            <v>2.9419426579024948</v>
          </cell>
          <cell r="BM37">
            <v>2.9419426579024948</v>
          </cell>
        </row>
        <row r="49">
          <cell r="B49" t="str">
            <v>Okres budowy</v>
          </cell>
          <cell r="W49" t="str">
            <v>Budowa</v>
          </cell>
          <cell r="X49" t="str">
            <v>flaga</v>
          </cell>
          <cell r="Y49">
            <v>4</v>
          </cell>
          <cell r="AA49">
            <v>0</v>
          </cell>
          <cell r="AB49">
            <v>0</v>
          </cell>
          <cell r="AC49">
            <v>0</v>
          </cell>
          <cell r="AD49">
            <v>1</v>
          </cell>
          <cell r="AE49">
            <v>1</v>
          </cell>
          <cell r="AF49">
            <v>1</v>
          </cell>
          <cell r="AG49">
            <v>1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</row>
        <row r="50">
          <cell r="B50" t="str">
            <v>Okres operacyjny</v>
          </cell>
          <cell r="W50" t="str">
            <v>Operacyjny</v>
          </cell>
          <cell r="X50" t="str">
            <v>flaga</v>
          </cell>
          <cell r="Y50">
            <v>25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1</v>
          </cell>
          <cell r="AI50">
            <v>1</v>
          </cell>
          <cell r="AJ50">
            <v>1</v>
          </cell>
          <cell r="AK50">
            <v>1</v>
          </cell>
          <cell r="AL50">
            <v>1</v>
          </cell>
          <cell r="AM50">
            <v>1</v>
          </cell>
          <cell r="AN50">
            <v>1</v>
          </cell>
          <cell r="AO50">
            <v>1</v>
          </cell>
          <cell r="AP50">
            <v>1</v>
          </cell>
          <cell r="AQ50">
            <v>1</v>
          </cell>
          <cell r="AR50">
            <v>1</v>
          </cell>
          <cell r="AS50">
            <v>1</v>
          </cell>
          <cell r="AT50">
            <v>1</v>
          </cell>
          <cell r="AU50">
            <v>1</v>
          </cell>
          <cell r="AV50">
            <v>1</v>
          </cell>
          <cell r="AW50">
            <v>1</v>
          </cell>
          <cell r="AX50">
            <v>1</v>
          </cell>
          <cell r="AY50">
            <v>1</v>
          </cell>
          <cell r="AZ50">
            <v>1</v>
          </cell>
          <cell r="BA50">
            <v>1</v>
          </cell>
          <cell r="BB50">
            <v>1</v>
          </cell>
          <cell r="BC50">
            <v>1</v>
          </cell>
          <cell r="BD50">
            <v>1</v>
          </cell>
          <cell r="BE50">
            <v>1</v>
          </cell>
          <cell r="BF50">
            <v>1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</row>
        <row r="51">
          <cell r="AA51">
            <v>0</v>
          </cell>
          <cell r="AB51">
            <v>0</v>
          </cell>
          <cell r="AC51">
            <v>0</v>
          </cell>
          <cell r="AD51">
            <v>1</v>
          </cell>
          <cell r="AE51">
            <v>1</v>
          </cell>
          <cell r="AF51">
            <v>1</v>
          </cell>
          <cell r="AG51">
            <v>1</v>
          </cell>
          <cell r="AH51">
            <v>1</v>
          </cell>
          <cell r="AI51">
            <v>1</v>
          </cell>
          <cell r="AJ51">
            <v>1</v>
          </cell>
          <cell r="AK51">
            <v>1</v>
          </cell>
          <cell r="AL51">
            <v>1</v>
          </cell>
          <cell r="AM51">
            <v>1</v>
          </cell>
          <cell r="AN51">
            <v>1</v>
          </cell>
          <cell r="AO51">
            <v>1</v>
          </cell>
          <cell r="AP51">
            <v>1</v>
          </cell>
          <cell r="AQ51">
            <v>1</v>
          </cell>
          <cell r="AR51">
            <v>1</v>
          </cell>
          <cell r="AS51">
            <v>1</v>
          </cell>
          <cell r="AT51">
            <v>1</v>
          </cell>
          <cell r="AU51">
            <v>1</v>
          </cell>
          <cell r="AV51">
            <v>1</v>
          </cell>
          <cell r="AW51">
            <v>1</v>
          </cell>
          <cell r="AX51">
            <v>1</v>
          </cell>
          <cell r="AY51">
            <v>1</v>
          </cell>
          <cell r="AZ51">
            <v>1</v>
          </cell>
          <cell r="BA51">
            <v>1</v>
          </cell>
          <cell r="BB51">
            <v>1</v>
          </cell>
          <cell r="BC51">
            <v>1</v>
          </cell>
          <cell r="BD51">
            <v>1</v>
          </cell>
          <cell r="BE51">
            <v>1</v>
          </cell>
          <cell r="BF51">
            <v>1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</row>
        <row r="56">
          <cell r="B56" t="str">
            <v>Okres właczenia do ETS</v>
          </cell>
          <cell r="V56">
            <v>0</v>
          </cell>
          <cell r="W56">
            <v>2030</v>
          </cell>
          <cell r="X56" t="str">
            <v>flaga</v>
          </cell>
          <cell r="Y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</row>
        <row r="60">
          <cell r="B60" t="str">
            <v>Okres finansowania</v>
          </cell>
          <cell r="X60" t="str">
            <v>flaga</v>
          </cell>
          <cell r="Y60">
            <v>26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1</v>
          </cell>
          <cell r="AF60">
            <v>1</v>
          </cell>
          <cell r="AG60">
            <v>1</v>
          </cell>
          <cell r="AH60">
            <v>1</v>
          </cell>
          <cell r="AI60">
            <v>1</v>
          </cell>
          <cell r="AJ60">
            <v>1</v>
          </cell>
          <cell r="AK60">
            <v>1</v>
          </cell>
          <cell r="AL60">
            <v>1</v>
          </cell>
          <cell r="AM60">
            <v>1</v>
          </cell>
          <cell r="AN60">
            <v>1</v>
          </cell>
          <cell r="AO60">
            <v>1</v>
          </cell>
          <cell r="AP60">
            <v>1</v>
          </cell>
          <cell r="AQ60">
            <v>1</v>
          </cell>
          <cell r="AR60">
            <v>1</v>
          </cell>
          <cell r="AS60">
            <v>1</v>
          </cell>
          <cell r="AT60">
            <v>1</v>
          </cell>
          <cell r="AU60">
            <v>1</v>
          </cell>
          <cell r="AV60">
            <v>1</v>
          </cell>
          <cell r="AW60">
            <v>1</v>
          </cell>
          <cell r="AX60">
            <v>1</v>
          </cell>
          <cell r="AY60">
            <v>1</v>
          </cell>
          <cell r="AZ60">
            <v>1</v>
          </cell>
          <cell r="BA60">
            <v>1</v>
          </cell>
          <cell r="BB60">
            <v>1</v>
          </cell>
          <cell r="BC60">
            <v>1</v>
          </cell>
          <cell r="BD60">
            <v>1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</row>
        <row r="119"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1</v>
          </cell>
          <cell r="AI119">
            <v>1</v>
          </cell>
          <cell r="AJ119">
            <v>1</v>
          </cell>
          <cell r="AK119">
            <v>1</v>
          </cell>
          <cell r="AL119">
            <v>1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</row>
      </sheetData>
      <sheetData sheetId="4" refreshError="1"/>
      <sheetData sheetId="5">
        <row r="653">
          <cell r="B653" t="str">
            <v>Zm. poczatkowych nakładów inwestycyjnych netto</v>
          </cell>
          <cell r="N653" t="str">
            <v>+/-</v>
          </cell>
          <cell r="W653">
            <v>0</v>
          </cell>
          <cell r="X653" t="str">
            <v>%</v>
          </cell>
          <cell r="AA653">
            <v>1</v>
          </cell>
          <cell r="AB653">
            <v>1</v>
          </cell>
          <cell r="AC653">
            <v>1</v>
          </cell>
          <cell r="AD653">
            <v>1</v>
          </cell>
          <cell r="AE653">
            <v>1</v>
          </cell>
          <cell r="AF653">
            <v>1</v>
          </cell>
          <cell r="AG653">
            <v>1</v>
          </cell>
          <cell r="AH653">
            <v>1</v>
          </cell>
          <cell r="AI653">
            <v>1</v>
          </cell>
          <cell r="AJ653">
            <v>1</v>
          </cell>
          <cell r="AK653">
            <v>1</v>
          </cell>
          <cell r="AL653">
            <v>1</v>
          </cell>
          <cell r="AM653">
            <v>1</v>
          </cell>
          <cell r="AN653">
            <v>1</v>
          </cell>
          <cell r="AO653">
            <v>1</v>
          </cell>
          <cell r="AP653">
            <v>1</v>
          </cell>
          <cell r="AQ653">
            <v>1</v>
          </cell>
          <cell r="AR653">
            <v>1</v>
          </cell>
          <cell r="AS653">
            <v>1</v>
          </cell>
          <cell r="AT653">
            <v>1</v>
          </cell>
          <cell r="AU653">
            <v>1</v>
          </cell>
          <cell r="AV653">
            <v>1</v>
          </cell>
          <cell r="AW653">
            <v>1</v>
          </cell>
          <cell r="AX653">
            <v>1</v>
          </cell>
          <cell r="AY653">
            <v>1</v>
          </cell>
          <cell r="AZ653">
            <v>1</v>
          </cell>
          <cell r="BA653">
            <v>1</v>
          </cell>
          <cell r="BB653">
            <v>1</v>
          </cell>
          <cell r="BC653">
            <v>1</v>
          </cell>
          <cell r="BD653">
            <v>1</v>
          </cell>
          <cell r="BE653">
            <v>1</v>
          </cell>
          <cell r="BF653">
            <v>1</v>
          </cell>
          <cell r="BG653">
            <v>1</v>
          </cell>
          <cell r="BH653">
            <v>1</v>
          </cell>
          <cell r="BI653">
            <v>1</v>
          </cell>
          <cell r="BJ653">
            <v>1</v>
          </cell>
          <cell r="BK653">
            <v>1</v>
          </cell>
          <cell r="BL653">
            <v>1</v>
          </cell>
        </row>
        <row r="654">
          <cell r="B654" t="str">
            <v>Zm. kosztów operacyjnych</v>
          </cell>
          <cell r="N654" t="str">
            <v>+/-</v>
          </cell>
          <cell r="W654">
            <v>0</v>
          </cell>
          <cell r="X654" t="str">
            <v>%</v>
          </cell>
          <cell r="AA654">
            <v>1</v>
          </cell>
          <cell r="AB654">
            <v>1</v>
          </cell>
          <cell r="AC654">
            <v>1</v>
          </cell>
          <cell r="AD654">
            <v>1</v>
          </cell>
          <cell r="AE654">
            <v>1</v>
          </cell>
          <cell r="AF654">
            <v>1</v>
          </cell>
          <cell r="AG654">
            <v>1</v>
          </cell>
          <cell r="AH654">
            <v>1</v>
          </cell>
          <cell r="AI654">
            <v>1</v>
          </cell>
          <cell r="AJ654">
            <v>1</v>
          </cell>
          <cell r="AK654">
            <v>1</v>
          </cell>
          <cell r="AL654">
            <v>1</v>
          </cell>
          <cell r="AM654">
            <v>1</v>
          </cell>
          <cell r="AN654">
            <v>1</v>
          </cell>
          <cell r="AO654">
            <v>1</v>
          </cell>
          <cell r="AP654">
            <v>1</v>
          </cell>
          <cell r="AQ654">
            <v>1</v>
          </cell>
          <cell r="AR654">
            <v>1</v>
          </cell>
          <cell r="AS654">
            <v>1</v>
          </cell>
          <cell r="AT654">
            <v>1</v>
          </cell>
          <cell r="AU654">
            <v>1</v>
          </cell>
          <cell r="AV654">
            <v>1</v>
          </cell>
          <cell r="AW654">
            <v>1</v>
          </cell>
          <cell r="AX654">
            <v>1</v>
          </cell>
          <cell r="AY654">
            <v>1</v>
          </cell>
          <cell r="AZ654">
            <v>1</v>
          </cell>
          <cell r="BA654">
            <v>1</v>
          </cell>
          <cell r="BB654">
            <v>1</v>
          </cell>
          <cell r="BC654">
            <v>1</v>
          </cell>
          <cell r="BD654">
            <v>1</v>
          </cell>
          <cell r="BE654">
            <v>1</v>
          </cell>
          <cell r="BF654">
            <v>1</v>
          </cell>
          <cell r="BG654">
            <v>1</v>
          </cell>
          <cell r="BH654">
            <v>1</v>
          </cell>
          <cell r="BI654">
            <v>1</v>
          </cell>
          <cell r="BJ654">
            <v>1</v>
          </cell>
          <cell r="BK654">
            <v>1</v>
          </cell>
          <cell r="BL654">
            <v>1</v>
          </cell>
        </row>
        <row r="655">
          <cell r="B655" t="str">
            <v>Zm. ceny energii cieplnej</v>
          </cell>
          <cell r="N655" t="str">
            <v>+/-</v>
          </cell>
          <cell r="W655">
            <v>0</v>
          </cell>
          <cell r="X655" t="str">
            <v>%</v>
          </cell>
          <cell r="AA655">
            <v>1</v>
          </cell>
          <cell r="AB655">
            <v>1</v>
          </cell>
          <cell r="AC655">
            <v>1</v>
          </cell>
          <cell r="AD655">
            <v>1</v>
          </cell>
          <cell r="AE655">
            <v>1</v>
          </cell>
          <cell r="AF655">
            <v>1</v>
          </cell>
          <cell r="AG655">
            <v>1</v>
          </cell>
          <cell r="AH655">
            <v>1</v>
          </cell>
          <cell r="AI655">
            <v>1</v>
          </cell>
          <cell r="AJ655">
            <v>1</v>
          </cell>
          <cell r="AK655">
            <v>1</v>
          </cell>
          <cell r="AL655">
            <v>1</v>
          </cell>
          <cell r="AM655">
            <v>1</v>
          </cell>
          <cell r="AN655">
            <v>1</v>
          </cell>
          <cell r="AO655">
            <v>1</v>
          </cell>
          <cell r="AP655">
            <v>1</v>
          </cell>
          <cell r="AQ655">
            <v>1</v>
          </cell>
          <cell r="AR655">
            <v>1</v>
          </cell>
          <cell r="AS655">
            <v>1</v>
          </cell>
          <cell r="AT655">
            <v>1</v>
          </cell>
          <cell r="AU655">
            <v>1</v>
          </cell>
          <cell r="AV655">
            <v>1</v>
          </cell>
          <cell r="AW655">
            <v>1</v>
          </cell>
          <cell r="AX655">
            <v>1</v>
          </cell>
          <cell r="AY655">
            <v>1</v>
          </cell>
          <cell r="AZ655">
            <v>1</v>
          </cell>
          <cell r="BA655">
            <v>1</v>
          </cell>
          <cell r="BB655">
            <v>1</v>
          </cell>
          <cell r="BC655">
            <v>1</v>
          </cell>
          <cell r="BD655">
            <v>1</v>
          </cell>
          <cell r="BE655">
            <v>1</v>
          </cell>
          <cell r="BF655">
            <v>1</v>
          </cell>
          <cell r="BG655">
            <v>1</v>
          </cell>
          <cell r="BH655">
            <v>1</v>
          </cell>
          <cell r="BI655">
            <v>1</v>
          </cell>
          <cell r="BJ655">
            <v>1</v>
          </cell>
          <cell r="BK655">
            <v>1</v>
          </cell>
          <cell r="BL655">
            <v>1</v>
          </cell>
        </row>
        <row r="656">
          <cell r="B656" t="str">
            <v>Zm. ceny energii elektrycznej</v>
          </cell>
          <cell r="N656" t="str">
            <v>+/-</v>
          </cell>
          <cell r="W656">
            <v>0</v>
          </cell>
          <cell r="X656" t="str">
            <v>%</v>
          </cell>
          <cell r="AA656">
            <v>1</v>
          </cell>
          <cell r="AB656">
            <v>1</v>
          </cell>
          <cell r="AC656">
            <v>1</v>
          </cell>
          <cell r="AD656">
            <v>1</v>
          </cell>
          <cell r="AE656">
            <v>1</v>
          </cell>
          <cell r="AF656">
            <v>1</v>
          </cell>
          <cell r="AG656">
            <v>1</v>
          </cell>
          <cell r="AH656">
            <v>1</v>
          </cell>
          <cell r="AI656">
            <v>1</v>
          </cell>
          <cell r="AJ656">
            <v>1</v>
          </cell>
          <cell r="AK656">
            <v>1</v>
          </cell>
          <cell r="AL656">
            <v>1</v>
          </cell>
          <cell r="AM656">
            <v>1</v>
          </cell>
          <cell r="AN656">
            <v>1</v>
          </cell>
          <cell r="AO656">
            <v>1</v>
          </cell>
          <cell r="AP656">
            <v>1</v>
          </cell>
          <cell r="AQ656">
            <v>1</v>
          </cell>
          <cell r="AR656">
            <v>1</v>
          </cell>
          <cell r="AS656">
            <v>1</v>
          </cell>
          <cell r="AT656">
            <v>1</v>
          </cell>
          <cell r="AU656">
            <v>1</v>
          </cell>
          <cell r="AV656">
            <v>1</v>
          </cell>
          <cell r="AW656">
            <v>1</v>
          </cell>
          <cell r="AX656">
            <v>1</v>
          </cell>
          <cell r="AY656">
            <v>1</v>
          </cell>
          <cell r="AZ656">
            <v>1</v>
          </cell>
          <cell r="BA656">
            <v>1</v>
          </cell>
          <cell r="BB656">
            <v>1</v>
          </cell>
          <cell r="BC656">
            <v>1</v>
          </cell>
          <cell r="BD656">
            <v>1</v>
          </cell>
          <cell r="BE656">
            <v>1</v>
          </cell>
          <cell r="BF656">
            <v>1</v>
          </cell>
          <cell r="BG656">
            <v>1</v>
          </cell>
          <cell r="BH656">
            <v>1</v>
          </cell>
          <cell r="BI656">
            <v>1</v>
          </cell>
          <cell r="BJ656">
            <v>1</v>
          </cell>
          <cell r="BK656">
            <v>1</v>
          </cell>
          <cell r="BL656">
            <v>1</v>
          </cell>
        </row>
        <row r="657">
          <cell r="B657" t="str">
            <v>Zm. ceny opłaty na bramie</v>
          </cell>
          <cell r="N657" t="str">
            <v>+/-</v>
          </cell>
          <cell r="W657">
            <v>0</v>
          </cell>
          <cell r="X657" t="str">
            <v>%</v>
          </cell>
          <cell r="AA657">
            <v>1</v>
          </cell>
          <cell r="AB657">
            <v>1</v>
          </cell>
          <cell r="AC657">
            <v>1</v>
          </cell>
          <cell r="AD657">
            <v>1</v>
          </cell>
          <cell r="AE657">
            <v>1</v>
          </cell>
          <cell r="AF657">
            <v>1</v>
          </cell>
          <cell r="AG657">
            <v>1</v>
          </cell>
          <cell r="AH657">
            <v>1</v>
          </cell>
          <cell r="AI657">
            <v>1</v>
          </cell>
          <cell r="AJ657">
            <v>1</v>
          </cell>
          <cell r="AK657">
            <v>1</v>
          </cell>
          <cell r="AL657">
            <v>1</v>
          </cell>
          <cell r="AM657">
            <v>1</v>
          </cell>
          <cell r="AN657">
            <v>1</v>
          </cell>
          <cell r="AO657">
            <v>1</v>
          </cell>
          <cell r="AP657">
            <v>1</v>
          </cell>
          <cell r="AQ657">
            <v>1</v>
          </cell>
          <cell r="AR657">
            <v>1</v>
          </cell>
          <cell r="AS657">
            <v>1</v>
          </cell>
          <cell r="AT657">
            <v>1</v>
          </cell>
          <cell r="AU657">
            <v>1</v>
          </cell>
          <cell r="AV657">
            <v>1</v>
          </cell>
          <cell r="AW657">
            <v>1</v>
          </cell>
          <cell r="AX657">
            <v>1</v>
          </cell>
          <cell r="AY657">
            <v>1</v>
          </cell>
          <cell r="AZ657">
            <v>1</v>
          </cell>
          <cell r="BA657">
            <v>1</v>
          </cell>
          <cell r="BB657">
            <v>1</v>
          </cell>
          <cell r="BC657">
            <v>1</v>
          </cell>
          <cell r="BD657">
            <v>1</v>
          </cell>
          <cell r="BE657">
            <v>1</v>
          </cell>
          <cell r="BF657">
            <v>1</v>
          </cell>
          <cell r="BG657">
            <v>1</v>
          </cell>
          <cell r="BH657">
            <v>1</v>
          </cell>
          <cell r="BI657">
            <v>1</v>
          </cell>
          <cell r="BJ657">
            <v>1</v>
          </cell>
          <cell r="BK657">
            <v>1</v>
          </cell>
          <cell r="BL657">
            <v>1</v>
          </cell>
        </row>
      </sheetData>
      <sheetData sheetId="6">
        <row r="79">
          <cell r="B79" t="str">
            <v>Skumulowane dyskonto</v>
          </cell>
          <cell r="X79" t="str">
            <v>mnożnik</v>
          </cell>
          <cell r="Z79">
            <v>1</v>
          </cell>
          <cell r="AA79">
            <v>0.84674005080440307</v>
          </cell>
          <cell r="AB79">
            <v>0.76351672750622457</v>
          </cell>
          <cell r="AC79">
            <v>0.70370205300112865</v>
          </cell>
          <cell r="AD79">
            <v>0.65460656093128244</v>
          </cell>
          <cell r="AE79">
            <v>0.60893633575003026</v>
          </cell>
          <cell r="AF79">
            <v>0.56645240534886543</v>
          </cell>
          <cell r="AG79">
            <v>0.52693247009196786</v>
          </cell>
          <cell r="AH79">
            <v>0.49016973962043525</v>
          </cell>
          <cell r="AI79">
            <v>0.45597185080970726</v>
          </cell>
          <cell r="AJ79">
            <v>0.42415986121833232</v>
          </cell>
          <cell r="AK79">
            <v>0.39456731276123941</v>
          </cell>
          <cell r="AL79">
            <v>0.3670393607081297</v>
          </cell>
          <cell r="AM79">
            <v>0.341431963449423</v>
          </cell>
          <cell r="AN79">
            <v>0.31761112879016096</v>
          </cell>
          <cell r="AO79">
            <v>0.29545221282805673</v>
          </cell>
          <cell r="AP79">
            <v>0.27483926774702955</v>
          </cell>
          <cell r="AQ79">
            <v>0.25566443511351589</v>
          </cell>
          <cell r="AR79">
            <v>0.23782738150094501</v>
          </cell>
          <cell r="AS79">
            <v>0.22123477348925119</v>
          </cell>
          <cell r="AT79">
            <v>0.2057997892923267</v>
          </cell>
          <cell r="AU79">
            <v>0.19144166445797833</v>
          </cell>
          <cell r="AV79">
            <v>0.17808526926323567</v>
          </cell>
          <cell r="AW79">
            <v>0.1656607155937076</v>
          </cell>
          <cell r="AX79">
            <v>0.15410299124996057</v>
          </cell>
          <cell r="AY79">
            <v>0.14335161976740518</v>
          </cell>
          <cell r="AZ79">
            <v>0.13335034396967924</v>
          </cell>
          <cell r="BA79">
            <v>0.12404683159970162</v>
          </cell>
          <cell r="BB79">
            <v>0.11539240148809453</v>
          </cell>
          <cell r="BC79">
            <v>0.10734176882613446</v>
          </cell>
          <cell r="BD79">
            <v>9.9852808210357635E-2</v>
          </cell>
          <cell r="BE79">
            <v>9.2886333218937342E-2</v>
          </cell>
          <cell r="BF79">
            <v>8.6405891366453338E-2</v>
          </cell>
          <cell r="BG79">
            <v>8.037757336414264E-2</v>
          </cell>
          <cell r="BH79">
            <v>7.4769835687574546E-2</v>
          </cell>
          <cell r="BI79">
            <v>6.9553335523325155E-2</v>
          </cell>
          <cell r="BJ79">
            <v>6.4700777231000151E-2</v>
          </cell>
          <cell r="BK79">
            <v>6.0186769517209443E-2</v>
          </cell>
          <cell r="BL79">
            <v>5.5987692574148325E-2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26">
          <cell r="J26">
            <v>0.23</v>
          </cell>
        </row>
        <row r="27">
          <cell r="J27">
            <v>0.19</v>
          </cell>
        </row>
        <row r="36">
          <cell r="J36">
            <v>3.6</v>
          </cell>
        </row>
        <row r="78">
          <cell r="J78">
            <v>1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bip.mos.gov.pl/fileadmin/user_upload/bip/Energetyka/Wytyczne_EPC_dla_sektora_publicznego/Wytyczne_EPC.pdf" TargetMode="External"/><Relationship Id="rId2" Type="http://schemas.openxmlformats.org/officeDocument/2006/relationships/hyperlink" Target="https://www.ppp.gov.pl/czym-jest-ppp/" TargetMode="External"/><Relationship Id="rId1" Type="http://schemas.openxmlformats.org/officeDocument/2006/relationships/hyperlink" Target="https://www.ppp.gov.pl/kalkulator-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ov.pl/web/finanse/wytyczne-sytuacja-makroekonomiczn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CD543-6D90-40C9-9604-A4E3DC9DEF25}">
  <sheetPr codeName="Sheet12">
    <tabColor theme="3" tint="-0.499984740745262"/>
    <pageSetUpPr fitToPage="1"/>
  </sheetPr>
  <dimension ref="A1:T65"/>
  <sheetViews>
    <sheetView tabSelected="1" zoomScale="90" zoomScaleNormal="90" zoomScaleSheetLayoutView="100" zoomScalePageLayoutView="85" workbookViewId="0"/>
  </sheetViews>
  <sheetFormatPr defaultColWidth="0" defaultRowHeight="15" customHeight="1" zeroHeight="1" x14ac:dyDescent="0.35"/>
  <cols>
    <col min="1" max="1" width="2.54296875" customWidth="1"/>
    <col min="2" max="2" width="20" bestFit="1" customWidth="1"/>
    <col min="3" max="3" width="17.81640625" bestFit="1" customWidth="1"/>
    <col min="4" max="4" width="2.7265625" customWidth="1"/>
    <col min="5" max="6" width="11.7265625" customWidth="1"/>
    <col min="7" max="7" width="23" customWidth="1"/>
    <col min="8" max="8" width="14.453125" customWidth="1"/>
    <col min="9" max="9" width="17.453125" customWidth="1"/>
    <col min="10" max="10" width="4" customWidth="1"/>
    <col min="11" max="20" width="0" hidden="1" customWidth="1"/>
    <col min="21" max="16384" width="8.7265625" hidden="1"/>
  </cols>
  <sheetData>
    <row r="1" spans="1:10" ht="14.5" x14ac:dyDescent="0.35">
      <c r="A1" s="79"/>
      <c r="B1" s="79"/>
      <c r="C1" s="79"/>
      <c r="D1" s="79"/>
      <c r="E1" s="79"/>
      <c r="F1" s="79"/>
      <c r="G1" s="79"/>
      <c r="H1" s="79"/>
      <c r="I1" s="79"/>
      <c r="J1" s="79"/>
    </row>
    <row r="2" spans="1:10" ht="14.5" x14ac:dyDescent="0.35">
      <c r="A2" s="79"/>
      <c r="B2" s="79"/>
      <c r="C2" s="79"/>
      <c r="D2" s="79"/>
      <c r="E2" s="79"/>
      <c r="F2" s="79"/>
      <c r="G2" s="79"/>
      <c r="H2" s="79"/>
      <c r="I2" s="79"/>
      <c r="J2" s="79"/>
    </row>
    <row r="3" spans="1:10" ht="14.5" x14ac:dyDescent="0.35">
      <c r="A3" s="79"/>
      <c r="B3" s="79"/>
      <c r="C3" s="79"/>
      <c r="D3" s="79"/>
      <c r="E3" s="79"/>
      <c r="F3" s="79"/>
      <c r="G3" s="79"/>
      <c r="H3" s="79"/>
      <c r="I3" s="79"/>
      <c r="J3" s="79"/>
    </row>
    <row r="4" spans="1:10" ht="14.5" x14ac:dyDescent="0.35">
      <c r="A4" s="79"/>
      <c r="B4" s="79"/>
      <c r="C4" s="79"/>
      <c r="D4" s="79"/>
      <c r="E4" s="79"/>
      <c r="F4" s="79"/>
      <c r="G4" s="79"/>
      <c r="H4" s="79"/>
      <c r="I4" s="79"/>
      <c r="J4" s="79"/>
    </row>
    <row r="5" spans="1:10" ht="14.5" x14ac:dyDescent="0.35">
      <c r="A5" s="79"/>
      <c r="B5" s="79"/>
      <c r="C5" s="79"/>
      <c r="D5" s="79"/>
      <c r="E5" s="79"/>
      <c r="F5" s="79"/>
      <c r="G5" s="79"/>
      <c r="H5" s="79"/>
      <c r="I5" s="79"/>
      <c r="J5" s="79"/>
    </row>
    <row r="6" spans="1:10" ht="14.5" x14ac:dyDescent="0.35">
      <c r="A6" s="79"/>
      <c r="B6" s="79"/>
      <c r="C6" s="79"/>
      <c r="D6" s="79"/>
      <c r="E6" s="79"/>
      <c r="F6" s="79"/>
      <c r="G6" s="79"/>
      <c r="H6" s="79"/>
      <c r="I6" s="79"/>
      <c r="J6" s="79"/>
    </row>
    <row r="7" spans="1:10" ht="14.5" x14ac:dyDescent="0.35">
      <c r="A7" s="79"/>
      <c r="B7" s="79"/>
      <c r="C7" s="79"/>
      <c r="D7" s="79"/>
      <c r="E7" s="79"/>
      <c r="F7" s="79"/>
      <c r="G7" s="79"/>
      <c r="H7" s="79"/>
      <c r="I7" s="79"/>
      <c r="J7" s="79"/>
    </row>
    <row r="8" spans="1:10" ht="14.5" x14ac:dyDescent="0.35">
      <c r="A8" s="79"/>
      <c r="B8" s="79"/>
      <c r="C8" s="79"/>
      <c r="D8" s="79"/>
      <c r="E8" s="79"/>
      <c r="F8" s="79"/>
      <c r="G8" s="79"/>
      <c r="H8" s="79"/>
      <c r="I8" s="79"/>
      <c r="J8" s="79"/>
    </row>
    <row r="9" spans="1:10" ht="14.5" x14ac:dyDescent="0.35">
      <c r="A9" s="79"/>
      <c r="B9" s="85" t="s">
        <v>220</v>
      </c>
      <c r="C9" s="86"/>
      <c r="D9" s="86"/>
      <c r="E9" s="86"/>
      <c r="F9" s="86"/>
      <c r="G9" s="86"/>
      <c r="H9" s="87"/>
      <c r="I9" s="87"/>
      <c r="J9" s="79"/>
    </row>
    <row r="10" spans="1:10" s="90" customFormat="1" ht="6.75" customHeight="1" x14ac:dyDescent="0.35">
      <c r="A10" s="89"/>
      <c r="B10" s="89"/>
      <c r="C10" s="89"/>
      <c r="D10" s="89"/>
      <c r="E10" s="89"/>
      <c r="F10" s="89"/>
      <c r="G10" s="89"/>
      <c r="H10" s="89"/>
      <c r="I10" s="89"/>
      <c r="J10" s="89"/>
    </row>
    <row r="11" spans="1:10" s="90" customFormat="1" ht="14.5" x14ac:dyDescent="0.35">
      <c r="A11" s="89"/>
      <c r="B11" s="149" t="s">
        <v>221</v>
      </c>
      <c r="C11" s="149"/>
      <c r="D11" s="149"/>
      <c r="E11" s="149"/>
      <c r="F11" s="149"/>
      <c r="G11" s="149"/>
      <c r="H11" s="149"/>
      <c r="I11" s="149"/>
      <c r="J11" s="89"/>
    </row>
    <row r="12" spans="1:10" ht="6.75" customHeight="1" x14ac:dyDescent="0.35">
      <c r="A12" s="79"/>
      <c r="B12" s="79"/>
      <c r="C12" s="79"/>
      <c r="D12" s="79"/>
      <c r="E12" s="79"/>
      <c r="F12" s="79"/>
      <c r="G12" s="79"/>
      <c r="H12" s="79"/>
      <c r="I12" s="79"/>
      <c r="J12" s="79"/>
    </row>
    <row r="13" spans="1:10" ht="14.5" x14ac:dyDescent="0.35">
      <c r="A13" s="79"/>
      <c r="B13" s="85" t="s">
        <v>247</v>
      </c>
      <c r="C13" s="86"/>
      <c r="D13" s="86"/>
      <c r="E13" s="86"/>
      <c r="F13" s="86"/>
      <c r="G13" s="86"/>
      <c r="H13" s="86"/>
      <c r="I13" s="86"/>
      <c r="J13" s="79"/>
    </row>
    <row r="14" spans="1:10" ht="26.25" customHeight="1" x14ac:dyDescent="0.35">
      <c r="A14" s="79"/>
      <c r="B14" s="146" t="s">
        <v>219</v>
      </c>
      <c r="C14" s="146"/>
      <c r="D14" s="146"/>
      <c r="E14" s="146"/>
      <c r="F14" s="146"/>
      <c r="G14" s="146"/>
      <c r="H14" s="146"/>
      <c r="I14" s="146"/>
      <c r="J14" s="79"/>
    </row>
    <row r="15" spans="1:10" ht="51" customHeight="1" x14ac:dyDescent="0.35">
      <c r="A15" s="79"/>
      <c r="B15" s="148" t="s">
        <v>245</v>
      </c>
      <c r="C15" s="148"/>
      <c r="D15" s="148"/>
      <c r="E15" s="148"/>
      <c r="F15" s="148"/>
      <c r="G15" s="148"/>
      <c r="H15" s="148"/>
      <c r="I15" s="148"/>
      <c r="J15" s="79"/>
    </row>
    <row r="16" spans="1:10" ht="28.5" customHeight="1" x14ac:dyDescent="0.35">
      <c r="A16" s="79"/>
      <c r="B16" s="148" t="s">
        <v>211</v>
      </c>
      <c r="C16" s="148"/>
      <c r="D16" s="148"/>
      <c r="E16" s="148"/>
      <c r="F16" s="148"/>
      <c r="G16" s="148"/>
      <c r="H16" s="148"/>
      <c r="I16" s="148"/>
      <c r="J16" s="79"/>
    </row>
    <row r="17" spans="1:10" ht="14.5" x14ac:dyDescent="0.35">
      <c r="A17" s="79"/>
      <c r="B17" s="148" t="s">
        <v>212</v>
      </c>
      <c r="C17" s="148"/>
      <c r="D17" s="148"/>
      <c r="E17" s="148"/>
      <c r="F17" s="148"/>
      <c r="G17" s="148"/>
      <c r="H17" s="148"/>
      <c r="I17" s="148"/>
      <c r="J17" s="79"/>
    </row>
    <row r="18" spans="1:10" ht="14.5" x14ac:dyDescent="0.35">
      <c r="A18" s="79"/>
      <c r="B18" s="79"/>
      <c r="C18" s="79"/>
      <c r="D18" s="79"/>
      <c r="E18" s="79"/>
      <c r="F18" s="79"/>
      <c r="G18" s="79"/>
      <c r="H18" s="79"/>
      <c r="I18" s="79"/>
      <c r="J18" s="79"/>
    </row>
    <row r="19" spans="1:10" ht="14.5" x14ac:dyDescent="0.35">
      <c r="A19" s="79"/>
      <c r="B19" s="85" t="s">
        <v>194</v>
      </c>
      <c r="C19" s="86"/>
      <c r="D19" s="86"/>
      <c r="E19" s="86"/>
      <c r="F19" s="86"/>
      <c r="G19" s="86"/>
      <c r="H19" s="86"/>
      <c r="I19" s="86"/>
      <c r="J19" s="79"/>
    </row>
    <row r="20" spans="1:10" ht="13.9" customHeight="1" x14ac:dyDescent="0.35">
      <c r="A20" s="79"/>
      <c r="B20" s="136" t="s">
        <v>195</v>
      </c>
      <c r="C20" s="136" t="s">
        <v>196</v>
      </c>
      <c r="D20" s="136"/>
      <c r="E20" s="136" t="s">
        <v>197</v>
      </c>
      <c r="F20" s="136"/>
      <c r="G20" s="136"/>
      <c r="H20" s="136"/>
      <c r="I20" s="136"/>
      <c r="J20" s="79"/>
    </row>
    <row r="21" spans="1:10" ht="27" customHeight="1" x14ac:dyDescent="0.35">
      <c r="A21" s="79"/>
      <c r="B21" s="82" t="s">
        <v>204</v>
      </c>
      <c r="C21" s="80" t="s">
        <v>198</v>
      </c>
      <c r="D21" s="81"/>
      <c r="E21" s="146" t="s">
        <v>217</v>
      </c>
      <c r="F21" s="146"/>
      <c r="G21" s="146"/>
      <c r="H21" s="146"/>
      <c r="I21" s="146"/>
      <c r="J21" s="79"/>
    </row>
    <row r="22" spans="1:10" ht="27.75" customHeight="1" x14ac:dyDescent="0.35">
      <c r="A22" s="79"/>
      <c r="B22" s="82" t="s">
        <v>199</v>
      </c>
      <c r="C22" s="80" t="s">
        <v>200</v>
      </c>
      <c r="D22" s="81"/>
      <c r="E22" s="148" t="s">
        <v>218</v>
      </c>
      <c r="F22" s="148"/>
      <c r="G22" s="148"/>
      <c r="H22" s="148"/>
      <c r="I22" s="148"/>
      <c r="J22" s="79"/>
    </row>
    <row r="23" spans="1:10" ht="25.5" customHeight="1" x14ac:dyDescent="0.35">
      <c r="A23" s="79"/>
      <c r="B23" s="82" t="s">
        <v>248</v>
      </c>
      <c r="C23" s="80" t="s">
        <v>200</v>
      </c>
      <c r="D23" s="81"/>
      <c r="E23" s="150" t="s">
        <v>264</v>
      </c>
      <c r="F23" s="150"/>
      <c r="G23" s="150"/>
      <c r="H23" s="150"/>
      <c r="I23" s="150"/>
      <c r="J23" s="79"/>
    </row>
    <row r="24" spans="1:10" ht="15" customHeight="1" x14ac:dyDescent="0.35">
      <c r="A24" s="79"/>
      <c r="B24" s="82" t="s">
        <v>205</v>
      </c>
      <c r="C24" s="127" t="s">
        <v>261</v>
      </c>
      <c r="D24" s="83"/>
      <c r="E24" s="148" t="s">
        <v>214</v>
      </c>
      <c r="F24" s="148"/>
      <c r="G24" s="148"/>
      <c r="H24" s="148"/>
      <c r="I24" s="148"/>
      <c r="J24" s="79"/>
    </row>
    <row r="25" spans="1:10" ht="15" customHeight="1" x14ac:dyDescent="0.35">
      <c r="A25" s="79"/>
      <c r="B25" s="82" t="s">
        <v>206</v>
      </c>
      <c r="C25" s="127" t="s">
        <v>261</v>
      </c>
      <c r="D25" s="81"/>
      <c r="E25" s="148" t="s">
        <v>215</v>
      </c>
      <c r="F25" s="148"/>
      <c r="G25" s="148"/>
      <c r="H25" s="148"/>
      <c r="I25" s="148"/>
      <c r="J25" s="79"/>
    </row>
    <row r="26" spans="1:10" ht="15" customHeight="1" x14ac:dyDescent="0.35">
      <c r="A26" s="79"/>
      <c r="B26" s="82" t="s">
        <v>207</v>
      </c>
      <c r="C26" s="128" t="s">
        <v>261</v>
      </c>
      <c r="D26" s="83"/>
      <c r="E26" s="148" t="s">
        <v>216</v>
      </c>
      <c r="F26" s="148"/>
      <c r="G26" s="148"/>
      <c r="H26" s="148"/>
      <c r="I26" s="148"/>
      <c r="J26" s="79"/>
    </row>
    <row r="27" spans="1:10" ht="14.5" x14ac:dyDescent="0.35">
      <c r="A27" s="79"/>
      <c r="B27" s="82" t="s">
        <v>208</v>
      </c>
      <c r="C27" s="127" t="s">
        <v>262</v>
      </c>
      <c r="D27" s="83"/>
      <c r="E27" s="148" t="s">
        <v>213</v>
      </c>
      <c r="F27" s="148"/>
      <c r="G27" s="148"/>
      <c r="H27" s="148"/>
      <c r="I27" s="148"/>
      <c r="J27" s="79"/>
    </row>
    <row r="28" spans="1:10" ht="14.5" x14ac:dyDescent="0.35">
      <c r="A28" s="79"/>
      <c r="B28" s="84"/>
      <c r="C28" s="84"/>
      <c r="D28" s="84"/>
      <c r="E28" s="84"/>
      <c r="F28" s="84"/>
      <c r="G28" s="84"/>
      <c r="H28" s="84"/>
      <c r="I28" s="84"/>
      <c r="J28" s="79"/>
    </row>
    <row r="29" spans="1:10" ht="14.5" x14ac:dyDescent="0.35">
      <c r="A29" s="79"/>
      <c r="B29" s="85" t="s">
        <v>201</v>
      </c>
      <c r="C29" s="86"/>
      <c r="D29" s="86"/>
      <c r="E29" s="86"/>
      <c r="F29" s="86"/>
      <c r="G29" s="86"/>
      <c r="H29" s="87"/>
      <c r="I29" s="87"/>
      <c r="J29" s="79"/>
    </row>
    <row r="30" spans="1:10" ht="5.25" customHeight="1" x14ac:dyDescent="0.35">
      <c r="A30" s="79"/>
      <c r="B30" s="79"/>
      <c r="C30" s="79"/>
      <c r="D30" s="79"/>
      <c r="E30" s="79"/>
      <c r="F30" s="79"/>
      <c r="G30" s="79"/>
      <c r="H30" s="79"/>
      <c r="I30" s="79"/>
      <c r="J30" s="79"/>
    </row>
    <row r="31" spans="1:10" ht="14.5" x14ac:dyDescent="0.35">
      <c r="A31" s="79"/>
      <c r="B31" s="146" t="s">
        <v>209</v>
      </c>
      <c r="C31" s="146"/>
      <c r="D31" s="146"/>
      <c r="E31" s="146"/>
      <c r="F31" s="146"/>
      <c r="G31" s="146"/>
      <c r="H31" s="147"/>
      <c r="I31" s="70"/>
      <c r="J31" s="79"/>
    </row>
    <row r="32" spans="1:10" ht="14.5" x14ac:dyDescent="0.35">
      <c r="A32" s="79"/>
      <c r="B32" s="148" t="s">
        <v>210</v>
      </c>
      <c r="C32" s="148"/>
      <c r="D32" s="148"/>
      <c r="E32" s="148"/>
      <c r="F32" s="148"/>
      <c r="G32" s="148"/>
      <c r="H32" s="148"/>
      <c r="I32" s="69"/>
      <c r="J32" s="79"/>
    </row>
    <row r="33" spans="1:10" ht="14.5" x14ac:dyDescent="0.35">
      <c r="A33" s="79"/>
      <c r="B33" s="148" t="s">
        <v>202</v>
      </c>
      <c r="C33" s="148"/>
      <c r="D33" s="148"/>
      <c r="E33" s="148"/>
      <c r="F33" s="148"/>
      <c r="G33" s="148"/>
      <c r="H33" s="148"/>
      <c r="I33" s="25"/>
      <c r="J33" s="79"/>
    </row>
    <row r="34" spans="1:10" ht="14.5" x14ac:dyDescent="0.35">
      <c r="A34" s="79"/>
      <c r="B34" s="148" t="s">
        <v>203</v>
      </c>
      <c r="C34" s="148"/>
      <c r="D34" s="148"/>
      <c r="E34" s="148"/>
      <c r="F34" s="148"/>
      <c r="G34" s="148"/>
      <c r="H34" s="148"/>
      <c r="I34" s="23"/>
      <c r="J34" s="79"/>
    </row>
    <row r="35" spans="1:10" ht="14.5" x14ac:dyDescent="0.35">
      <c r="A35" s="79"/>
      <c r="B35" s="79"/>
      <c r="C35" s="79"/>
      <c r="D35" s="79"/>
      <c r="E35" s="79"/>
      <c r="F35" s="79"/>
      <c r="G35" s="79"/>
      <c r="H35" s="79"/>
      <c r="I35" s="79"/>
      <c r="J35" s="79"/>
    </row>
    <row r="36" spans="1:10" ht="14.5" x14ac:dyDescent="0.35">
      <c r="A36" s="79"/>
      <c r="B36" s="85" t="s">
        <v>266</v>
      </c>
      <c r="C36" s="86"/>
      <c r="D36" s="86"/>
      <c r="E36" s="86"/>
      <c r="F36" s="86"/>
      <c r="G36" s="86"/>
      <c r="H36" s="87"/>
      <c r="I36" s="87"/>
      <c r="J36" s="79"/>
    </row>
    <row r="37" spans="1:10" ht="15" customHeight="1" x14ac:dyDescent="0.35">
      <c r="A37" s="79"/>
      <c r="B37" s="144" t="s">
        <v>269</v>
      </c>
      <c r="C37" s="144"/>
      <c r="D37" s="144"/>
      <c r="E37" s="144"/>
      <c r="F37" s="144"/>
      <c r="G37" s="144"/>
      <c r="H37" s="144"/>
      <c r="I37" s="144"/>
      <c r="J37" s="79"/>
    </row>
    <row r="38" spans="1:10" ht="15" customHeight="1" x14ac:dyDescent="0.35">
      <c r="A38" s="79"/>
      <c r="B38" s="145" t="s">
        <v>268</v>
      </c>
      <c r="C38" s="145"/>
      <c r="D38" s="145"/>
      <c r="E38" s="145"/>
      <c r="F38" s="145"/>
      <c r="G38" s="145"/>
      <c r="H38" s="145"/>
      <c r="I38" s="145"/>
      <c r="J38" s="79"/>
    </row>
    <row r="39" spans="1:10" ht="14.5" x14ac:dyDescent="0.35">
      <c r="A39" s="79"/>
      <c r="B39" s="145" t="s">
        <v>267</v>
      </c>
      <c r="C39" s="145"/>
      <c r="D39" s="145"/>
      <c r="E39" s="145"/>
      <c r="F39" s="145"/>
      <c r="G39" s="145"/>
      <c r="H39" s="145"/>
      <c r="I39" s="145"/>
      <c r="J39" s="79"/>
    </row>
    <row r="40" spans="1:10" s="90" customFormat="1" ht="14.5" x14ac:dyDescent="0.35">
      <c r="A40" s="88"/>
      <c r="B40" s="88"/>
      <c r="C40" s="88"/>
      <c r="D40" s="88"/>
      <c r="E40" s="88"/>
      <c r="F40" s="88"/>
      <c r="G40" s="88"/>
      <c r="H40" s="88"/>
      <c r="I40" s="88"/>
      <c r="J40" s="88"/>
    </row>
    <row r="41" spans="1:10" s="90" customFormat="1" ht="14.5" x14ac:dyDescent="0.35">
      <c r="A41" s="88"/>
      <c r="B41" s="88"/>
      <c r="C41" s="88"/>
      <c r="D41" s="88"/>
      <c r="E41" s="88"/>
      <c r="F41" s="88"/>
      <c r="G41" s="88"/>
      <c r="H41" s="88"/>
      <c r="I41" s="88"/>
      <c r="J41" s="88"/>
    </row>
    <row r="42" spans="1:10" s="90" customFormat="1" ht="14.5" x14ac:dyDescent="0.35">
      <c r="A42" s="88"/>
      <c r="B42" s="88"/>
      <c r="C42" s="88"/>
      <c r="D42" s="88"/>
      <c r="E42" s="88"/>
      <c r="F42" s="88"/>
      <c r="G42" s="88"/>
      <c r="H42" s="88"/>
      <c r="I42" s="88"/>
      <c r="J42" s="88"/>
    </row>
    <row r="43" spans="1:10" s="90" customFormat="1" ht="14.5" x14ac:dyDescent="0.35">
      <c r="A43" s="88"/>
      <c r="B43" s="88"/>
      <c r="C43" s="88"/>
      <c r="D43" s="88"/>
      <c r="E43" s="88"/>
      <c r="F43" s="88"/>
      <c r="G43" s="88"/>
      <c r="H43" s="88"/>
      <c r="I43" s="88"/>
      <c r="J43" s="88"/>
    </row>
    <row r="44" spans="1:10" ht="14.5" x14ac:dyDescent="0.35">
      <c r="A44" s="78"/>
      <c r="B44" s="78"/>
      <c r="C44" s="78"/>
      <c r="D44" s="78"/>
      <c r="E44" s="78"/>
      <c r="F44" s="78"/>
      <c r="G44" s="78"/>
      <c r="H44" s="78"/>
      <c r="I44" s="78"/>
      <c r="J44" s="78"/>
    </row>
    <row r="45" spans="1:10" ht="14.5" x14ac:dyDescent="0.35">
      <c r="A45" s="78"/>
      <c r="B45" s="78"/>
      <c r="C45" s="78"/>
      <c r="D45" s="78"/>
      <c r="E45" s="78"/>
      <c r="F45" s="78"/>
      <c r="G45" s="78"/>
      <c r="H45" s="78"/>
      <c r="I45" s="78"/>
      <c r="J45" s="78"/>
    </row>
    <row r="46" spans="1:10" ht="14.5" hidden="1" x14ac:dyDescent="0.35">
      <c r="A46" s="78"/>
      <c r="B46" s="78"/>
      <c r="C46" s="78"/>
      <c r="D46" s="78"/>
      <c r="E46" s="78"/>
      <c r="F46" s="78"/>
      <c r="G46" s="78"/>
      <c r="H46" s="78"/>
      <c r="I46" s="78"/>
      <c r="J46" s="78"/>
    </row>
    <row r="47" spans="1:10" ht="14.5" hidden="1" x14ac:dyDescent="0.35">
      <c r="A47" s="78"/>
      <c r="B47" s="78"/>
      <c r="C47" s="78"/>
      <c r="D47" s="78"/>
      <c r="E47" s="78"/>
      <c r="F47" s="78"/>
      <c r="G47" s="78"/>
      <c r="H47" s="78"/>
      <c r="I47" s="78"/>
      <c r="J47" s="78"/>
    </row>
    <row r="48" spans="1:10" ht="14.5" hidden="1" x14ac:dyDescent="0.35">
      <c r="A48" s="78"/>
      <c r="B48" s="78"/>
      <c r="C48" s="78"/>
      <c r="D48" s="78"/>
      <c r="E48" s="78"/>
      <c r="F48" s="78"/>
      <c r="G48" s="78"/>
      <c r="H48" s="78"/>
      <c r="I48" s="78"/>
      <c r="J48" s="78"/>
    </row>
    <row r="49" spans="1:10" ht="14.5" hidden="1" x14ac:dyDescent="0.35">
      <c r="A49" s="78"/>
      <c r="B49" s="78"/>
      <c r="C49" s="78"/>
      <c r="D49" s="78"/>
      <c r="E49" s="78"/>
      <c r="F49" s="78"/>
      <c r="G49" s="78"/>
      <c r="H49" s="78"/>
      <c r="I49" s="78"/>
      <c r="J49" s="78"/>
    </row>
    <row r="50" spans="1:10" ht="14.5" hidden="1" x14ac:dyDescent="0.35">
      <c r="A50" s="78"/>
      <c r="B50" s="78"/>
      <c r="C50" s="78"/>
      <c r="D50" s="78"/>
      <c r="E50" s="78"/>
      <c r="F50" s="78"/>
      <c r="G50" s="78"/>
      <c r="H50" s="78"/>
      <c r="I50" s="78"/>
      <c r="J50" s="78"/>
    </row>
    <row r="51" spans="1:10" ht="14.5" hidden="1" x14ac:dyDescent="0.35">
      <c r="A51" s="78"/>
      <c r="B51" s="78"/>
      <c r="C51" s="78"/>
      <c r="D51" s="78"/>
      <c r="E51" s="78"/>
      <c r="F51" s="78"/>
      <c r="G51" s="78"/>
      <c r="H51" s="78"/>
      <c r="I51" s="78"/>
      <c r="J51" s="78"/>
    </row>
    <row r="52" spans="1:10" ht="14.5" hidden="1" x14ac:dyDescent="0.35">
      <c r="A52" s="78"/>
      <c r="B52" s="78"/>
      <c r="C52" s="78"/>
      <c r="D52" s="78"/>
      <c r="E52" s="78"/>
      <c r="F52" s="78"/>
      <c r="G52" s="78"/>
      <c r="H52" s="78"/>
      <c r="I52" s="78"/>
      <c r="J52" s="78"/>
    </row>
    <row r="53" spans="1:10" ht="14.5" hidden="1" x14ac:dyDescent="0.35">
      <c r="A53" s="78"/>
      <c r="B53" s="78"/>
      <c r="C53" s="78"/>
      <c r="D53" s="78"/>
      <c r="E53" s="78"/>
      <c r="F53" s="78"/>
      <c r="G53" s="78"/>
      <c r="H53" s="78"/>
      <c r="I53" s="78"/>
      <c r="J53" s="78"/>
    </row>
    <row r="54" spans="1:10" ht="15" hidden="1" customHeight="1" x14ac:dyDescent="0.35">
      <c r="A54" s="78"/>
      <c r="B54" s="78"/>
      <c r="C54" s="78"/>
      <c r="D54" s="78"/>
      <c r="E54" s="78"/>
      <c r="F54" s="78"/>
      <c r="G54" s="78"/>
      <c r="H54" s="78"/>
      <c r="I54" s="78"/>
      <c r="J54" s="78"/>
    </row>
    <row r="55" spans="1:10" ht="15" hidden="1" customHeight="1" x14ac:dyDescent="0.35">
      <c r="A55" s="78"/>
      <c r="B55" s="78"/>
      <c r="C55" s="78"/>
      <c r="D55" s="78"/>
      <c r="E55" s="78"/>
      <c r="F55" s="78"/>
      <c r="G55" s="78"/>
      <c r="H55" s="78"/>
      <c r="I55" s="78"/>
      <c r="J55" s="78"/>
    </row>
    <row r="56" spans="1:10" ht="15" hidden="1" customHeight="1" x14ac:dyDescent="0.35">
      <c r="A56" s="78"/>
      <c r="B56" s="78"/>
      <c r="C56" s="78"/>
      <c r="D56" s="78"/>
      <c r="E56" s="78"/>
      <c r="F56" s="78"/>
      <c r="G56" s="78"/>
      <c r="H56" s="78"/>
      <c r="I56" s="78"/>
      <c r="J56" s="78"/>
    </row>
    <row r="57" spans="1:10" ht="15" hidden="1" customHeight="1" x14ac:dyDescent="0.35">
      <c r="A57" s="78"/>
      <c r="B57" s="78"/>
      <c r="C57" s="78"/>
      <c r="D57" s="78"/>
      <c r="E57" s="78"/>
      <c r="F57" s="78"/>
      <c r="G57" s="78"/>
      <c r="H57" s="78"/>
      <c r="I57" s="78"/>
      <c r="J57" s="78"/>
    </row>
    <row r="58" spans="1:10" ht="15" hidden="1" customHeight="1" x14ac:dyDescent="0.35">
      <c r="A58" s="78"/>
      <c r="B58" s="78"/>
      <c r="C58" s="78"/>
      <c r="D58" s="78"/>
      <c r="E58" s="78"/>
      <c r="F58" s="78"/>
      <c r="G58" s="78"/>
      <c r="H58" s="78"/>
      <c r="I58" s="78"/>
      <c r="J58" s="78"/>
    </row>
    <row r="59" spans="1:10" ht="15" hidden="1" customHeight="1" x14ac:dyDescent="0.35">
      <c r="A59" s="78"/>
      <c r="B59" s="78"/>
      <c r="C59" s="78"/>
      <c r="D59" s="78"/>
      <c r="E59" s="78"/>
      <c r="F59" s="78"/>
      <c r="G59" s="78"/>
      <c r="H59" s="78"/>
      <c r="I59" s="78"/>
      <c r="J59" s="78"/>
    </row>
    <row r="60" spans="1:10" ht="15" hidden="1" customHeight="1" x14ac:dyDescent="0.35">
      <c r="A60" s="78"/>
      <c r="B60" s="78"/>
      <c r="C60" s="78"/>
      <c r="D60" s="78"/>
      <c r="E60" s="78"/>
      <c r="F60" s="78"/>
      <c r="G60" s="78"/>
      <c r="H60" s="78"/>
      <c r="I60" s="78"/>
      <c r="J60" s="78"/>
    </row>
    <row r="61" spans="1:10" ht="15" hidden="1" customHeight="1" x14ac:dyDescent="0.35">
      <c r="A61" s="78"/>
      <c r="B61" s="78"/>
      <c r="C61" s="78"/>
      <c r="D61" s="78"/>
      <c r="E61" s="78"/>
      <c r="F61" s="78"/>
      <c r="G61" s="78"/>
      <c r="H61" s="78"/>
      <c r="I61" s="78"/>
      <c r="J61" s="78"/>
    </row>
    <row r="62" spans="1:10" ht="15" hidden="1" customHeight="1" x14ac:dyDescent="0.35">
      <c r="A62" s="78"/>
      <c r="B62" s="78"/>
      <c r="C62" s="78"/>
      <c r="D62" s="78"/>
      <c r="E62" s="78"/>
      <c r="F62" s="78"/>
      <c r="G62" s="78"/>
      <c r="H62" s="78"/>
      <c r="I62" s="78"/>
      <c r="J62" s="78"/>
    </row>
    <row r="63" spans="1:10" ht="15" hidden="1" customHeight="1" x14ac:dyDescent="0.35">
      <c r="A63" s="78"/>
      <c r="B63" s="78"/>
      <c r="C63" s="78"/>
      <c r="D63" s="78"/>
      <c r="E63" s="78"/>
      <c r="F63" s="78"/>
      <c r="G63" s="78"/>
      <c r="H63" s="78"/>
      <c r="I63" s="78"/>
      <c r="J63" s="78"/>
    </row>
    <row r="64" spans="1:10" ht="15" hidden="1" customHeight="1" x14ac:dyDescent="0.35">
      <c r="A64" s="78"/>
      <c r="B64" s="78"/>
      <c r="C64" s="78"/>
      <c r="D64" s="78"/>
      <c r="E64" s="78"/>
      <c r="F64" s="78"/>
      <c r="G64" s="78"/>
      <c r="H64" s="78"/>
      <c r="I64" s="78"/>
      <c r="J64" s="78"/>
    </row>
    <row r="65" spans="1:10" ht="15" hidden="1" customHeight="1" x14ac:dyDescent="0.35">
      <c r="A65" s="78"/>
      <c r="B65" s="78"/>
      <c r="C65" s="78"/>
      <c r="D65" s="78"/>
      <c r="E65" s="78"/>
      <c r="F65" s="78"/>
      <c r="G65" s="78"/>
      <c r="H65" s="78"/>
      <c r="I65" s="78"/>
      <c r="J65" s="78"/>
    </row>
  </sheetData>
  <sheetProtection algorithmName="SHA-512" hashValue="r9f8n7d+EyJOGnZquu/20HdCxVKx85hipiZcNdMgcTEFK804YgmOsvnMwqK0298/TrCgyRQe8Q528o2AVSLUmQ==" saltValue="ujACPwPfzPWLA+O+euQErg==" spinCount="100000" sheet="1" objects="1" scenarios="1"/>
  <mergeCells count="19">
    <mergeCell ref="E27:I27"/>
    <mergeCell ref="E22:I22"/>
    <mergeCell ref="E24:I24"/>
    <mergeCell ref="E25:I25"/>
    <mergeCell ref="E26:I26"/>
    <mergeCell ref="E23:I23"/>
    <mergeCell ref="E21:I21"/>
    <mergeCell ref="B11:I11"/>
    <mergeCell ref="B14:I14"/>
    <mergeCell ref="B15:I15"/>
    <mergeCell ref="B16:I16"/>
    <mergeCell ref="B17:I17"/>
    <mergeCell ref="B37:I37"/>
    <mergeCell ref="B38:I38"/>
    <mergeCell ref="B39:I39"/>
    <mergeCell ref="B31:H31"/>
    <mergeCell ref="B32:H32"/>
    <mergeCell ref="B33:H33"/>
    <mergeCell ref="B34:H34"/>
  </mergeCells>
  <conditionalFormatting sqref="I31">
    <cfRule type="expression" dxfId="123" priority="3">
      <formula>$B$17="nie"</formula>
    </cfRule>
  </conditionalFormatting>
  <conditionalFormatting sqref="I32">
    <cfRule type="expression" dxfId="122" priority="2">
      <formula>$B$17="nie"</formula>
    </cfRule>
  </conditionalFormatting>
  <conditionalFormatting sqref="I33">
    <cfRule type="expression" dxfId="121" priority="1">
      <formula>$B$17="nie"</formula>
    </cfRule>
  </conditionalFormatting>
  <hyperlinks>
    <hyperlink ref="B21" location="Założenia!A1" display="Założenia" xr:uid="{E78E3E45-E391-4540-B235-4D52BD25C265}"/>
    <hyperlink ref="B24" location="'Wariant 1'!A1" display="Wariant 1" xr:uid="{A1A1F5DA-E1D7-47C3-889C-73CA29034BEF}"/>
    <hyperlink ref="B25" location="'Wariant 2'!A1" display="Wariant 2" xr:uid="{D7A4BDE2-13E3-452F-A2D6-A3B260847E07}"/>
    <hyperlink ref="B26" location="'Wariant 3'!A1" display="Wariant 3" xr:uid="{962725E8-4AF5-42B8-8864-2DEBD80682E2}"/>
    <hyperlink ref="B27" location="'Księga założeń'!A1" display="Księga założeń" xr:uid="{C5755AC3-2D5A-4386-91A2-AF6C588154EC}"/>
    <hyperlink ref="B22" location="Wyniki!A1" display="Wyniki" xr:uid="{B21D13F4-4B8E-420D-89AE-92D816A3B821}"/>
    <hyperlink ref="B11:I11" r:id="rId1" display="Sprawdź czy posiadasz aktualną wersję narzędzia. Kliknij w tą komórkę, aby odwiedzić stronę internetową Ministerstwa Funduszy i Polityki Regionalnej." xr:uid="{9D71F3F1-F25E-4B97-915D-0D71E84D75B5}"/>
    <hyperlink ref="B37:I37" r:id="rId2" display="Baza wiedzy PPP - Ministerstwo Funduszy i Polityki Regionalnej" xr:uid="{A38C05C7-3AE6-440A-BE54-DFA3B807089E}"/>
    <hyperlink ref="B38:I38" r:id="rId3" display="Wytyczne do umów o poprawę efektywności energetycznej EPC - Ministerstwo Klimatu i Środowiska_x0009_" xr:uid="{DBB2B279-DB4D-4045-A95B-5578DE9214C3}"/>
    <hyperlink ref="B39:I39" r:id="rId4" display="Wytyczne dotyczące wskaźników makroekonomicznych - Ministerstwo Finansów" xr:uid="{3D8601E7-C97B-42EF-9E59-0A37D6CFA189}"/>
    <hyperlink ref="B23" location="'Wyniki - porównanie'!A1" display="Wyniki - porównanie" xr:uid="{EB2C57AF-CF42-4E26-B2A5-7B630B51910A}"/>
  </hyperlinks>
  <pageMargins left="0" right="0" top="0" bottom="0" header="0" footer="0"/>
  <pageSetup paperSize="9" scale="65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6F343-E468-43F4-9932-8B923222D9E6}">
  <sheetPr codeName="Sheet1">
    <tabColor rgb="FFF6AB58"/>
  </sheetPr>
  <dimension ref="A1:BB193"/>
  <sheetViews>
    <sheetView zoomScale="60" zoomScaleNormal="60" workbookViewId="0">
      <pane ySplit="1" topLeftCell="A2" activePane="bottomLeft" state="frozen"/>
      <selection pane="bottomLeft" activeCell="A2" sqref="A2"/>
    </sheetView>
  </sheetViews>
  <sheetFormatPr defaultColWidth="0" defaultRowHeight="14.5" zeroHeight="1" x14ac:dyDescent="0.35"/>
  <cols>
    <col min="1" max="1" width="3.453125" customWidth="1"/>
    <col min="2" max="2" width="101.26953125" customWidth="1"/>
    <col min="3" max="3" width="8.1796875" customWidth="1"/>
    <col min="4" max="4" width="4.26953125" customWidth="1"/>
    <col min="5" max="5" width="9" customWidth="1"/>
    <col min="6" max="6" width="8.26953125" customWidth="1"/>
    <col min="7" max="7" width="3.7265625" customWidth="1"/>
    <col min="8" max="8" width="53.81640625" customWidth="1"/>
    <col min="9" max="9" width="13.81640625" customWidth="1"/>
    <col min="10" max="10" width="11.1796875" customWidth="1"/>
    <col min="11" max="11" width="26.26953125" customWidth="1"/>
    <col min="12" max="12" width="2.1796875" customWidth="1"/>
    <col min="13" max="13" width="26.26953125" customWidth="1"/>
    <col min="14" max="14" width="1.81640625" customWidth="1"/>
    <col min="15" max="15" width="26.26953125" customWidth="1"/>
    <col min="16" max="16" width="2.26953125" customWidth="1"/>
    <col min="17" max="54" width="14.7265625" hidden="1" customWidth="1"/>
    <col min="55" max="16384" width="9.1796875" hidden="1"/>
  </cols>
  <sheetData>
    <row r="1" spans="1:16" ht="15.75" customHeight="1" collapsed="1" x14ac:dyDescent="0.35">
      <c r="A1" s="32" t="s">
        <v>96</v>
      </c>
      <c r="B1" s="33"/>
      <c r="C1" s="2"/>
      <c r="D1" s="32" t="s">
        <v>95</v>
      </c>
      <c r="E1" s="33"/>
      <c r="F1" s="33"/>
      <c r="G1" s="33"/>
      <c r="H1" s="33"/>
      <c r="I1" s="34" t="s">
        <v>112</v>
      </c>
      <c r="J1" s="33"/>
      <c r="K1" s="34" t="s">
        <v>91</v>
      </c>
      <c r="L1" s="33"/>
      <c r="M1" s="34" t="s">
        <v>97</v>
      </c>
      <c r="N1" s="33"/>
      <c r="O1" s="34" t="s">
        <v>98</v>
      </c>
      <c r="P1" s="35"/>
    </row>
    <row r="2" spans="1:16" ht="6.75" customHeight="1" x14ac:dyDescent="0.35">
      <c r="A2" s="2"/>
      <c r="B2" s="2"/>
      <c r="C2" s="2"/>
      <c r="D2" s="24"/>
      <c r="E2" s="2"/>
      <c r="F2" s="2"/>
      <c r="G2" s="2"/>
      <c r="H2" s="2"/>
      <c r="I2" s="21"/>
      <c r="J2" s="2"/>
      <c r="K2" s="2"/>
      <c r="L2" s="2"/>
      <c r="M2" s="2"/>
      <c r="N2" s="2"/>
      <c r="O2" s="2"/>
      <c r="P2" s="2"/>
    </row>
    <row r="3" spans="1:16" ht="15.75" customHeight="1" x14ac:dyDescent="0.35">
      <c r="A3" s="2"/>
      <c r="B3" s="2"/>
      <c r="C3" s="2"/>
      <c r="D3" s="62">
        <v>1</v>
      </c>
      <c r="E3" s="28" t="s">
        <v>45</v>
      </c>
      <c r="F3" s="29"/>
      <c r="G3" s="29"/>
      <c r="H3" s="29"/>
      <c r="I3" s="30"/>
      <c r="J3" s="29"/>
      <c r="K3" s="29"/>
      <c r="L3" s="29"/>
      <c r="M3" s="29"/>
      <c r="N3" s="29"/>
      <c r="O3" s="29"/>
      <c r="P3" s="29"/>
    </row>
    <row r="4" spans="1:16" ht="15.75" customHeight="1" x14ac:dyDescent="0.35">
      <c r="A4" s="2"/>
      <c r="B4" s="2"/>
      <c r="C4" s="2"/>
      <c r="D4" s="37" t="s">
        <v>189</v>
      </c>
      <c r="E4" s="38"/>
      <c r="F4" s="38"/>
      <c r="G4" s="38"/>
      <c r="H4" s="38"/>
      <c r="I4" s="39"/>
      <c r="J4" s="38"/>
      <c r="K4" s="38"/>
      <c r="L4" s="38"/>
      <c r="M4" s="38"/>
      <c r="N4" s="38"/>
      <c r="O4" s="38"/>
      <c r="P4" s="38"/>
    </row>
    <row r="5" spans="1:16" x14ac:dyDescent="0.35">
      <c r="A5" s="2"/>
      <c r="B5" s="2"/>
      <c r="C5" s="2"/>
      <c r="D5" s="24"/>
      <c r="E5" s="2"/>
      <c r="F5" s="2"/>
      <c r="G5" s="2"/>
      <c r="H5" s="2"/>
      <c r="I5" s="21"/>
      <c r="J5" s="2"/>
      <c r="K5" s="2"/>
      <c r="L5" s="2"/>
      <c r="M5" s="2"/>
      <c r="N5" s="2"/>
      <c r="O5" s="2"/>
      <c r="P5" s="2"/>
    </row>
    <row r="6" spans="1:16" x14ac:dyDescent="0.35">
      <c r="A6" s="2"/>
      <c r="B6" s="2"/>
      <c r="C6" s="2"/>
      <c r="D6" s="61" t="s">
        <v>171</v>
      </c>
      <c r="E6" s="2" t="s">
        <v>164</v>
      </c>
      <c r="F6" s="2"/>
      <c r="G6" s="2"/>
      <c r="H6" s="2"/>
      <c r="I6" s="21" t="s">
        <v>113</v>
      </c>
      <c r="J6" s="2"/>
      <c r="K6" s="111" t="s">
        <v>163</v>
      </c>
      <c r="L6" s="2"/>
      <c r="M6" s="109" t="s">
        <v>163</v>
      </c>
      <c r="N6" s="2"/>
      <c r="O6" s="109" t="s">
        <v>163</v>
      </c>
      <c r="P6" s="2"/>
    </row>
    <row r="7" spans="1:16" x14ac:dyDescent="0.35">
      <c r="A7" s="2"/>
      <c r="B7" s="2"/>
      <c r="C7" s="2"/>
      <c r="D7" s="61" t="s">
        <v>172</v>
      </c>
      <c r="E7" s="2" t="s">
        <v>114</v>
      </c>
      <c r="F7" s="2"/>
      <c r="G7" s="2"/>
      <c r="H7" s="2"/>
      <c r="I7" s="109" t="s">
        <v>109</v>
      </c>
      <c r="J7" s="2"/>
      <c r="K7" s="2"/>
      <c r="L7" s="2"/>
      <c r="M7" s="2"/>
      <c r="N7" s="2"/>
      <c r="O7" s="2"/>
      <c r="P7" s="2"/>
    </row>
    <row r="8" spans="1:16" x14ac:dyDescent="0.35">
      <c r="A8" s="2"/>
      <c r="B8" s="2"/>
      <c r="C8" s="2"/>
      <c r="D8" s="61" t="s">
        <v>173</v>
      </c>
      <c r="E8" s="2" t="s">
        <v>88</v>
      </c>
      <c r="F8" s="2"/>
      <c r="G8" s="2"/>
      <c r="H8" s="2"/>
      <c r="I8" s="110">
        <v>2024</v>
      </c>
      <c r="J8" s="2"/>
      <c r="K8" s="2"/>
      <c r="L8" s="2"/>
      <c r="M8" s="2"/>
      <c r="N8" s="2"/>
      <c r="O8" s="2"/>
      <c r="P8" s="2"/>
    </row>
    <row r="9" spans="1:16" x14ac:dyDescent="0.35">
      <c r="A9" s="2"/>
      <c r="B9" s="2"/>
      <c r="C9" s="2"/>
      <c r="D9" s="24"/>
      <c r="E9" s="2"/>
      <c r="F9" s="2"/>
      <c r="G9" s="2"/>
      <c r="H9" s="2"/>
      <c r="I9" s="21"/>
      <c r="J9" s="2"/>
      <c r="K9" s="2"/>
      <c r="L9" s="2"/>
      <c r="M9" s="2"/>
      <c r="N9" s="2"/>
      <c r="O9" s="2"/>
      <c r="P9" s="2"/>
    </row>
    <row r="10" spans="1:16" ht="15.75" customHeight="1" x14ac:dyDescent="0.35">
      <c r="A10" s="2"/>
      <c r="B10" s="2"/>
      <c r="C10" s="2"/>
      <c r="D10" s="62">
        <v>2</v>
      </c>
      <c r="E10" s="28" t="s">
        <v>65</v>
      </c>
      <c r="F10" s="29"/>
      <c r="G10" s="29"/>
      <c r="H10" s="29"/>
      <c r="I10" s="30"/>
      <c r="J10" s="29"/>
      <c r="K10" s="29"/>
      <c r="L10" s="29"/>
      <c r="M10" s="29"/>
      <c r="N10" s="29"/>
      <c r="O10" s="29"/>
      <c r="P10" s="29"/>
    </row>
    <row r="11" spans="1:16" s="40" customFormat="1" ht="15.75" customHeight="1" x14ac:dyDescent="0.3">
      <c r="A11" s="36"/>
      <c r="B11" s="36"/>
      <c r="C11" s="36"/>
      <c r="D11" s="37" t="s">
        <v>190</v>
      </c>
      <c r="E11" s="38"/>
      <c r="F11" s="38"/>
      <c r="G11" s="38"/>
      <c r="H11" s="38"/>
      <c r="I11" s="39"/>
      <c r="J11" s="38"/>
      <c r="K11" s="38"/>
      <c r="L11" s="38"/>
      <c r="M11" s="38"/>
      <c r="N11" s="38"/>
      <c r="O11" s="38"/>
      <c r="P11" s="38"/>
    </row>
    <row r="12" spans="1:16" x14ac:dyDescent="0.35">
      <c r="A12" s="2"/>
      <c r="B12" s="2"/>
      <c r="C12" s="2"/>
      <c r="D12" s="24"/>
      <c r="E12" s="2"/>
      <c r="F12" s="2"/>
      <c r="G12" s="2"/>
      <c r="H12" s="2"/>
      <c r="I12" s="21"/>
      <c r="J12" s="2"/>
      <c r="K12" s="2"/>
      <c r="L12" s="2"/>
      <c r="M12" s="2"/>
      <c r="N12" s="2"/>
      <c r="O12" s="2"/>
      <c r="P12" s="2"/>
    </row>
    <row r="13" spans="1:16" x14ac:dyDescent="0.35">
      <c r="A13" s="2"/>
      <c r="B13" s="2"/>
      <c r="C13" s="2"/>
      <c r="D13" s="61" t="s">
        <v>171</v>
      </c>
      <c r="E13" s="2" t="s">
        <v>106</v>
      </c>
      <c r="F13" s="2"/>
      <c r="G13" s="2"/>
      <c r="H13" s="2"/>
      <c r="I13" s="21"/>
      <c r="J13" s="2"/>
      <c r="K13" s="2"/>
      <c r="L13" s="2"/>
      <c r="M13" s="2"/>
      <c r="N13" s="2"/>
      <c r="O13" s="2"/>
      <c r="P13" s="2"/>
    </row>
    <row r="14" spans="1:16" x14ac:dyDescent="0.35">
      <c r="A14" s="2"/>
      <c r="B14" s="2"/>
      <c r="C14" s="2"/>
      <c r="D14" s="2"/>
      <c r="E14" s="2"/>
      <c r="F14" s="2" t="s">
        <v>40</v>
      </c>
      <c r="G14" s="2"/>
      <c r="H14" s="2"/>
      <c r="I14" s="22" t="s">
        <v>0</v>
      </c>
      <c r="J14" s="2"/>
      <c r="K14" s="112">
        <v>2025</v>
      </c>
      <c r="L14" s="2"/>
      <c r="M14" s="112">
        <v>2025</v>
      </c>
      <c r="N14" s="2"/>
      <c r="O14" s="112">
        <v>2025</v>
      </c>
      <c r="P14" s="2"/>
    </row>
    <row r="15" spans="1:16" x14ac:dyDescent="0.35">
      <c r="A15" s="2"/>
      <c r="B15" s="2"/>
      <c r="C15" s="2"/>
      <c r="D15" s="2"/>
      <c r="E15" s="2"/>
      <c r="F15" s="2" t="s">
        <v>41</v>
      </c>
      <c r="G15" s="2"/>
      <c r="H15" s="2"/>
      <c r="I15" s="22" t="s">
        <v>0</v>
      </c>
      <c r="J15" s="2"/>
      <c r="K15" s="112">
        <v>2025</v>
      </c>
      <c r="L15" s="2"/>
      <c r="M15" s="112">
        <v>2025</v>
      </c>
      <c r="N15" s="2"/>
      <c r="O15" s="112">
        <v>2025</v>
      </c>
      <c r="P15" s="2"/>
    </row>
    <row r="16" spans="1:16" x14ac:dyDescent="0.35">
      <c r="A16" s="2"/>
      <c r="B16" s="2"/>
      <c r="C16" s="2"/>
      <c r="D16" s="2"/>
      <c r="E16" s="2"/>
      <c r="F16" s="2"/>
      <c r="G16" s="2"/>
      <c r="H16" s="2"/>
      <c r="I16" s="22"/>
      <c r="J16" s="2"/>
      <c r="K16" s="22"/>
      <c r="L16" s="22"/>
      <c r="M16" s="22"/>
      <c r="N16" s="22"/>
      <c r="O16" s="22"/>
      <c r="P16" s="2"/>
    </row>
    <row r="17" spans="1:16" s="77" customFormat="1" x14ac:dyDescent="0.35">
      <c r="A17" s="54"/>
      <c r="B17" s="54"/>
      <c r="C17" s="54"/>
      <c r="D17" s="54"/>
      <c r="E17" s="54" t="s">
        <v>222</v>
      </c>
      <c r="F17" s="54"/>
      <c r="G17" s="54"/>
      <c r="H17" s="54"/>
      <c r="I17" s="22"/>
      <c r="J17" s="54"/>
      <c r="K17" s="91">
        <f>K15-K14+1</f>
        <v>1</v>
      </c>
      <c r="L17" s="22"/>
      <c r="M17" s="91">
        <f>M15-M14+1</f>
        <v>1</v>
      </c>
      <c r="N17" s="22"/>
      <c r="O17" s="91">
        <f>O15-O14+1</f>
        <v>1</v>
      </c>
      <c r="P17" s="54"/>
    </row>
    <row r="18" spans="1:16" x14ac:dyDescent="0.35">
      <c r="A18" s="2"/>
      <c r="B18" s="2"/>
      <c r="C18" s="2"/>
      <c r="D18" s="2"/>
      <c r="E18" s="2"/>
      <c r="F18" s="2"/>
      <c r="G18" s="2"/>
      <c r="H18" s="2"/>
      <c r="I18" s="22"/>
      <c r="J18" s="2"/>
      <c r="K18" s="22"/>
      <c r="L18" s="22"/>
      <c r="M18" s="22"/>
      <c r="N18" s="22"/>
      <c r="O18" s="22"/>
      <c r="P18" s="2"/>
    </row>
    <row r="19" spans="1:16" x14ac:dyDescent="0.35">
      <c r="A19" s="2"/>
      <c r="B19" s="2"/>
      <c r="C19" s="2"/>
      <c r="D19" s="61" t="s">
        <v>172</v>
      </c>
      <c r="E19" s="2" t="s">
        <v>107</v>
      </c>
      <c r="F19" s="2"/>
      <c r="G19" s="2"/>
      <c r="H19" s="2"/>
      <c r="I19" s="21"/>
      <c r="J19" s="2"/>
      <c r="K19" s="2"/>
      <c r="L19" s="2"/>
      <c r="M19" s="2"/>
      <c r="N19" s="2"/>
      <c r="O19" s="2"/>
      <c r="P19" s="2"/>
    </row>
    <row r="20" spans="1:16" x14ac:dyDescent="0.35">
      <c r="A20" s="2"/>
      <c r="B20" s="2"/>
      <c r="C20" s="2"/>
      <c r="D20" s="2"/>
      <c r="E20" s="2"/>
      <c r="F20" s="2" t="s">
        <v>40</v>
      </c>
      <c r="G20" s="2"/>
      <c r="H20" s="2"/>
      <c r="I20" s="22" t="s">
        <v>0</v>
      </c>
      <c r="J20" s="2"/>
      <c r="K20" s="25">
        <f>K15+1</f>
        <v>2026</v>
      </c>
      <c r="L20" s="2"/>
      <c r="M20" s="25">
        <f>M15+1</f>
        <v>2026</v>
      </c>
      <c r="N20" s="2"/>
      <c r="O20" s="25">
        <f>O15+1</f>
        <v>2026</v>
      </c>
      <c r="P20" s="2"/>
    </row>
    <row r="21" spans="1:16" x14ac:dyDescent="0.35">
      <c r="A21" s="2"/>
      <c r="B21" s="2"/>
      <c r="C21" s="2"/>
      <c r="D21" s="2"/>
      <c r="E21" s="2"/>
      <c r="F21" s="2" t="s">
        <v>41</v>
      </c>
      <c r="G21" s="2"/>
      <c r="H21" s="2"/>
      <c r="I21" s="22" t="s">
        <v>0</v>
      </c>
      <c r="J21" s="2"/>
      <c r="K21" s="112">
        <v>2026</v>
      </c>
      <c r="L21" s="2"/>
      <c r="M21" s="112">
        <v>2026</v>
      </c>
      <c r="N21" s="2"/>
      <c r="O21" s="112">
        <v>2026</v>
      </c>
      <c r="P21" s="2"/>
    </row>
    <row r="22" spans="1:16" x14ac:dyDescent="0.35">
      <c r="A22" s="2"/>
      <c r="B22" s="2"/>
      <c r="C22" s="2"/>
      <c r="D22" s="2"/>
      <c r="E22" s="2"/>
      <c r="F22" s="2"/>
      <c r="G22" s="2"/>
      <c r="H22" s="2"/>
      <c r="I22" s="22"/>
      <c r="J22" s="2"/>
      <c r="K22" s="2"/>
      <c r="L22" s="2"/>
      <c r="M22" s="2"/>
      <c r="N22" s="2"/>
      <c r="O22" s="2"/>
      <c r="P22" s="2"/>
    </row>
    <row r="23" spans="1:16" s="77" customFormat="1" x14ac:dyDescent="0.35">
      <c r="A23" s="54"/>
      <c r="B23" s="54"/>
      <c r="C23" s="54"/>
      <c r="D23" s="54"/>
      <c r="E23" s="54" t="s">
        <v>223</v>
      </c>
      <c r="F23" s="54"/>
      <c r="G23" s="54"/>
      <c r="H23" s="54"/>
      <c r="I23" s="22"/>
      <c r="J23" s="54"/>
      <c r="K23" s="91">
        <f>K21-K20+1</f>
        <v>1</v>
      </c>
      <c r="L23" s="22"/>
      <c r="M23" s="91">
        <f>M21-M20+1</f>
        <v>1</v>
      </c>
      <c r="N23" s="22"/>
      <c r="O23" s="91">
        <f>O21-O20+1</f>
        <v>1</v>
      </c>
      <c r="P23" s="54"/>
    </row>
    <row r="24" spans="1:16" x14ac:dyDescent="0.35">
      <c r="A24" s="2"/>
      <c r="B24" s="2"/>
      <c r="C24" s="2"/>
      <c r="D24" s="2"/>
      <c r="E24" s="2"/>
      <c r="F24" s="2"/>
      <c r="G24" s="2"/>
      <c r="H24" s="2"/>
      <c r="I24" s="22"/>
      <c r="J24" s="2"/>
      <c r="K24" s="2"/>
      <c r="L24" s="2"/>
      <c r="M24" s="2"/>
      <c r="N24" s="2"/>
      <c r="O24" s="2"/>
      <c r="P24" s="2"/>
    </row>
    <row r="25" spans="1:16" x14ac:dyDescent="0.35">
      <c r="A25" s="2"/>
      <c r="B25" s="2"/>
      <c r="C25" s="2"/>
      <c r="D25" s="61" t="s">
        <v>173</v>
      </c>
      <c r="E25" s="2" t="s">
        <v>108</v>
      </c>
      <c r="F25" s="2"/>
      <c r="G25" s="2"/>
      <c r="H25" s="2"/>
      <c r="I25" s="21"/>
      <c r="J25" s="2"/>
      <c r="K25" s="2"/>
      <c r="L25" s="2"/>
      <c r="M25" s="2"/>
      <c r="N25" s="2"/>
      <c r="O25" s="2"/>
      <c r="P25" s="2"/>
    </row>
    <row r="26" spans="1:16" x14ac:dyDescent="0.35">
      <c r="A26" s="2"/>
      <c r="B26" s="2"/>
      <c r="C26" s="2"/>
      <c r="D26" s="2"/>
      <c r="E26" s="2"/>
      <c r="F26" s="2" t="s">
        <v>40</v>
      </c>
      <c r="G26" s="2"/>
      <c r="H26" s="2"/>
      <c r="I26" s="22" t="s">
        <v>0</v>
      </c>
      <c r="J26" s="2"/>
      <c r="K26" s="25">
        <f>K21+1</f>
        <v>2027</v>
      </c>
      <c r="L26" s="2"/>
      <c r="M26" s="25">
        <f>M21+1</f>
        <v>2027</v>
      </c>
      <c r="N26" s="2"/>
      <c r="O26" s="25">
        <f>O21+1</f>
        <v>2027</v>
      </c>
      <c r="P26" s="2"/>
    </row>
    <row r="27" spans="1:16" x14ac:dyDescent="0.35">
      <c r="A27" s="2"/>
      <c r="B27" s="2"/>
      <c r="C27" s="2"/>
      <c r="D27" s="2"/>
      <c r="E27" s="2"/>
      <c r="F27" s="2" t="s">
        <v>41</v>
      </c>
      <c r="G27" s="2"/>
      <c r="H27" s="2"/>
      <c r="I27" s="22" t="s">
        <v>0</v>
      </c>
      <c r="J27" s="2"/>
      <c r="K27" s="112">
        <v>2027</v>
      </c>
      <c r="L27" s="2"/>
      <c r="M27" s="112">
        <v>2027</v>
      </c>
      <c r="N27" s="2"/>
      <c r="O27" s="112">
        <v>2027</v>
      </c>
      <c r="P27" s="2"/>
    </row>
    <row r="28" spans="1:16" x14ac:dyDescent="0.35">
      <c r="A28" s="2"/>
      <c r="B28" s="2"/>
      <c r="C28" s="2"/>
      <c r="D28" s="2"/>
      <c r="E28" s="2"/>
      <c r="F28" s="2"/>
      <c r="G28" s="2"/>
      <c r="H28" s="2"/>
      <c r="I28" s="22"/>
      <c r="J28" s="2"/>
      <c r="K28" s="2"/>
      <c r="L28" s="2"/>
      <c r="M28" s="2"/>
      <c r="N28" s="2"/>
      <c r="O28" s="2"/>
      <c r="P28" s="2"/>
    </row>
    <row r="29" spans="1:16" s="77" customFormat="1" x14ac:dyDescent="0.35">
      <c r="A29" s="54"/>
      <c r="B29" s="54"/>
      <c r="C29" s="54"/>
      <c r="D29" s="54"/>
      <c r="E29" s="54" t="s">
        <v>224</v>
      </c>
      <c r="F29" s="54"/>
      <c r="G29" s="54"/>
      <c r="H29" s="54"/>
      <c r="I29" s="22"/>
      <c r="J29" s="54"/>
      <c r="K29" s="91">
        <f>K27-K26+1</f>
        <v>1</v>
      </c>
      <c r="L29" s="22"/>
      <c r="M29" s="91">
        <f>M27-M26+1</f>
        <v>1</v>
      </c>
      <c r="N29" s="22"/>
      <c r="O29" s="91">
        <f>O27-O26+1</f>
        <v>1</v>
      </c>
      <c r="P29" s="54"/>
    </row>
    <row r="30" spans="1:16" x14ac:dyDescent="0.35">
      <c r="A30" s="2"/>
      <c r="B30" s="2"/>
      <c r="C30" s="2"/>
      <c r="D30" s="24"/>
      <c r="E30" s="2"/>
      <c r="F30" s="2"/>
      <c r="G30" s="2"/>
      <c r="H30" s="2"/>
      <c r="I30" s="21"/>
      <c r="J30" s="2"/>
      <c r="K30" s="2"/>
      <c r="L30" s="2"/>
      <c r="M30" s="2"/>
      <c r="N30" s="2"/>
      <c r="O30" s="2"/>
      <c r="P30" s="2"/>
    </row>
    <row r="31" spans="1:16" ht="15.75" customHeight="1" x14ac:dyDescent="0.35">
      <c r="A31" s="2"/>
      <c r="B31" s="2"/>
      <c r="C31" s="2"/>
      <c r="D31" s="62">
        <v>3</v>
      </c>
      <c r="E31" s="28" t="s">
        <v>165</v>
      </c>
      <c r="F31" s="29"/>
      <c r="G31" s="29"/>
      <c r="H31" s="29"/>
      <c r="I31" s="30"/>
      <c r="J31" s="29"/>
      <c r="K31" s="29"/>
      <c r="L31" s="29"/>
      <c r="M31" s="29"/>
      <c r="N31" s="29"/>
      <c r="O31" s="29"/>
      <c r="P31" s="29"/>
    </row>
    <row r="32" spans="1:16" s="40" customFormat="1" ht="15.75" customHeight="1" x14ac:dyDescent="0.3">
      <c r="A32" s="36"/>
      <c r="B32" s="36"/>
      <c r="C32" s="36"/>
      <c r="D32" s="37" t="s">
        <v>168</v>
      </c>
      <c r="E32" s="38"/>
      <c r="F32" s="38"/>
      <c r="G32" s="38"/>
      <c r="H32" s="38"/>
      <c r="I32" s="39"/>
      <c r="J32" s="38"/>
      <c r="K32" s="38"/>
      <c r="L32" s="38"/>
      <c r="M32" s="38"/>
      <c r="N32" s="38"/>
      <c r="O32" s="38"/>
      <c r="P32" s="38"/>
    </row>
    <row r="33" spans="1:16" x14ac:dyDescent="0.35">
      <c r="A33" s="2"/>
      <c r="B33" s="2"/>
      <c r="C33" s="2"/>
      <c r="D33" s="24"/>
      <c r="E33" s="2"/>
      <c r="F33" s="2"/>
      <c r="G33" s="2"/>
      <c r="H33" s="2"/>
      <c r="I33" s="21"/>
      <c r="J33" s="2"/>
      <c r="K33" s="2"/>
      <c r="L33" s="2"/>
      <c r="M33" s="2"/>
      <c r="N33" s="2"/>
      <c r="O33" s="2"/>
      <c r="P33" s="2"/>
    </row>
    <row r="34" spans="1:16" x14ac:dyDescent="0.35">
      <c r="A34" s="2"/>
      <c r="B34" s="2"/>
      <c r="C34" s="2"/>
      <c r="D34" s="61" t="s">
        <v>171</v>
      </c>
      <c r="E34" s="2" t="s">
        <v>99</v>
      </c>
      <c r="F34" s="2"/>
      <c r="G34" s="2"/>
      <c r="H34" s="2"/>
      <c r="I34" s="22" t="str">
        <f>$I$7</f>
        <v>PLN</v>
      </c>
      <c r="J34" s="2"/>
      <c r="K34" s="113">
        <v>0</v>
      </c>
      <c r="L34" s="2"/>
      <c r="M34" s="113">
        <v>0</v>
      </c>
      <c r="N34" s="2"/>
      <c r="O34" s="113">
        <v>0</v>
      </c>
      <c r="P34" s="2"/>
    </row>
    <row r="35" spans="1:16" x14ac:dyDescent="0.35">
      <c r="A35" s="2"/>
      <c r="B35" s="2"/>
      <c r="C35" s="2"/>
      <c r="D35" s="61" t="s">
        <v>172</v>
      </c>
      <c r="E35" s="2" t="s">
        <v>100</v>
      </c>
      <c r="F35" s="2"/>
      <c r="G35" s="2"/>
      <c r="H35" s="2"/>
      <c r="I35" s="22" t="str">
        <f>$I$7</f>
        <v>PLN</v>
      </c>
      <c r="J35" s="2"/>
      <c r="K35" s="113">
        <v>0</v>
      </c>
      <c r="L35" s="2"/>
      <c r="M35" s="113">
        <v>0</v>
      </c>
      <c r="N35" s="2"/>
      <c r="O35" s="113">
        <v>0</v>
      </c>
      <c r="P35" s="2"/>
    </row>
    <row r="36" spans="1:16" x14ac:dyDescent="0.35">
      <c r="A36" s="2"/>
      <c r="B36" s="2"/>
      <c r="C36" s="2"/>
      <c r="D36" s="61" t="s">
        <v>173</v>
      </c>
      <c r="E36" s="2" t="s">
        <v>66</v>
      </c>
      <c r="F36" s="2"/>
      <c r="G36" s="2"/>
      <c r="H36" s="2"/>
      <c r="I36" s="22" t="str">
        <f>$I$7</f>
        <v>PLN</v>
      </c>
      <c r="J36" s="2"/>
      <c r="K36" s="113">
        <v>0</v>
      </c>
      <c r="L36" s="2"/>
      <c r="M36" s="113">
        <v>0</v>
      </c>
      <c r="N36" s="2"/>
      <c r="O36" s="113">
        <v>0</v>
      </c>
      <c r="P36" s="2"/>
    </row>
    <row r="37" spans="1:16" x14ac:dyDescent="0.35">
      <c r="A37" s="2"/>
      <c r="B37" s="2"/>
      <c r="C37" s="2"/>
      <c r="D37" s="2"/>
      <c r="E37" s="2"/>
      <c r="F37" s="2"/>
      <c r="G37" s="2"/>
      <c r="H37" s="2"/>
      <c r="I37" s="21"/>
      <c r="J37" s="2"/>
      <c r="K37" s="2"/>
      <c r="L37" s="2"/>
      <c r="M37" s="2"/>
      <c r="N37" s="2"/>
      <c r="O37" s="2"/>
      <c r="P37" s="2"/>
    </row>
    <row r="38" spans="1:16" x14ac:dyDescent="0.35">
      <c r="A38" s="2"/>
      <c r="B38" s="2"/>
      <c r="C38" s="2"/>
      <c r="D38" s="2" t="s">
        <v>174</v>
      </c>
      <c r="E38" s="2" t="s">
        <v>162</v>
      </c>
      <c r="F38" s="2"/>
      <c r="G38" s="2"/>
      <c r="H38" s="2"/>
      <c r="I38" s="21"/>
      <c r="J38" s="2"/>
      <c r="K38" s="109" t="s">
        <v>163</v>
      </c>
      <c r="L38" s="2"/>
      <c r="M38" s="110" t="s">
        <v>163</v>
      </c>
      <c r="N38" s="2"/>
      <c r="O38" s="110" t="s">
        <v>163</v>
      </c>
      <c r="P38" s="2"/>
    </row>
    <row r="39" spans="1:16" x14ac:dyDescent="0.35">
      <c r="A39" s="2"/>
      <c r="B39" s="2"/>
      <c r="C39" s="2"/>
      <c r="D39" s="24"/>
      <c r="E39" s="2"/>
      <c r="F39" s="2"/>
      <c r="G39" s="2"/>
      <c r="H39" s="2"/>
      <c r="I39" s="21"/>
      <c r="J39" s="2"/>
      <c r="K39" s="2"/>
      <c r="L39" s="2"/>
      <c r="M39" s="2"/>
      <c r="N39" s="2"/>
      <c r="O39" s="2"/>
      <c r="P39" s="2"/>
    </row>
    <row r="40" spans="1:16" ht="15.75" customHeight="1" x14ac:dyDescent="0.35">
      <c r="A40" s="2"/>
      <c r="B40" s="2"/>
      <c r="C40" s="2"/>
      <c r="D40" s="62">
        <v>4</v>
      </c>
      <c r="E40" s="28" t="s">
        <v>68</v>
      </c>
      <c r="F40" s="29"/>
      <c r="G40" s="29"/>
      <c r="H40" s="29"/>
      <c r="I40" s="30"/>
      <c r="J40" s="29"/>
      <c r="K40" s="29"/>
      <c r="L40" s="29"/>
      <c r="M40" s="29"/>
      <c r="N40" s="29"/>
      <c r="O40" s="29"/>
      <c r="P40" s="29"/>
    </row>
    <row r="41" spans="1:16" ht="15.75" customHeight="1" x14ac:dyDescent="0.35">
      <c r="A41" s="2"/>
      <c r="B41" s="2"/>
      <c r="C41" s="2"/>
      <c r="D41" s="37" t="s">
        <v>167</v>
      </c>
      <c r="E41" s="38"/>
      <c r="F41" s="38"/>
      <c r="G41" s="38"/>
      <c r="H41" s="38"/>
      <c r="I41" s="39"/>
      <c r="J41" s="38"/>
      <c r="K41" s="38"/>
      <c r="L41" s="38"/>
      <c r="M41" s="38"/>
      <c r="N41" s="38"/>
      <c r="O41" s="38"/>
      <c r="P41" s="38"/>
    </row>
    <row r="42" spans="1:16" x14ac:dyDescent="0.35">
      <c r="A42" s="2"/>
      <c r="B42" s="2"/>
      <c r="C42" s="2"/>
      <c r="D42" s="24"/>
      <c r="E42" s="2"/>
      <c r="F42" s="2"/>
      <c r="G42" s="2"/>
      <c r="H42" s="2"/>
      <c r="I42" s="21"/>
      <c r="J42" s="2"/>
      <c r="K42" s="2"/>
      <c r="L42" s="2"/>
      <c r="M42" s="2"/>
      <c r="N42" s="2"/>
      <c r="O42" s="2"/>
      <c r="P42" s="2"/>
    </row>
    <row r="43" spans="1:16" x14ac:dyDescent="0.35">
      <c r="A43" s="2"/>
      <c r="B43" s="2"/>
      <c r="C43" s="2"/>
      <c r="D43" s="61" t="s">
        <v>171</v>
      </c>
      <c r="E43" s="2" t="s">
        <v>188</v>
      </c>
      <c r="F43" s="2"/>
      <c r="G43" s="2"/>
      <c r="H43" s="2"/>
      <c r="I43" s="22" t="str">
        <f>$I$7</f>
        <v>PLN</v>
      </c>
      <c r="J43" s="2"/>
      <c r="K43" s="113">
        <v>0</v>
      </c>
      <c r="L43" s="2"/>
      <c r="M43" s="113">
        <v>0</v>
      </c>
      <c r="N43" s="2"/>
      <c r="O43" s="113">
        <v>0</v>
      </c>
      <c r="P43" s="2"/>
    </row>
    <row r="44" spans="1:16" x14ac:dyDescent="0.35">
      <c r="A44" s="2"/>
      <c r="B44" s="2"/>
      <c r="C44" s="2"/>
      <c r="D44" s="61" t="s">
        <v>172</v>
      </c>
      <c r="E44" s="2" t="s">
        <v>142</v>
      </c>
      <c r="F44" s="2"/>
      <c r="G44" s="2"/>
      <c r="H44" s="2"/>
      <c r="I44" s="22" t="str">
        <f t="shared" ref="I44" si="0">$I$7</f>
        <v>PLN</v>
      </c>
      <c r="J44" s="2"/>
      <c r="K44" s="2"/>
      <c r="L44" s="2"/>
      <c r="M44" s="2"/>
      <c r="N44" s="2"/>
      <c r="O44" s="2"/>
      <c r="P44" s="2"/>
    </row>
    <row r="45" spans="1:16" x14ac:dyDescent="0.35">
      <c r="A45" s="2"/>
      <c r="B45" s="2"/>
      <c r="C45" s="2"/>
      <c r="D45" s="2"/>
      <c r="F45" s="2"/>
      <c r="G45" s="2"/>
      <c r="H45" s="2"/>
      <c r="I45" s="22"/>
      <c r="J45" s="61">
        <v>2024</v>
      </c>
      <c r="K45" s="113">
        <v>0</v>
      </c>
      <c r="L45" s="2"/>
      <c r="M45" s="113">
        <v>0</v>
      </c>
      <c r="N45" s="2"/>
      <c r="O45" s="113">
        <v>0</v>
      </c>
      <c r="P45" s="2"/>
    </row>
    <row r="46" spans="1:16" x14ac:dyDescent="0.35">
      <c r="A46" s="2"/>
      <c r="B46" s="2"/>
      <c r="C46" s="2"/>
      <c r="D46" s="2"/>
      <c r="E46" s="2"/>
      <c r="F46" s="2"/>
      <c r="G46" s="2"/>
      <c r="H46" s="2"/>
      <c r="I46" s="2"/>
      <c r="J46" s="61">
        <f t="shared" ref="J46:J81" si="1">J45+1</f>
        <v>2025</v>
      </c>
      <c r="K46" s="113">
        <v>0</v>
      </c>
      <c r="L46" s="2"/>
      <c r="M46" s="113">
        <v>0</v>
      </c>
      <c r="N46" s="2"/>
      <c r="O46" s="113">
        <v>0</v>
      </c>
      <c r="P46" s="2"/>
    </row>
    <row r="47" spans="1:16" x14ac:dyDescent="0.35">
      <c r="A47" s="2"/>
      <c r="B47" s="2"/>
      <c r="C47" s="2"/>
      <c r="D47" s="2"/>
      <c r="E47" s="2"/>
      <c r="F47" s="2"/>
      <c r="G47" s="2"/>
      <c r="H47" s="2"/>
      <c r="I47" s="2"/>
      <c r="J47" s="61">
        <f t="shared" si="1"/>
        <v>2026</v>
      </c>
      <c r="K47" s="113">
        <v>0</v>
      </c>
      <c r="L47" s="2"/>
      <c r="M47" s="113">
        <v>0</v>
      </c>
      <c r="N47" s="2"/>
      <c r="O47" s="113">
        <v>0</v>
      </c>
      <c r="P47" s="2"/>
    </row>
    <row r="48" spans="1:16" x14ac:dyDescent="0.35">
      <c r="A48" s="2"/>
      <c r="B48" s="2"/>
      <c r="C48" s="2"/>
      <c r="D48" s="2"/>
      <c r="E48" s="2"/>
      <c r="F48" s="2"/>
      <c r="G48" s="2"/>
      <c r="H48" s="2"/>
      <c r="I48" s="2"/>
      <c r="J48" s="61">
        <f t="shared" si="1"/>
        <v>2027</v>
      </c>
      <c r="K48" s="113">
        <v>0</v>
      </c>
      <c r="L48" s="2"/>
      <c r="M48" s="113">
        <v>0</v>
      </c>
      <c r="N48" s="2"/>
      <c r="O48" s="113">
        <v>0</v>
      </c>
      <c r="P48" s="2"/>
    </row>
    <row r="49" spans="1:16" x14ac:dyDescent="0.35">
      <c r="A49" s="2"/>
      <c r="B49" s="2"/>
      <c r="C49" s="2"/>
      <c r="D49" s="2"/>
      <c r="E49" s="2"/>
      <c r="F49" s="2"/>
      <c r="G49" s="2"/>
      <c r="H49" s="2"/>
      <c r="I49" s="2"/>
      <c r="J49" s="61">
        <f t="shared" si="1"/>
        <v>2028</v>
      </c>
      <c r="K49" s="113">
        <v>0</v>
      </c>
      <c r="L49" s="2"/>
      <c r="M49" s="113">
        <v>0</v>
      </c>
      <c r="N49" s="2"/>
      <c r="O49" s="113">
        <v>0</v>
      </c>
      <c r="P49" s="2"/>
    </row>
    <row r="50" spans="1:16" x14ac:dyDescent="0.35">
      <c r="A50" s="2"/>
      <c r="B50" s="2"/>
      <c r="C50" s="2"/>
      <c r="D50" s="2"/>
      <c r="E50" s="2"/>
      <c r="F50" s="2"/>
      <c r="G50" s="2"/>
      <c r="H50" s="2"/>
      <c r="I50" s="2"/>
      <c r="J50" s="61">
        <f t="shared" si="1"/>
        <v>2029</v>
      </c>
      <c r="K50" s="113">
        <v>0</v>
      </c>
      <c r="L50" s="2"/>
      <c r="M50" s="113">
        <v>0</v>
      </c>
      <c r="N50" s="2"/>
      <c r="O50" s="113">
        <v>0</v>
      </c>
      <c r="P50" s="2"/>
    </row>
    <row r="51" spans="1:16" x14ac:dyDescent="0.35">
      <c r="A51" s="2"/>
      <c r="B51" s="2"/>
      <c r="C51" s="2"/>
      <c r="D51" s="2"/>
      <c r="E51" s="2"/>
      <c r="F51" s="2"/>
      <c r="G51" s="2"/>
      <c r="H51" s="2"/>
      <c r="I51" s="2"/>
      <c r="J51" s="61">
        <f t="shared" si="1"/>
        <v>2030</v>
      </c>
      <c r="K51" s="113">
        <v>0</v>
      </c>
      <c r="L51" s="2"/>
      <c r="M51" s="113">
        <v>0</v>
      </c>
      <c r="N51" s="2"/>
      <c r="O51" s="113">
        <v>0</v>
      </c>
      <c r="P51" s="2"/>
    </row>
    <row r="52" spans="1:16" x14ac:dyDescent="0.35">
      <c r="A52" s="2"/>
      <c r="B52" s="2"/>
      <c r="C52" s="2"/>
      <c r="D52" s="2"/>
      <c r="E52" s="2"/>
      <c r="F52" s="2"/>
      <c r="G52" s="2"/>
      <c r="H52" s="2"/>
      <c r="I52" s="2"/>
      <c r="J52" s="61">
        <f t="shared" si="1"/>
        <v>2031</v>
      </c>
      <c r="K52" s="113">
        <v>0</v>
      </c>
      <c r="L52" s="2"/>
      <c r="M52" s="113">
        <v>0</v>
      </c>
      <c r="N52" s="2"/>
      <c r="O52" s="113">
        <v>0</v>
      </c>
      <c r="P52" s="2"/>
    </row>
    <row r="53" spans="1:16" x14ac:dyDescent="0.35">
      <c r="A53" s="2"/>
      <c r="B53" s="2"/>
      <c r="C53" s="2"/>
      <c r="D53" s="2"/>
      <c r="E53" s="2"/>
      <c r="F53" s="2"/>
      <c r="G53" s="2"/>
      <c r="H53" s="2"/>
      <c r="I53" s="2"/>
      <c r="J53" s="61">
        <f t="shared" si="1"/>
        <v>2032</v>
      </c>
      <c r="K53" s="113">
        <v>0</v>
      </c>
      <c r="L53" s="2"/>
      <c r="M53" s="113">
        <v>0</v>
      </c>
      <c r="N53" s="2"/>
      <c r="O53" s="113">
        <v>0</v>
      </c>
      <c r="P53" s="2"/>
    </row>
    <row r="54" spans="1:16" x14ac:dyDescent="0.35">
      <c r="A54" s="2"/>
      <c r="B54" s="2"/>
      <c r="C54" s="2"/>
      <c r="D54" s="2"/>
      <c r="E54" s="2"/>
      <c r="F54" s="2"/>
      <c r="G54" s="2"/>
      <c r="H54" s="2"/>
      <c r="I54" s="2"/>
      <c r="J54" s="61">
        <f t="shared" si="1"/>
        <v>2033</v>
      </c>
      <c r="K54" s="113">
        <v>0</v>
      </c>
      <c r="L54" s="2"/>
      <c r="M54" s="113">
        <v>0</v>
      </c>
      <c r="N54" s="2"/>
      <c r="O54" s="113">
        <v>0</v>
      </c>
      <c r="P54" s="2"/>
    </row>
    <row r="55" spans="1:16" x14ac:dyDescent="0.35">
      <c r="A55" s="2"/>
      <c r="B55" s="2"/>
      <c r="C55" s="2"/>
      <c r="D55" s="2"/>
      <c r="E55" s="2"/>
      <c r="F55" s="2"/>
      <c r="G55" s="2"/>
      <c r="H55" s="2"/>
      <c r="I55" s="2"/>
      <c r="J55" s="61">
        <f t="shared" si="1"/>
        <v>2034</v>
      </c>
      <c r="K55" s="113">
        <v>0</v>
      </c>
      <c r="L55" s="2"/>
      <c r="M55" s="113">
        <v>0</v>
      </c>
      <c r="N55" s="2"/>
      <c r="O55" s="113">
        <v>0</v>
      </c>
      <c r="P55" s="2"/>
    </row>
    <row r="56" spans="1:16" x14ac:dyDescent="0.35">
      <c r="A56" s="2"/>
      <c r="B56" s="2"/>
      <c r="C56" s="2"/>
      <c r="D56" s="2"/>
      <c r="E56" s="2"/>
      <c r="F56" s="2"/>
      <c r="G56" s="2"/>
      <c r="H56" s="2"/>
      <c r="I56" s="2"/>
      <c r="J56" s="61">
        <f t="shared" si="1"/>
        <v>2035</v>
      </c>
      <c r="K56" s="113">
        <v>0</v>
      </c>
      <c r="L56" s="2"/>
      <c r="M56" s="113">
        <v>0</v>
      </c>
      <c r="N56" s="2"/>
      <c r="O56" s="113">
        <v>0</v>
      </c>
      <c r="P56" s="2"/>
    </row>
    <row r="57" spans="1:16" x14ac:dyDescent="0.35">
      <c r="A57" s="2"/>
      <c r="B57" s="2"/>
      <c r="C57" s="2"/>
      <c r="D57" s="2"/>
      <c r="E57" s="2"/>
      <c r="F57" s="2"/>
      <c r="G57" s="2"/>
      <c r="H57" s="2"/>
      <c r="I57" s="2"/>
      <c r="J57" s="61">
        <f t="shared" si="1"/>
        <v>2036</v>
      </c>
      <c r="K57" s="113">
        <v>0</v>
      </c>
      <c r="L57" s="2"/>
      <c r="M57" s="113">
        <v>0</v>
      </c>
      <c r="N57" s="2"/>
      <c r="O57" s="113">
        <v>0</v>
      </c>
      <c r="P57" s="2"/>
    </row>
    <row r="58" spans="1:16" x14ac:dyDescent="0.35">
      <c r="A58" s="2"/>
      <c r="B58" s="2"/>
      <c r="C58" s="2"/>
      <c r="D58" s="2"/>
      <c r="E58" s="2"/>
      <c r="F58" s="2"/>
      <c r="G58" s="2"/>
      <c r="H58" s="2"/>
      <c r="I58" s="2"/>
      <c r="J58" s="61">
        <f t="shared" si="1"/>
        <v>2037</v>
      </c>
      <c r="K58" s="113">
        <v>0</v>
      </c>
      <c r="L58" s="2"/>
      <c r="M58" s="113">
        <v>0</v>
      </c>
      <c r="N58" s="2"/>
      <c r="O58" s="113">
        <v>0</v>
      </c>
      <c r="P58" s="2"/>
    </row>
    <row r="59" spans="1:16" x14ac:dyDescent="0.35">
      <c r="A59" s="2"/>
      <c r="B59" s="2"/>
      <c r="C59" s="2"/>
      <c r="D59" s="2"/>
      <c r="E59" s="2"/>
      <c r="F59" s="2"/>
      <c r="G59" s="2"/>
      <c r="H59" s="2"/>
      <c r="I59" s="2"/>
      <c r="J59" s="61">
        <f t="shared" si="1"/>
        <v>2038</v>
      </c>
      <c r="K59" s="113">
        <v>0</v>
      </c>
      <c r="L59" s="2"/>
      <c r="M59" s="113">
        <v>0</v>
      </c>
      <c r="N59" s="2"/>
      <c r="O59" s="113">
        <v>0</v>
      </c>
      <c r="P59" s="2"/>
    </row>
    <row r="60" spans="1:16" x14ac:dyDescent="0.35">
      <c r="A60" s="2"/>
      <c r="B60" s="2"/>
      <c r="C60" s="2"/>
      <c r="D60" s="2"/>
      <c r="E60" s="2"/>
      <c r="F60" s="2"/>
      <c r="G60" s="2"/>
      <c r="H60" s="2"/>
      <c r="I60" s="2"/>
      <c r="J60" s="61">
        <f t="shared" si="1"/>
        <v>2039</v>
      </c>
      <c r="K60" s="113">
        <v>0</v>
      </c>
      <c r="L60" s="2"/>
      <c r="M60" s="113">
        <v>0</v>
      </c>
      <c r="N60" s="2"/>
      <c r="O60" s="113">
        <v>0</v>
      </c>
      <c r="P60" s="2"/>
    </row>
    <row r="61" spans="1:16" x14ac:dyDescent="0.35">
      <c r="A61" s="2"/>
      <c r="B61" s="2"/>
      <c r="C61" s="2"/>
      <c r="D61" s="2"/>
      <c r="E61" s="2"/>
      <c r="F61" s="2"/>
      <c r="G61" s="2"/>
      <c r="H61" s="2"/>
      <c r="I61" s="2"/>
      <c r="J61" s="61">
        <f t="shared" si="1"/>
        <v>2040</v>
      </c>
      <c r="K61" s="113">
        <v>0</v>
      </c>
      <c r="L61" s="2"/>
      <c r="M61" s="113">
        <v>0</v>
      </c>
      <c r="N61" s="2"/>
      <c r="O61" s="113">
        <v>0</v>
      </c>
      <c r="P61" s="2"/>
    </row>
    <row r="62" spans="1:16" x14ac:dyDescent="0.35">
      <c r="A62" s="2"/>
      <c r="B62" s="2"/>
      <c r="C62" s="2"/>
      <c r="D62" s="2"/>
      <c r="E62" s="2"/>
      <c r="F62" s="2"/>
      <c r="G62" s="2"/>
      <c r="H62" s="2"/>
      <c r="I62" s="2"/>
      <c r="J62" s="61">
        <f t="shared" si="1"/>
        <v>2041</v>
      </c>
      <c r="K62" s="113">
        <v>0</v>
      </c>
      <c r="L62" s="2"/>
      <c r="M62" s="113">
        <v>0</v>
      </c>
      <c r="N62" s="2"/>
      <c r="O62" s="113">
        <v>0</v>
      </c>
      <c r="P62" s="2"/>
    </row>
    <row r="63" spans="1:16" x14ac:dyDescent="0.35">
      <c r="A63" s="2"/>
      <c r="B63" s="2"/>
      <c r="C63" s="2"/>
      <c r="D63" s="2"/>
      <c r="E63" s="2"/>
      <c r="F63" s="2"/>
      <c r="G63" s="2"/>
      <c r="H63" s="2"/>
      <c r="I63" s="2"/>
      <c r="J63" s="61">
        <f t="shared" si="1"/>
        <v>2042</v>
      </c>
      <c r="K63" s="113">
        <v>0</v>
      </c>
      <c r="L63" s="2"/>
      <c r="M63" s="113">
        <v>0</v>
      </c>
      <c r="N63" s="2"/>
      <c r="O63" s="113">
        <v>0</v>
      </c>
      <c r="P63" s="2"/>
    </row>
    <row r="64" spans="1:16" x14ac:dyDescent="0.35">
      <c r="A64" s="2"/>
      <c r="B64" s="2"/>
      <c r="C64" s="2"/>
      <c r="D64" s="2"/>
      <c r="E64" s="2"/>
      <c r="F64" s="2"/>
      <c r="G64" s="2"/>
      <c r="H64" s="2"/>
      <c r="I64" s="2"/>
      <c r="J64" s="61">
        <f t="shared" si="1"/>
        <v>2043</v>
      </c>
      <c r="K64" s="113">
        <v>0</v>
      </c>
      <c r="L64" s="2"/>
      <c r="M64" s="113">
        <v>0</v>
      </c>
      <c r="N64" s="2"/>
      <c r="O64" s="113">
        <v>0</v>
      </c>
      <c r="P64" s="2"/>
    </row>
    <row r="65" spans="1:16" x14ac:dyDescent="0.35">
      <c r="A65" s="2"/>
      <c r="B65" s="2"/>
      <c r="C65" s="2"/>
      <c r="D65" s="2"/>
      <c r="E65" s="2"/>
      <c r="F65" s="2"/>
      <c r="G65" s="2"/>
      <c r="H65" s="2"/>
      <c r="I65" s="2"/>
      <c r="J65" s="61">
        <f t="shared" si="1"/>
        <v>2044</v>
      </c>
      <c r="K65" s="113">
        <v>0</v>
      </c>
      <c r="L65" s="2"/>
      <c r="M65" s="113">
        <v>0</v>
      </c>
      <c r="N65" s="2"/>
      <c r="O65" s="113">
        <v>0</v>
      </c>
      <c r="P65" s="2"/>
    </row>
    <row r="66" spans="1:16" x14ac:dyDescent="0.35">
      <c r="A66" s="2"/>
      <c r="B66" s="2"/>
      <c r="C66" s="2"/>
      <c r="D66" s="2"/>
      <c r="E66" s="2"/>
      <c r="F66" s="2"/>
      <c r="G66" s="2"/>
      <c r="H66" s="2"/>
      <c r="I66" s="2"/>
      <c r="J66" s="61">
        <f t="shared" si="1"/>
        <v>2045</v>
      </c>
      <c r="K66" s="113">
        <v>0</v>
      </c>
      <c r="L66" s="2"/>
      <c r="M66" s="113">
        <v>0</v>
      </c>
      <c r="N66" s="2"/>
      <c r="O66" s="113">
        <v>0</v>
      </c>
      <c r="P66" s="2"/>
    </row>
    <row r="67" spans="1:16" x14ac:dyDescent="0.35">
      <c r="A67" s="2"/>
      <c r="B67" s="2"/>
      <c r="C67" s="2"/>
      <c r="D67" s="2"/>
      <c r="E67" s="2"/>
      <c r="F67" s="2"/>
      <c r="G67" s="2"/>
      <c r="H67" s="2"/>
      <c r="I67" s="2"/>
      <c r="J67" s="61">
        <f t="shared" si="1"/>
        <v>2046</v>
      </c>
      <c r="K67" s="113">
        <v>0</v>
      </c>
      <c r="L67" s="2"/>
      <c r="M67" s="113">
        <v>0</v>
      </c>
      <c r="N67" s="2"/>
      <c r="O67" s="113">
        <v>0</v>
      </c>
      <c r="P67" s="2"/>
    </row>
    <row r="68" spans="1:16" x14ac:dyDescent="0.35">
      <c r="A68" s="2"/>
      <c r="B68" s="2"/>
      <c r="C68" s="2"/>
      <c r="D68" s="2"/>
      <c r="E68" s="2"/>
      <c r="F68" s="2"/>
      <c r="G68" s="2"/>
      <c r="H68" s="2"/>
      <c r="I68" s="2"/>
      <c r="J68" s="61">
        <f t="shared" si="1"/>
        <v>2047</v>
      </c>
      <c r="K68" s="113">
        <v>0</v>
      </c>
      <c r="L68" s="2"/>
      <c r="M68" s="113">
        <v>0</v>
      </c>
      <c r="N68" s="2"/>
      <c r="O68" s="113">
        <v>0</v>
      </c>
      <c r="P68" s="2"/>
    </row>
    <row r="69" spans="1:16" x14ac:dyDescent="0.35">
      <c r="A69" s="2"/>
      <c r="B69" s="2"/>
      <c r="C69" s="2"/>
      <c r="D69" s="2"/>
      <c r="E69" s="2"/>
      <c r="F69" s="2"/>
      <c r="G69" s="2"/>
      <c r="H69" s="2"/>
      <c r="I69" s="2"/>
      <c r="J69" s="61">
        <f t="shared" si="1"/>
        <v>2048</v>
      </c>
      <c r="K69" s="113">
        <v>0</v>
      </c>
      <c r="L69" s="2"/>
      <c r="M69" s="113">
        <v>0</v>
      </c>
      <c r="N69" s="2"/>
      <c r="O69" s="113">
        <v>0</v>
      </c>
      <c r="P69" s="2"/>
    </row>
    <row r="70" spans="1:16" x14ac:dyDescent="0.35">
      <c r="A70" s="2"/>
      <c r="B70" s="2"/>
      <c r="C70" s="2"/>
      <c r="D70" s="2"/>
      <c r="E70" s="2"/>
      <c r="F70" s="2"/>
      <c r="G70" s="2"/>
      <c r="H70" s="2"/>
      <c r="I70" s="2"/>
      <c r="J70" s="61">
        <f t="shared" si="1"/>
        <v>2049</v>
      </c>
      <c r="K70" s="113">
        <v>0</v>
      </c>
      <c r="L70" s="2"/>
      <c r="M70" s="113">
        <v>0</v>
      </c>
      <c r="N70" s="2"/>
      <c r="O70" s="113">
        <v>0</v>
      </c>
      <c r="P70" s="2"/>
    </row>
    <row r="71" spans="1:16" x14ac:dyDescent="0.35">
      <c r="A71" s="2"/>
      <c r="B71" s="2"/>
      <c r="C71" s="2"/>
      <c r="D71" s="2"/>
      <c r="E71" s="2"/>
      <c r="F71" s="2"/>
      <c r="G71" s="2"/>
      <c r="H71" s="2"/>
      <c r="I71" s="2"/>
      <c r="J71" s="61">
        <f t="shared" si="1"/>
        <v>2050</v>
      </c>
      <c r="K71" s="113">
        <v>0</v>
      </c>
      <c r="L71" s="2"/>
      <c r="M71" s="113">
        <v>0</v>
      </c>
      <c r="N71" s="2"/>
      <c r="O71" s="113">
        <v>0</v>
      </c>
      <c r="P71" s="2"/>
    </row>
    <row r="72" spans="1:16" x14ac:dyDescent="0.35">
      <c r="A72" s="2"/>
      <c r="B72" s="2"/>
      <c r="C72" s="2"/>
      <c r="D72" s="2"/>
      <c r="E72" s="2"/>
      <c r="F72" s="2"/>
      <c r="G72" s="2"/>
      <c r="H72" s="2"/>
      <c r="I72" s="2"/>
      <c r="J72" s="61">
        <f t="shared" si="1"/>
        <v>2051</v>
      </c>
      <c r="K72" s="113">
        <v>0</v>
      </c>
      <c r="L72" s="2"/>
      <c r="M72" s="113">
        <v>0</v>
      </c>
      <c r="N72" s="2"/>
      <c r="O72" s="113">
        <v>0</v>
      </c>
      <c r="P72" s="2"/>
    </row>
    <row r="73" spans="1:16" x14ac:dyDescent="0.35">
      <c r="A73" s="2"/>
      <c r="B73" s="2"/>
      <c r="C73" s="2"/>
      <c r="D73" s="2"/>
      <c r="E73" s="2"/>
      <c r="F73" s="2"/>
      <c r="G73" s="2"/>
      <c r="H73" s="2"/>
      <c r="I73" s="2"/>
      <c r="J73" s="61">
        <f t="shared" si="1"/>
        <v>2052</v>
      </c>
      <c r="K73" s="113">
        <v>0</v>
      </c>
      <c r="L73" s="2"/>
      <c r="M73" s="113">
        <v>0</v>
      </c>
      <c r="N73" s="2"/>
      <c r="O73" s="113">
        <v>0</v>
      </c>
      <c r="P73" s="2"/>
    </row>
    <row r="74" spans="1:16" x14ac:dyDescent="0.35">
      <c r="A74" s="2"/>
      <c r="B74" s="2"/>
      <c r="C74" s="2"/>
      <c r="D74" s="2"/>
      <c r="E74" s="2"/>
      <c r="F74" s="2"/>
      <c r="G74" s="2"/>
      <c r="H74" s="2"/>
      <c r="I74" s="2"/>
      <c r="J74" s="61">
        <f t="shared" si="1"/>
        <v>2053</v>
      </c>
      <c r="K74" s="113">
        <v>0</v>
      </c>
      <c r="L74" s="2"/>
      <c r="M74" s="113">
        <v>0</v>
      </c>
      <c r="N74" s="2"/>
      <c r="O74" s="113">
        <v>0</v>
      </c>
      <c r="P74" s="2"/>
    </row>
    <row r="75" spans="1:16" x14ac:dyDescent="0.35">
      <c r="A75" s="2"/>
      <c r="B75" s="2"/>
      <c r="C75" s="2"/>
      <c r="D75" s="2"/>
      <c r="E75" s="2"/>
      <c r="F75" s="2"/>
      <c r="G75" s="2"/>
      <c r="H75" s="2"/>
      <c r="I75" s="2"/>
      <c r="J75" s="61">
        <f t="shared" si="1"/>
        <v>2054</v>
      </c>
      <c r="K75" s="113">
        <v>0</v>
      </c>
      <c r="L75" s="2"/>
      <c r="M75" s="113">
        <v>0</v>
      </c>
      <c r="N75" s="2"/>
      <c r="O75" s="113">
        <v>0</v>
      </c>
      <c r="P75" s="2"/>
    </row>
    <row r="76" spans="1:16" x14ac:dyDescent="0.35">
      <c r="A76" s="2"/>
      <c r="B76" s="2"/>
      <c r="C76" s="2"/>
      <c r="D76" s="2"/>
      <c r="E76" s="2"/>
      <c r="F76" s="2"/>
      <c r="G76" s="2"/>
      <c r="H76" s="2"/>
      <c r="I76" s="2"/>
      <c r="J76" s="61">
        <f t="shared" si="1"/>
        <v>2055</v>
      </c>
      <c r="K76" s="113">
        <v>0</v>
      </c>
      <c r="L76" s="2"/>
      <c r="M76" s="113">
        <v>0</v>
      </c>
      <c r="N76" s="2"/>
      <c r="O76" s="113">
        <v>0</v>
      </c>
      <c r="P76" s="2"/>
    </row>
    <row r="77" spans="1:16" x14ac:dyDescent="0.35">
      <c r="A77" s="2"/>
      <c r="B77" s="2"/>
      <c r="C77" s="2"/>
      <c r="D77" s="2"/>
      <c r="E77" s="2"/>
      <c r="F77" s="2"/>
      <c r="G77" s="2"/>
      <c r="H77" s="2"/>
      <c r="I77" s="2"/>
      <c r="J77" s="61">
        <f t="shared" si="1"/>
        <v>2056</v>
      </c>
      <c r="K77" s="113">
        <v>0</v>
      </c>
      <c r="L77" s="2"/>
      <c r="M77" s="113">
        <v>0</v>
      </c>
      <c r="N77" s="2"/>
      <c r="O77" s="113">
        <v>0</v>
      </c>
      <c r="P77" s="2"/>
    </row>
    <row r="78" spans="1:16" x14ac:dyDescent="0.35">
      <c r="A78" s="2"/>
      <c r="B78" s="2"/>
      <c r="C78" s="2"/>
      <c r="D78" s="2"/>
      <c r="E78" s="2"/>
      <c r="F78" s="2"/>
      <c r="G78" s="2"/>
      <c r="H78" s="2"/>
      <c r="I78" s="2"/>
      <c r="J78" s="61">
        <f t="shared" si="1"/>
        <v>2057</v>
      </c>
      <c r="K78" s="113">
        <v>0</v>
      </c>
      <c r="L78" s="2"/>
      <c r="M78" s="113">
        <v>0</v>
      </c>
      <c r="N78" s="2"/>
      <c r="O78" s="113">
        <v>0</v>
      </c>
      <c r="P78" s="2"/>
    </row>
    <row r="79" spans="1:16" x14ac:dyDescent="0.35">
      <c r="A79" s="2"/>
      <c r="B79" s="2"/>
      <c r="C79" s="2"/>
      <c r="D79" s="2"/>
      <c r="E79" s="2"/>
      <c r="F79" s="2"/>
      <c r="G79" s="2"/>
      <c r="H79" s="2"/>
      <c r="I79" s="2"/>
      <c r="J79" s="61">
        <f t="shared" si="1"/>
        <v>2058</v>
      </c>
      <c r="K79" s="113">
        <v>0</v>
      </c>
      <c r="L79" s="2"/>
      <c r="M79" s="113">
        <v>0</v>
      </c>
      <c r="N79" s="2"/>
      <c r="O79" s="113">
        <v>0</v>
      </c>
      <c r="P79" s="2"/>
    </row>
    <row r="80" spans="1:16" x14ac:dyDescent="0.35">
      <c r="A80" s="2"/>
      <c r="B80" s="2"/>
      <c r="C80" s="2"/>
      <c r="D80" s="2"/>
      <c r="E80" s="2"/>
      <c r="F80" s="2"/>
      <c r="G80" s="2"/>
      <c r="H80" s="2"/>
      <c r="I80" s="2"/>
      <c r="J80" s="61">
        <f t="shared" si="1"/>
        <v>2059</v>
      </c>
      <c r="K80" s="113">
        <v>0</v>
      </c>
      <c r="L80" s="2"/>
      <c r="M80" s="113">
        <v>0</v>
      </c>
      <c r="N80" s="2"/>
      <c r="O80" s="113">
        <v>0</v>
      </c>
      <c r="P80" s="2"/>
    </row>
    <row r="81" spans="1:16" x14ac:dyDescent="0.35">
      <c r="A81" s="2"/>
      <c r="B81" s="2"/>
      <c r="C81" s="2"/>
      <c r="D81" s="2"/>
      <c r="E81" s="2"/>
      <c r="F81" s="2"/>
      <c r="G81" s="2"/>
      <c r="H81" s="2"/>
      <c r="I81" s="2"/>
      <c r="J81" s="61">
        <f t="shared" si="1"/>
        <v>2060</v>
      </c>
      <c r="K81" s="113">
        <v>0</v>
      </c>
      <c r="L81" s="2"/>
      <c r="M81" s="113">
        <v>0</v>
      </c>
      <c r="N81" s="2"/>
      <c r="O81" s="113">
        <v>0</v>
      </c>
      <c r="P81" s="2"/>
    </row>
    <row r="82" spans="1:16" x14ac:dyDescent="0.35">
      <c r="A82" s="2"/>
      <c r="B82" s="2"/>
      <c r="C82" s="2"/>
      <c r="D82" s="24"/>
      <c r="E82" s="2"/>
      <c r="F82" s="2"/>
      <c r="G82" s="2"/>
      <c r="H82" s="2"/>
      <c r="I82" s="21"/>
      <c r="J82" s="2"/>
      <c r="K82" s="2"/>
      <c r="L82" s="2"/>
      <c r="M82" s="2"/>
      <c r="N82" s="2"/>
      <c r="O82" s="2"/>
      <c r="P82" s="2"/>
    </row>
    <row r="83" spans="1:16" x14ac:dyDescent="0.35">
      <c r="A83" s="2"/>
      <c r="B83" s="2"/>
      <c r="C83" s="2"/>
      <c r="D83" s="62">
        <v>5</v>
      </c>
      <c r="E83" s="28" t="s">
        <v>180</v>
      </c>
      <c r="F83" s="29"/>
      <c r="G83" s="29"/>
      <c r="H83" s="29"/>
      <c r="I83" s="30"/>
      <c r="J83" s="29"/>
      <c r="K83" s="29" t="s">
        <v>69</v>
      </c>
      <c r="L83" s="29"/>
      <c r="M83" s="29" t="s">
        <v>69</v>
      </c>
      <c r="N83" s="29"/>
      <c r="O83" s="29" t="s">
        <v>69</v>
      </c>
      <c r="P83" s="29"/>
    </row>
    <row r="84" spans="1:16" ht="21" customHeight="1" x14ac:dyDescent="0.35">
      <c r="A84" s="2"/>
      <c r="B84" s="2"/>
      <c r="C84" s="2"/>
      <c r="D84" s="76" t="s">
        <v>193</v>
      </c>
      <c r="E84" s="38"/>
      <c r="F84" s="38"/>
      <c r="G84" s="38"/>
      <c r="H84" s="38"/>
      <c r="I84" s="39"/>
      <c r="J84" s="38"/>
      <c r="K84" s="38"/>
      <c r="L84" s="38"/>
      <c r="M84" s="38"/>
      <c r="N84" s="38"/>
      <c r="O84" s="38"/>
      <c r="P84" s="38"/>
    </row>
    <row r="85" spans="1:16" x14ac:dyDescent="0.35">
      <c r="A85" s="2"/>
      <c r="B85" s="2"/>
      <c r="C85" s="2"/>
      <c r="D85" s="24"/>
      <c r="E85" s="2"/>
      <c r="F85" s="2"/>
      <c r="G85" s="2"/>
      <c r="H85" s="2"/>
      <c r="I85" s="21"/>
      <c r="J85" s="2"/>
      <c r="K85" s="2"/>
      <c r="L85" s="2"/>
      <c r="M85" s="2"/>
      <c r="N85" s="2"/>
      <c r="O85" s="2"/>
      <c r="P85" s="2"/>
    </row>
    <row r="86" spans="1:16" x14ac:dyDescent="0.35">
      <c r="A86" s="2"/>
      <c r="B86" s="2"/>
      <c r="C86" s="2"/>
      <c r="D86" s="24" t="s">
        <v>171</v>
      </c>
      <c r="E86" s="2" t="s">
        <v>181</v>
      </c>
      <c r="F86" s="2"/>
      <c r="G86" s="2"/>
      <c r="H86" s="2"/>
      <c r="I86" s="22" t="str">
        <f t="shared" ref="I86" si="2">$I$7</f>
        <v>PLN</v>
      </c>
      <c r="J86" s="2"/>
      <c r="K86" s="2"/>
      <c r="L86" s="2"/>
      <c r="M86" s="2"/>
      <c r="N86" s="2"/>
      <c r="O86" s="2"/>
      <c r="P86" s="2"/>
    </row>
    <row r="87" spans="1:16" x14ac:dyDescent="0.35">
      <c r="A87" s="2"/>
      <c r="B87" s="2"/>
      <c r="C87" s="2"/>
      <c r="D87" s="24"/>
      <c r="E87" s="24"/>
      <c r="F87" s="2"/>
      <c r="G87" s="2"/>
      <c r="H87" s="2"/>
      <c r="I87" s="22"/>
      <c r="J87" s="61">
        <v>2024</v>
      </c>
      <c r="K87" s="113">
        <v>0</v>
      </c>
      <c r="L87" s="2"/>
      <c r="M87" s="113">
        <v>0</v>
      </c>
      <c r="N87" s="2"/>
      <c r="O87" s="113">
        <v>0</v>
      </c>
      <c r="P87" s="2"/>
    </row>
    <row r="88" spans="1:16" x14ac:dyDescent="0.35">
      <c r="A88" s="2"/>
      <c r="B88" s="2"/>
      <c r="C88" s="2"/>
      <c r="D88" s="24"/>
      <c r="E88" s="24"/>
      <c r="F88" s="2"/>
      <c r="G88" s="2"/>
      <c r="H88" s="2"/>
      <c r="I88" s="22"/>
      <c r="J88" s="61">
        <f t="shared" ref="J88:J123" si="3">J87+1</f>
        <v>2025</v>
      </c>
      <c r="K88" s="113">
        <v>0</v>
      </c>
      <c r="L88" s="2"/>
      <c r="M88" s="113">
        <v>0</v>
      </c>
      <c r="N88" s="2"/>
      <c r="O88" s="113">
        <v>0</v>
      </c>
      <c r="P88" s="2"/>
    </row>
    <row r="89" spans="1:16" x14ac:dyDescent="0.35">
      <c r="A89" s="2"/>
      <c r="B89" s="2"/>
      <c r="C89" s="2"/>
      <c r="D89" s="24"/>
      <c r="E89" s="24"/>
      <c r="F89" s="2"/>
      <c r="G89" s="2"/>
      <c r="H89" s="2"/>
      <c r="I89" s="22"/>
      <c r="J89" s="61">
        <f t="shared" si="3"/>
        <v>2026</v>
      </c>
      <c r="K89" s="113">
        <v>0</v>
      </c>
      <c r="L89" s="2"/>
      <c r="M89" s="113">
        <v>0</v>
      </c>
      <c r="N89" s="2"/>
      <c r="O89" s="113">
        <v>0</v>
      </c>
      <c r="P89" s="2"/>
    </row>
    <row r="90" spans="1:16" x14ac:dyDescent="0.35">
      <c r="A90" s="2"/>
      <c r="B90" s="2"/>
      <c r="C90" s="2"/>
      <c r="D90" s="24"/>
      <c r="E90" s="24"/>
      <c r="F90" s="2"/>
      <c r="G90" s="2"/>
      <c r="H90" s="2"/>
      <c r="I90" s="22"/>
      <c r="J90" s="61">
        <f t="shared" si="3"/>
        <v>2027</v>
      </c>
      <c r="K90" s="113">
        <v>0</v>
      </c>
      <c r="L90" s="2"/>
      <c r="M90" s="113">
        <v>0</v>
      </c>
      <c r="N90" s="2"/>
      <c r="O90" s="113">
        <v>0</v>
      </c>
      <c r="P90" s="2"/>
    </row>
    <row r="91" spans="1:16" x14ac:dyDescent="0.35">
      <c r="A91" s="2"/>
      <c r="B91" s="2"/>
      <c r="C91" s="2"/>
      <c r="D91" s="24"/>
      <c r="E91" s="24"/>
      <c r="F91" s="2"/>
      <c r="G91" s="2"/>
      <c r="H91" s="2"/>
      <c r="I91" s="22"/>
      <c r="J91" s="61">
        <f t="shared" si="3"/>
        <v>2028</v>
      </c>
      <c r="K91" s="113">
        <v>0</v>
      </c>
      <c r="L91" s="2"/>
      <c r="M91" s="113">
        <v>0</v>
      </c>
      <c r="N91" s="2"/>
      <c r="O91" s="113">
        <v>0</v>
      </c>
      <c r="P91" s="2"/>
    </row>
    <row r="92" spans="1:16" x14ac:dyDescent="0.35">
      <c r="A92" s="2"/>
      <c r="B92" s="2"/>
      <c r="C92" s="2"/>
      <c r="D92" s="24"/>
      <c r="E92" s="24"/>
      <c r="F92" s="2"/>
      <c r="G92" s="2"/>
      <c r="H92" s="2"/>
      <c r="I92" s="22"/>
      <c r="J92" s="61">
        <f t="shared" si="3"/>
        <v>2029</v>
      </c>
      <c r="K92" s="113">
        <v>0</v>
      </c>
      <c r="L92" s="2"/>
      <c r="M92" s="113">
        <v>0</v>
      </c>
      <c r="N92" s="2"/>
      <c r="O92" s="113">
        <v>0</v>
      </c>
      <c r="P92" s="2"/>
    </row>
    <row r="93" spans="1:16" x14ac:dyDescent="0.35">
      <c r="A93" s="2"/>
      <c r="B93" s="2"/>
      <c r="C93" s="2"/>
      <c r="D93" s="24"/>
      <c r="E93" s="24"/>
      <c r="F93" s="2"/>
      <c r="G93" s="2"/>
      <c r="H93" s="2"/>
      <c r="I93" s="22"/>
      <c r="J93" s="61">
        <f t="shared" si="3"/>
        <v>2030</v>
      </c>
      <c r="K93" s="113">
        <v>0</v>
      </c>
      <c r="L93" s="2"/>
      <c r="M93" s="113">
        <v>0</v>
      </c>
      <c r="N93" s="2"/>
      <c r="O93" s="113">
        <v>0</v>
      </c>
      <c r="P93" s="2"/>
    </row>
    <row r="94" spans="1:16" x14ac:dyDescent="0.35">
      <c r="A94" s="2"/>
      <c r="B94" s="2"/>
      <c r="C94" s="2"/>
      <c r="D94" s="24"/>
      <c r="E94" s="24"/>
      <c r="F94" s="2"/>
      <c r="G94" s="2"/>
      <c r="H94" s="2"/>
      <c r="I94" s="22"/>
      <c r="J94" s="61">
        <f t="shared" si="3"/>
        <v>2031</v>
      </c>
      <c r="K94" s="113">
        <v>0</v>
      </c>
      <c r="L94" s="2"/>
      <c r="M94" s="113">
        <v>0</v>
      </c>
      <c r="N94" s="2"/>
      <c r="O94" s="113">
        <v>0</v>
      </c>
      <c r="P94" s="2"/>
    </row>
    <row r="95" spans="1:16" x14ac:dyDescent="0.35">
      <c r="A95" s="2"/>
      <c r="B95" s="2"/>
      <c r="C95" s="2"/>
      <c r="D95" s="24"/>
      <c r="E95" s="24"/>
      <c r="F95" s="2"/>
      <c r="G95" s="2"/>
      <c r="H95" s="2"/>
      <c r="I95" s="22"/>
      <c r="J95" s="61">
        <f t="shared" si="3"/>
        <v>2032</v>
      </c>
      <c r="K95" s="113">
        <v>0</v>
      </c>
      <c r="L95" s="2"/>
      <c r="M95" s="113">
        <v>0</v>
      </c>
      <c r="N95" s="2"/>
      <c r="O95" s="113">
        <v>0</v>
      </c>
      <c r="P95" s="2"/>
    </row>
    <row r="96" spans="1:16" x14ac:dyDescent="0.35">
      <c r="A96" s="2"/>
      <c r="B96" s="2"/>
      <c r="C96" s="2"/>
      <c r="D96" s="24"/>
      <c r="E96" s="24"/>
      <c r="F96" s="2"/>
      <c r="G96" s="2"/>
      <c r="H96" s="2"/>
      <c r="I96" s="22"/>
      <c r="J96" s="61">
        <f t="shared" si="3"/>
        <v>2033</v>
      </c>
      <c r="K96" s="113">
        <v>0</v>
      </c>
      <c r="L96" s="2"/>
      <c r="M96" s="113">
        <v>0</v>
      </c>
      <c r="N96" s="2"/>
      <c r="O96" s="113">
        <v>0</v>
      </c>
      <c r="P96" s="2"/>
    </row>
    <row r="97" spans="1:16" x14ac:dyDescent="0.35">
      <c r="A97" s="2"/>
      <c r="B97" s="2"/>
      <c r="C97" s="2"/>
      <c r="D97" s="24"/>
      <c r="E97" s="24"/>
      <c r="F97" s="2"/>
      <c r="G97" s="2"/>
      <c r="H97" s="2"/>
      <c r="I97" s="22"/>
      <c r="J97" s="61">
        <f t="shared" si="3"/>
        <v>2034</v>
      </c>
      <c r="K97" s="113">
        <v>0</v>
      </c>
      <c r="L97" s="2"/>
      <c r="M97" s="113">
        <v>0</v>
      </c>
      <c r="N97" s="2"/>
      <c r="O97" s="113">
        <v>0</v>
      </c>
      <c r="P97" s="2"/>
    </row>
    <row r="98" spans="1:16" x14ac:dyDescent="0.35">
      <c r="A98" s="2"/>
      <c r="B98" s="2"/>
      <c r="C98" s="2"/>
      <c r="D98" s="24"/>
      <c r="E98" s="24"/>
      <c r="F98" s="2"/>
      <c r="G98" s="2"/>
      <c r="H98" s="2"/>
      <c r="I98" s="22"/>
      <c r="J98" s="61">
        <f t="shared" si="3"/>
        <v>2035</v>
      </c>
      <c r="K98" s="113">
        <v>0</v>
      </c>
      <c r="L98" s="2"/>
      <c r="M98" s="113">
        <v>0</v>
      </c>
      <c r="N98" s="2"/>
      <c r="O98" s="113">
        <v>0</v>
      </c>
      <c r="P98" s="2"/>
    </row>
    <row r="99" spans="1:16" x14ac:dyDescent="0.35">
      <c r="A99" s="2"/>
      <c r="B99" s="2"/>
      <c r="C99" s="2"/>
      <c r="D99" s="24"/>
      <c r="E99" s="24"/>
      <c r="F99" s="2"/>
      <c r="G99" s="2"/>
      <c r="H99" s="2"/>
      <c r="I99" s="22"/>
      <c r="J99" s="61">
        <f t="shared" si="3"/>
        <v>2036</v>
      </c>
      <c r="K99" s="113">
        <v>0</v>
      </c>
      <c r="L99" s="2"/>
      <c r="M99" s="113">
        <v>0</v>
      </c>
      <c r="N99" s="2"/>
      <c r="O99" s="113">
        <v>0</v>
      </c>
      <c r="P99" s="2"/>
    </row>
    <row r="100" spans="1:16" x14ac:dyDescent="0.35">
      <c r="A100" s="2"/>
      <c r="B100" s="2"/>
      <c r="C100" s="2"/>
      <c r="D100" s="24"/>
      <c r="E100" s="24"/>
      <c r="F100" s="2"/>
      <c r="G100" s="2"/>
      <c r="H100" s="2"/>
      <c r="I100" s="22"/>
      <c r="J100" s="61">
        <f t="shared" si="3"/>
        <v>2037</v>
      </c>
      <c r="K100" s="113">
        <v>0</v>
      </c>
      <c r="L100" s="2"/>
      <c r="M100" s="113">
        <v>0</v>
      </c>
      <c r="N100" s="2"/>
      <c r="O100" s="113">
        <v>0</v>
      </c>
      <c r="P100" s="2"/>
    </row>
    <row r="101" spans="1:16" x14ac:dyDescent="0.35">
      <c r="A101" s="2"/>
      <c r="B101" s="2"/>
      <c r="C101" s="2"/>
      <c r="D101" s="24"/>
      <c r="E101" s="24"/>
      <c r="F101" s="2"/>
      <c r="G101" s="2"/>
      <c r="H101" s="2"/>
      <c r="I101" s="22"/>
      <c r="J101" s="61">
        <f t="shared" si="3"/>
        <v>2038</v>
      </c>
      <c r="K101" s="113">
        <v>0</v>
      </c>
      <c r="L101" s="2"/>
      <c r="M101" s="113">
        <v>0</v>
      </c>
      <c r="N101" s="2"/>
      <c r="O101" s="113">
        <v>0</v>
      </c>
      <c r="P101" s="2"/>
    </row>
    <row r="102" spans="1:16" x14ac:dyDescent="0.35">
      <c r="A102" s="2"/>
      <c r="B102" s="2"/>
      <c r="C102" s="2"/>
      <c r="D102" s="24"/>
      <c r="E102" s="24"/>
      <c r="F102" s="2"/>
      <c r="G102" s="2"/>
      <c r="H102" s="2"/>
      <c r="I102" s="22"/>
      <c r="J102" s="61">
        <f t="shared" si="3"/>
        <v>2039</v>
      </c>
      <c r="K102" s="113">
        <v>0</v>
      </c>
      <c r="L102" s="2"/>
      <c r="M102" s="113">
        <v>0</v>
      </c>
      <c r="N102" s="2"/>
      <c r="O102" s="113">
        <v>0</v>
      </c>
      <c r="P102" s="2"/>
    </row>
    <row r="103" spans="1:16" x14ac:dyDescent="0.35">
      <c r="A103" s="2"/>
      <c r="B103" s="2"/>
      <c r="C103" s="2"/>
      <c r="D103" s="24"/>
      <c r="E103" s="24"/>
      <c r="F103" s="2"/>
      <c r="G103" s="2"/>
      <c r="H103" s="2"/>
      <c r="I103" s="22"/>
      <c r="J103" s="61">
        <f t="shared" si="3"/>
        <v>2040</v>
      </c>
      <c r="K103" s="113">
        <v>0</v>
      </c>
      <c r="L103" s="2"/>
      <c r="M103" s="113">
        <v>0</v>
      </c>
      <c r="N103" s="2"/>
      <c r="O103" s="113">
        <v>0</v>
      </c>
      <c r="P103" s="2"/>
    </row>
    <row r="104" spans="1:16" x14ac:dyDescent="0.35">
      <c r="A104" s="2"/>
      <c r="B104" s="2"/>
      <c r="C104" s="2"/>
      <c r="D104" s="24"/>
      <c r="E104" s="24"/>
      <c r="F104" s="2"/>
      <c r="G104" s="2"/>
      <c r="H104" s="2"/>
      <c r="I104" s="22"/>
      <c r="J104" s="61">
        <f t="shared" si="3"/>
        <v>2041</v>
      </c>
      <c r="K104" s="113">
        <v>0</v>
      </c>
      <c r="L104" s="2"/>
      <c r="M104" s="113">
        <v>0</v>
      </c>
      <c r="N104" s="2"/>
      <c r="O104" s="113">
        <v>0</v>
      </c>
      <c r="P104" s="2"/>
    </row>
    <row r="105" spans="1:16" x14ac:dyDescent="0.35">
      <c r="A105" s="2"/>
      <c r="B105" s="2"/>
      <c r="C105" s="2"/>
      <c r="D105" s="24"/>
      <c r="E105" s="24"/>
      <c r="F105" s="2"/>
      <c r="G105" s="2"/>
      <c r="H105" s="2"/>
      <c r="I105" s="22"/>
      <c r="J105" s="61">
        <f t="shared" si="3"/>
        <v>2042</v>
      </c>
      <c r="K105" s="113">
        <v>0</v>
      </c>
      <c r="L105" s="2"/>
      <c r="M105" s="113">
        <v>0</v>
      </c>
      <c r="N105" s="2"/>
      <c r="O105" s="113">
        <v>0</v>
      </c>
      <c r="P105" s="2"/>
    </row>
    <row r="106" spans="1:16" x14ac:dyDescent="0.35">
      <c r="A106" s="2"/>
      <c r="B106" s="2"/>
      <c r="C106" s="2"/>
      <c r="D106" s="24"/>
      <c r="E106" s="24"/>
      <c r="F106" s="2"/>
      <c r="G106" s="2"/>
      <c r="H106" s="2"/>
      <c r="I106" s="22"/>
      <c r="J106" s="61">
        <f t="shared" si="3"/>
        <v>2043</v>
      </c>
      <c r="K106" s="113">
        <v>0</v>
      </c>
      <c r="L106" s="2"/>
      <c r="M106" s="113">
        <v>0</v>
      </c>
      <c r="N106" s="2"/>
      <c r="O106" s="113">
        <v>0</v>
      </c>
      <c r="P106" s="2"/>
    </row>
    <row r="107" spans="1:16" x14ac:dyDescent="0.35">
      <c r="A107" s="2"/>
      <c r="B107" s="2"/>
      <c r="C107" s="2"/>
      <c r="D107" s="24"/>
      <c r="E107" s="24"/>
      <c r="F107" s="2"/>
      <c r="G107" s="2"/>
      <c r="H107" s="2"/>
      <c r="I107" s="22"/>
      <c r="J107" s="61">
        <f t="shared" si="3"/>
        <v>2044</v>
      </c>
      <c r="K107" s="113">
        <v>0</v>
      </c>
      <c r="L107" s="2"/>
      <c r="M107" s="113">
        <v>0</v>
      </c>
      <c r="N107" s="2"/>
      <c r="O107" s="113">
        <v>0</v>
      </c>
      <c r="P107" s="2"/>
    </row>
    <row r="108" spans="1:16" x14ac:dyDescent="0.35">
      <c r="A108" s="2"/>
      <c r="B108" s="2"/>
      <c r="C108" s="2"/>
      <c r="D108" s="24"/>
      <c r="E108" s="24"/>
      <c r="F108" s="2"/>
      <c r="G108" s="2"/>
      <c r="H108" s="2"/>
      <c r="I108" s="22"/>
      <c r="J108" s="61">
        <f t="shared" si="3"/>
        <v>2045</v>
      </c>
      <c r="K108" s="113">
        <v>0</v>
      </c>
      <c r="L108" s="2"/>
      <c r="M108" s="113">
        <v>0</v>
      </c>
      <c r="N108" s="2"/>
      <c r="O108" s="113">
        <v>0</v>
      </c>
      <c r="P108" s="2"/>
    </row>
    <row r="109" spans="1:16" x14ac:dyDescent="0.35">
      <c r="A109" s="2"/>
      <c r="B109" s="2"/>
      <c r="C109" s="2"/>
      <c r="D109" s="24"/>
      <c r="E109" s="24"/>
      <c r="F109" s="2"/>
      <c r="G109" s="2"/>
      <c r="H109" s="2"/>
      <c r="I109" s="22"/>
      <c r="J109" s="61">
        <f t="shared" si="3"/>
        <v>2046</v>
      </c>
      <c r="K109" s="113">
        <v>0</v>
      </c>
      <c r="L109" s="2"/>
      <c r="M109" s="113">
        <v>0</v>
      </c>
      <c r="N109" s="2"/>
      <c r="O109" s="113">
        <v>0</v>
      </c>
      <c r="P109" s="2"/>
    </row>
    <row r="110" spans="1:16" x14ac:dyDescent="0.35">
      <c r="A110" s="2"/>
      <c r="B110" s="2"/>
      <c r="C110" s="2"/>
      <c r="D110" s="24"/>
      <c r="E110" s="24"/>
      <c r="F110" s="2"/>
      <c r="G110" s="2"/>
      <c r="H110" s="2"/>
      <c r="I110" s="22"/>
      <c r="J110" s="61">
        <f t="shared" si="3"/>
        <v>2047</v>
      </c>
      <c r="K110" s="113">
        <v>0</v>
      </c>
      <c r="L110" s="2"/>
      <c r="M110" s="113">
        <v>0</v>
      </c>
      <c r="N110" s="2"/>
      <c r="O110" s="113">
        <v>0</v>
      </c>
      <c r="P110" s="2"/>
    </row>
    <row r="111" spans="1:16" x14ac:dyDescent="0.35">
      <c r="A111" s="2"/>
      <c r="B111" s="2"/>
      <c r="C111" s="2"/>
      <c r="D111" s="24"/>
      <c r="E111" s="24"/>
      <c r="F111" s="2"/>
      <c r="G111" s="2"/>
      <c r="H111" s="2"/>
      <c r="I111" s="22"/>
      <c r="J111" s="61">
        <f t="shared" si="3"/>
        <v>2048</v>
      </c>
      <c r="K111" s="113">
        <v>0</v>
      </c>
      <c r="L111" s="2"/>
      <c r="M111" s="113">
        <v>0</v>
      </c>
      <c r="N111" s="2"/>
      <c r="O111" s="113">
        <v>0</v>
      </c>
      <c r="P111" s="2"/>
    </row>
    <row r="112" spans="1:16" x14ac:dyDescent="0.35">
      <c r="A112" s="2"/>
      <c r="B112" s="2"/>
      <c r="C112" s="2"/>
      <c r="D112" s="24"/>
      <c r="E112" s="24"/>
      <c r="F112" s="2"/>
      <c r="G112" s="2"/>
      <c r="H112" s="2"/>
      <c r="I112" s="22"/>
      <c r="J112" s="61">
        <f t="shared" si="3"/>
        <v>2049</v>
      </c>
      <c r="K112" s="113">
        <v>0</v>
      </c>
      <c r="L112" s="2"/>
      <c r="M112" s="113">
        <v>0</v>
      </c>
      <c r="N112" s="2"/>
      <c r="O112" s="113">
        <v>0</v>
      </c>
      <c r="P112" s="2"/>
    </row>
    <row r="113" spans="1:16" x14ac:dyDescent="0.35">
      <c r="A113" s="2"/>
      <c r="B113" s="2"/>
      <c r="C113" s="2"/>
      <c r="D113" s="24"/>
      <c r="E113" s="24"/>
      <c r="F113" s="2"/>
      <c r="G113" s="2"/>
      <c r="H113" s="2"/>
      <c r="I113" s="22"/>
      <c r="J113" s="61">
        <f t="shared" si="3"/>
        <v>2050</v>
      </c>
      <c r="K113" s="113">
        <v>0</v>
      </c>
      <c r="L113" s="2"/>
      <c r="M113" s="113">
        <v>0</v>
      </c>
      <c r="N113" s="2"/>
      <c r="O113" s="113">
        <v>0</v>
      </c>
      <c r="P113" s="2"/>
    </row>
    <row r="114" spans="1:16" x14ac:dyDescent="0.35">
      <c r="A114" s="2"/>
      <c r="B114" s="2"/>
      <c r="C114" s="2"/>
      <c r="D114" s="24"/>
      <c r="E114" s="24"/>
      <c r="F114" s="2"/>
      <c r="G114" s="2"/>
      <c r="H114" s="2"/>
      <c r="I114" s="22"/>
      <c r="J114" s="61">
        <f t="shared" si="3"/>
        <v>2051</v>
      </c>
      <c r="K114" s="113">
        <v>0</v>
      </c>
      <c r="L114" s="2"/>
      <c r="M114" s="113">
        <v>0</v>
      </c>
      <c r="N114" s="2"/>
      <c r="O114" s="113">
        <v>0</v>
      </c>
      <c r="P114" s="2"/>
    </row>
    <row r="115" spans="1:16" x14ac:dyDescent="0.35">
      <c r="A115" s="2"/>
      <c r="B115" s="2"/>
      <c r="C115" s="2"/>
      <c r="D115" s="24"/>
      <c r="E115" s="24"/>
      <c r="F115" s="2"/>
      <c r="G115" s="2"/>
      <c r="H115" s="2"/>
      <c r="I115" s="22"/>
      <c r="J115" s="61">
        <f t="shared" si="3"/>
        <v>2052</v>
      </c>
      <c r="K115" s="113">
        <v>0</v>
      </c>
      <c r="L115" s="2"/>
      <c r="M115" s="113">
        <v>0</v>
      </c>
      <c r="N115" s="2"/>
      <c r="O115" s="113">
        <v>0</v>
      </c>
      <c r="P115" s="2"/>
    </row>
    <row r="116" spans="1:16" x14ac:dyDescent="0.35">
      <c r="A116" s="2"/>
      <c r="B116" s="2"/>
      <c r="C116" s="2"/>
      <c r="D116" s="24"/>
      <c r="E116" s="24"/>
      <c r="F116" s="2"/>
      <c r="G116" s="2"/>
      <c r="H116" s="2"/>
      <c r="I116" s="22"/>
      <c r="J116" s="61">
        <f t="shared" si="3"/>
        <v>2053</v>
      </c>
      <c r="K116" s="113">
        <v>0</v>
      </c>
      <c r="L116" s="2"/>
      <c r="M116" s="113">
        <v>0</v>
      </c>
      <c r="N116" s="2"/>
      <c r="O116" s="113">
        <v>0</v>
      </c>
      <c r="P116" s="2"/>
    </row>
    <row r="117" spans="1:16" x14ac:dyDescent="0.35">
      <c r="A117" s="2"/>
      <c r="B117" s="2"/>
      <c r="C117" s="2"/>
      <c r="D117" s="24"/>
      <c r="E117" s="24"/>
      <c r="F117" s="2"/>
      <c r="G117" s="2"/>
      <c r="H117" s="2"/>
      <c r="I117" s="22"/>
      <c r="J117" s="61">
        <f t="shared" si="3"/>
        <v>2054</v>
      </c>
      <c r="K117" s="113">
        <v>0</v>
      </c>
      <c r="L117" s="2"/>
      <c r="M117" s="113">
        <v>0</v>
      </c>
      <c r="N117" s="2"/>
      <c r="O117" s="113">
        <v>0</v>
      </c>
      <c r="P117" s="2"/>
    </row>
    <row r="118" spans="1:16" x14ac:dyDescent="0.35">
      <c r="A118" s="2"/>
      <c r="B118" s="2"/>
      <c r="C118" s="2"/>
      <c r="D118" s="24"/>
      <c r="E118" s="24"/>
      <c r="F118" s="2"/>
      <c r="G118" s="2"/>
      <c r="H118" s="2"/>
      <c r="I118" s="22"/>
      <c r="J118" s="61">
        <f t="shared" si="3"/>
        <v>2055</v>
      </c>
      <c r="K118" s="113">
        <v>0</v>
      </c>
      <c r="L118" s="2"/>
      <c r="M118" s="113">
        <v>0</v>
      </c>
      <c r="N118" s="2"/>
      <c r="O118" s="113">
        <v>0</v>
      </c>
      <c r="P118" s="2"/>
    </row>
    <row r="119" spans="1:16" x14ac:dyDescent="0.35">
      <c r="A119" s="2"/>
      <c r="B119" s="2"/>
      <c r="C119" s="2"/>
      <c r="D119" s="24"/>
      <c r="E119" s="24"/>
      <c r="F119" s="2"/>
      <c r="G119" s="2"/>
      <c r="H119" s="2"/>
      <c r="I119" s="22"/>
      <c r="J119" s="61">
        <f t="shared" si="3"/>
        <v>2056</v>
      </c>
      <c r="K119" s="113">
        <v>0</v>
      </c>
      <c r="L119" s="2"/>
      <c r="M119" s="113">
        <v>0</v>
      </c>
      <c r="N119" s="2"/>
      <c r="O119" s="113">
        <v>0</v>
      </c>
      <c r="P119" s="2"/>
    </row>
    <row r="120" spans="1:16" x14ac:dyDescent="0.35">
      <c r="A120" s="2"/>
      <c r="B120" s="2"/>
      <c r="C120" s="2"/>
      <c r="D120" s="24"/>
      <c r="E120" s="24"/>
      <c r="F120" s="2"/>
      <c r="G120" s="2"/>
      <c r="H120" s="2"/>
      <c r="I120" s="22"/>
      <c r="J120" s="61">
        <f t="shared" si="3"/>
        <v>2057</v>
      </c>
      <c r="K120" s="113">
        <v>0</v>
      </c>
      <c r="L120" s="2"/>
      <c r="M120" s="113">
        <v>0</v>
      </c>
      <c r="N120" s="2"/>
      <c r="O120" s="113">
        <v>0</v>
      </c>
      <c r="P120" s="2"/>
    </row>
    <row r="121" spans="1:16" x14ac:dyDescent="0.35">
      <c r="A121" s="2"/>
      <c r="B121" s="2"/>
      <c r="C121" s="2"/>
      <c r="D121" s="24"/>
      <c r="E121" s="24"/>
      <c r="F121" s="2"/>
      <c r="G121" s="2"/>
      <c r="H121" s="2"/>
      <c r="I121" s="22"/>
      <c r="J121" s="61">
        <f t="shared" si="3"/>
        <v>2058</v>
      </c>
      <c r="K121" s="113">
        <v>0</v>
      </c>
      <c r="L121" s="2"/>
      <c r="M121" s="113">
        <v>0</v>
      </c>
      <c r="N121" s="2"/>
      <c r="O121" s="113">
        <v>0</v>
      </c>
      <c r="P121" s="2"/>
    </row>
    <row r="122" spans="1:16" x14ac:dyDescent="0.35">
      <c r="A122" s="2"/>
      <c r="B122" s="2"/>
      <c r="C122" s="2"/>
      <c r="D122" s="24"/>
      <c r="E122" s="24"/>
      <c r="F122" s="2"/>
      <c r="G122" s="2"/>
      <c r="H122" s="2"/>
      <c r="I122" s="22"/>
      <c r="J122" s="61">
        <f t="shared" si="3"/>
        <v>2059</v>
      </c>
      <c r="K122" s="113">
        <v>0</v>
      </c>
      <c r="L122" s="2"/>
      <c r="M122" s="113">
        <v>0</v>
      </c>
      <c r="N122" s="2"/>
      <c r="O122" s="113">
        <v>0</v>
      </c>
      <c r="P122" s="2"/>
    </row>
    <row r="123" spans="1:16" x14ac:dyDescent="0.35">
      <c r="A123" s="2"/>
      <c r="B123" s="2"/>
      <c r="C123" s="2"/>
      <c r="D123" s="24"/>
      <c r="F123" s="2"/>
      <c r="G123" s="2"/>
      <c r="H123" s="2"/>
      <c r="I123" s="22"/>
      <c r="J123" s="61">
        <f t="shared" si="3"/>
        <v>2060</v>
      </c>
      <c r="K123" s="113">
        <v>0</v>
      </c>
      <c r="L123" s="2"/>
      <c r="M123" s="113">
        <v>0</v>
      </c>
      <c r="N123" s="2"/>
      <c r="O123" s="113">
        <v>0</v>
      </c>
      <c r="P123" s="2"/>
    </row>
    <row r="124" spans="1:16" x14ac:dyDescent="0.35">
      <c r="A124" s="2"/>
      <c r="B124" s="2"/>
      <c r="C124" s="2"/>
      <c r="D124" s="24"/>
      <c r="E124" s="2"/>
      <c r="F124" s="2"/>
      <c r="G124" s="2"/>
      <c r="H124" s="2"/>
      <c r="I124" s="21"/>
      <c r="J124" s="2"/>
      <c r="K124" s="2"/>
      <c r="L124" s="2"/>
      <c r="M124" s="2"/>
      <c r="N124" s="2"/>
      <c r="O124" s="2"/>
      <c r="P124" s="2"/>
    </row>
    <row r="125" spans="1:16" x14ac:dyDescent="0.35">
      <c r="A125" s="2"/>
      <c r="B125" s="2"/>
      <c r="C125" s="2"/>
      <c r="D125" s="24" t="s">
        <v>172</v>
      </c>
      <c r="E125" s="2" t="s">
        <v>182</v>
      </c>
      <c r="F125" s="2"/>
      <c r="G125" s="2"/>
      <c r="H125" s="2"/>
      <c r="I125" s="22" t="str">
        <f t="shared" ref="I125" si="4">$I$7</f>
        <v>PLN</v>
      </c>
      <c r="J125" s="2"/>
      <c r="K125" s="2"/>
      <c r="L125" s="2"/>
      <c r="M125" s="2"/>
      <c r="N125" s="2"/>
      <c r="O125" s="2"/>
      <c r="P125" s="2"/>
    </row>
    <row r="126" spans="1:16" x14ac:dyDescent="0.35">
      <c r="A126" s="2"/>
      <c r="B126" s="2"/>
      <c r="C126" s="2"/>
      <c r="D126" s="24"/>
      <c r="F126" s="2"/>
      <c r="G126" s="2"/>
      <c r="H126" s="2"/>
      <c r="I126" s="22"/>
      <c r="J126" s="61">
        <v>2024</v>
      </c>
      <c r="K126" s="113">
        <v>0</v>
      </c>
      <c r="L126" s="2"/>
      <c r="M126" s="113">
        <v>0</v>
      </c>
      <c r="N126" s="2"/>
      <c r="O126" s="113">
        <v>0</v>
      </c>
      <c r="P126" s="2"/>
    </row>
    <row r="127" spans="1:16" x14ac:dyDescent="0.35">
      <c r="A127" s="2"/>
      <c r="B127" s="2"/>
      <c r="C127" s="2"/>
      <c r="D127" s="2"/>
      <c r="E127" s="2"/>
      <c r="F127" s="2"/>
      <c r="G127" s="2"/>
      <c r="H127" s="2"/>
      <c r="I127" s="22"/>
      <c r="J127" s="61">
        <f t="shared" ref="J127:J162" si="5">J126+1</f>
        <v>2025</v>
      </c>
      <c r="K127" s="113">
        <v>0</v>
      </c>
      <c r="L127" s="2"/>
      <c r="M127" s="113">
        <v>0</v>
      </c>
      <c r="N127" s="2"/>
      <c r="O127" s="113">
        <v>0</v>
      </c>
      <c r="P127" s="2"/>
    </row>
    <row r="128" spans="1:16" x14ac:dyDescent="0.35">
      <c r="A128" s="2"/>
      <c r="B128" s="2"/>
      <c r="C128" s="2"/>
      <c r="D128" s="2"/>
      <c r="E128" s="2"/>
      <c r="F128" s="2"/>
      <c r="G128" s="2"/>
      <c r="H128" s="2"/>
      <c r="I128" s="22"/>
      <c r="J128" s="61">
        <f t="shared" si="5"/>
        <v>2026</v>
      </c>
      <c r="K128" s="113">
        <v>0</v>
      </c>
      <c r="L128" s="2"/>
      <c r="M128" s="113">
        <v>0</v>
      </c>
      <c r="N128" s="2"/>
      <c r="O128" s="113">
        <v>0</v>
      </c>
      <c r="P128" s="2"/>
    </row>
    <row r="129" spans="1:16" x14ac:dyDescent="0.35">
      <c r="A129" s="2"/>
      <c r="B129" s="2"/>
      <c r="C129" s="2"/>
      <c r="D129" s="2"/>
      <c r="E129" s="2"/>
      <c r="F129" s="2"/>
      <c r="G129" s="2"/>
      <c r="H129" s="2"/>
      <c r="I129" s="22"/>
      <c r="J129" s="61">
        <f t="shared" si="5"/>
        <v>2027</v>
      </c>
      <c r="K129" s="113">
        <v>0</v>
      </c>
      <c r="L129" s="2"/>
      <c r="M129" s="113">
        <v>0</v>
      </c>
      <c r="N129" s="2"/>
      <c r="O129" s="113">
        <v>0</v>
      </c>
      <c r="P129" s="2"/>
    </row>
    <row r="130" spans="1:16" x14ac:dyDescent="0.35">
      <c r="A130" s="2"/>
      <c r="B130" s="2"/>
      <c r="C130" s="2"/>
      <c r="D130" s="2"/>
      <c r="E130" s="2"/>
      <c r="F130" s="2"/>
      <c r="G130" s="2"/>
      <c r="H130" s="2"/>
      <c r="I130" s="22"/>
      <c r="J130" s="61">
        <f t="shared" si="5"/>
        <v>2028</v>
      </c>
      <c r="K130" s="113">
        <v>0</v>
      </c>
      <c r="L130" s="2"/>
      <c r="M130" s="113">
        <v>0</v>
      </c>
      <c r="N130" s="2"/>
      <c r="O130" s="113">
        <v>0</v>
      </c>
      <c r="P130" s="2"/>
    </row>
    <row r="131" spans="1:16" x14ac:dyDescent="0.35">
      <c r="A131" s="2"/>
      <c r="B131" s="2"/>
      <c r="C131" s="2"/>
      <c r="D131" s="2"/>
      <c r="E131" s="2"/>
      <c r="F131" s="2"/>
      <c r="G131" s="2"/>
      <c r="H131" s="2"/>
      <c r="I131" s="22"/>
      <c r="J131" s="61">
        <f t="shared" si="5"/>
        <v>2029</v>
      </c>
      <c r="K131" s="113">
        <v>0</v>
      </c>
      <c r="L131" s="2"/>
      <c r="M131" s="113">
        <v>0</v>
      </c>
      <c r="N131" s="2"/>
      <c r="O131" s="113">
        <v>0</v>
      </c>
      <c r="P131" s="2"/>
    </row>
    <row r="132" spans="1:16" x14ac:dyDescent="0.35">
      <c r="A132" s="2"/>
      <c r="B132" s="2"/>
      <c r="C132" s="2"/>
      <c r="D132" s="2"/>
      <c r="E132" s="2"/>
      <c r="F132" s="2"/>
      <c r="G132" s="2"/>
      <c r="H132" s="2"/>
      <c r="I132" s="22"/>
      <c r="J132" s="61">
        <f t="shared" si="5"/>
        <v>2030</v>
      </c>
      <c r="K132" s="113">
        <v>0</v>
      </c>
      <c r="L132" s="2"/>
      <c r="M132" s="113">
        <v>0</v>
      </c>
      <c r="N132" s="2"/>
      <c r="O132" s="113">
        <v>0</v>
      </c>
      <c r="P132" s="2"/>
    </row>
    <row r="133" spans="1:16" x14ac:dyDescent="0.35">
      <c r="A133" s="2"/>
      <c r="B133" s="2"/>
      <c r="C133" s="2"/>
      <c r="D133" s="2"/>
      <c r="E133" s="2"/>
      <c r="F133" s="2"/>
      <c r="G133" s="2"/>
      <c r="H133" s="2"/>
      <c r="I133" s="22"/>
      <c r="J133" s="61">
        <f t="shared" si="5"/>
        <v>2031</v>
      </c>
      <c r="K133" s="113">
        <v>0</v>
      </c>
      <c r="L133" s="2"/>
      <c r="M133" s="113">
        <v>0</v>
      </c>
      <c r="N133" s="2"/>
      <c r="O133" s="113">
        <v>0</v>
      </c>
      <c r="P133" s="2"/>
    </row>
    <row r="134" spans="1:16" x14ac:dyDescent="0.35">
      <c r="A134" s="2"/>
      <c r="B134" s="2"/>
      <c r="C134" s="2"/>
      <c r="D134" s="2"/>
      <c r="E134" s="2"/>
      <c r="F134" s="2"/>
      <c r="G134" s="2"/>
      <c r="H134" s="2"/>
      <c r="I134" s="22"/>
      <c r="J134" s="61">
        <f t="shared" si="5"/>
        <v>2032</v>
      </c>
      <c r="K134" s="113">
        <v>0</v>
      </c>
      <c r="L134" s="2"/>
      <c r="M134" s="113">
        <v>0</v>
      </c>
      <c r="N134" s="2"/>
      <c r="O134" s="113">
        <v>0</v>
      </c>
      <c r="P134" s="2"/>
    </row>
    <row r="135" spans="1:16" x14ac:dyDescent="0.35">
      <c r="A135" s="2"/>
      <c r="B135" s="2"/>
      <c r="C135" s="2"/>
      <c r="D135" s="2"/>
      <c r="E135" s="2"/>
      <c r="F135" s="2"/>
      <c r="G135" s="2"/>
      <c r="H135" s="2"/>
      <c r="I135" s="22"/>
      <c r="J135" s="61">
        <f t="shared" si="5"/>
        <v>2033</v>
      </c>
      <c r="K135" s="113">
        <v>0</v>
      </c>
      <c r="L135" s="2"/>
      <c r="M135" s="113">
        <v>0</v>
      </c>
      <c r="N135" s="2"/>
      <c r="O135" s="113">
        <v>0</v>
      </c>
      <c r="P135" s="2"/>
    </row>
    <row r="136" spans="1:16" x14ac:dyDescent="0.35">
      <c r="A136" s="2"/>
      <c r="B136" s="2"/>
      <c r="C136" s="2"/>
      <c r="D136" s="2"/>
      <c r="E136" s="2"/>
      <c r="F136" s="2"/>
      <c r="G136" s="2"/>
      <c r="H136" s="2"/>
      <c r="I136" s="22"/>
      <c r="J136" s="61">
        <f t="shared" si="5"/>
        <v>2034</v>
      </c>
      <c r="K136" s="113">
        <v>0</v>
      </c>
      <c r="L136" s="2"/>
      <c r="M136" s="113">
        <v>0</v>
      </c>
      <c r="N136" s="2"/>
      <c r="O136" s="113">
        <v>0</v>
      </c>
      <c r="P136" s="2"/>
    </row>
    <row r="137" spans="1:16" x14ac:dyDescent="0.35">
      <c r="A137" s="2"/>
      <c r="B137" s="2"/>
      <c r="C137" s="2"/>
      <c r="D137" s="2"/>
      <c r="E137" s="2"/>
      <c r="F137" s="2"/>
      <c r="G137" s="2"/>
      <c r="H137" s="2"/>
      <c r="I137" s="22"/>
      <c r="J137" s="61">
        <f t="shared" si="5"/>
        <v>2035</v>
      </c>
      <c r="K137" s="113">
        <v>0</v>
      </c>
      <c r="L137" s="2"/>
      <c r="M137" s="113">
        <v>0</v>
      </c>
      <c r="N137" s="2"/>
      <c r="O137" s="113">
        <v>0</v>
      </c>
      <c r="P137" s="2"/>
    </row>
    <row r="138" spans="1:16" x14ac:dyDescent="0.35">
      <c r="A138" s="2"/>
      <c r="B138" s="2"/>
      <c r="C138" s="2"/>
      <c r="D138" s="2"/>
      <c r="E138" s="2"/>
      <c r="F138" s="2"/>
      <c r="G138" s="2"/>
      <c r="H138" s="2"/>
      <c r="I138" s="22"/>
      <c r="J138" s="61">
        <f t="shared" si="5"/>
        <v>2036</v>
      </c>
      <c r="K138" s="113">
        <v>0</v>
      </c>
      <c r="L138" s="2"/>
      <c r="M138" s="113">
        <v>0</v>
      </c>
      <c r="N138" s="2"/>
      <c r="O138" s="113">
        <v>0</v>
      </c>
      <c r="P138" s="2"/>
    </row>
    <row r="139" spans="1:16" x14ac:dyDescent="0.35">
      <c r="A139" s="2"/>
      <c r="B139" s="2"/>
      <c r="C139" s="2"/>
      <c r="D139" s="2"/>
      <c r="E139" s="2"/>
      <c r="F139" s="2"/>
      <c r="G139" s="2"/>
      <c r="H139" s="2"/>
      <c r="I139" s="22"/>
      <c r="J139" s="61">
        <f t="shared" si="5"/>
        <v>2037</v>
      </c>
      <c r="K139" s="113">
        <v>0</v>
      </c>
      <c r="L139" s="2"/>
      <c r="M139" s="113">
        <v>0</v>
      </c>
      <c r="N139" s="2"/>
      <c r="O139" s="113">
        <v>0</v>
      </c>
      <c r="P139" s="2"/>
    </row>
    <row r="140" spans="1:16" x14ac:dyDescent="0.35">
      <c r="A140" s="2"/>
      <c r="B140" s="2"/>
      <c r="C140" s="2"/>
      <c r="D140" s="2"/>
      <c r="E140" s="2"/>
      <c r="F140" s="2"/>
      <c r="G140" s="2"/>
      <c r="H140" s="2"/>
      <c r="I140" s="22"/>
      <c r="J140" s="61">
        <f t="shared" si="5"/>
        <v>2038</v>
      </c>
      <c r="K140" s="113">
        <v>0</v>
      </c>
      <c r="L140" s="2"/>
      <c r="M140" s="113">
        <v>0</v>
      </c>
      <c r="N140" s="2"/>
      <c r="O140" s="113">
        <v>0</v>
      </c>
      <c r="P140" s="2"/>
    </row>
    <row r="141" spans="1:16" x14ac:dyDescent="0.35">
      <c r="A141" s="2"/>
      <c r="B141" s="2"/>
      <c r="C141" s="2"/>
      <c r="D141" s="2"/>
      <c r="E141" s="2"/>
      <c r="F141" s="2"/>
      <c r="G141" s="2"/>
      <c r="H141" s="2"/>
      <c r="I141" s="22"/>
      <c r="J141" s="61">
        <f t="shared" si="5"/>
        <v>2039</v>
      </c>
      <c r="K141" s="113">
        <v>0</v>
      </c>
      <c r="L141" s="2"/>
      <c r="M141" s="113">
        <v>0</v>
      </c>
      <c r="N141" s="2"/>
      <c r="O141" s="113">
        <v>0</v>
      </c>
      <c r="P141" s="2"/>
    </row>
    <row r="142" spans="1:16" x14ac:dyDescent="0.35">
      <c r="A142" s="2"/>
      <c r="B142" s="2"/>
      <c r="C142" s="2"/>
      <c r="D142" s="2"/>
      <c r="E142" s="2"/>
      <c r="F142" s="2"/>
      <c r="G142" s="2"/>
      <c r="H142" s="2"/>
      <c r="I142" s="22"/>
      <c r="J142" s="61">
        <f t="shared" si="5"/>
        <v>2040</v>
      </c>
      <c r="K142" s="113">
        <v>0</v>
      </c>
      <c r="L142" s="2"/>
      <c r="M142" s="113">
        <v>0</v>
      </c>
      <c r="N142" s="2"/>
      <c r="O142" s="113">
        <v>0</v>
      </c>
      <c r="P142" s="2"/>
    </row>
    <row r="143" spans="1:16" x14ac:dyDescent="0.35">
      <c r="A143" s="2"/>
      <c r="B143" s="2"/>
      <c r="C143" s="2"/>
      <c r="D143" s="2"/>
      <c r="E143" s="2"/>
      <c r="F143" s="2"/>
      <c r="G143" s="2"/>
      <c r="H143" s="2"/>
      <c r="I143" s="22"/>
      <c r="J143" s="61">
        <f t="shared" si="5"/>
        <v>2041</v>
      </c>
      <c r="K143" s="113">
        <v>0</v>
      </c>
      <c r="L143" s="2"/>
      <c r="M143" s="113">
        <v>0</v>
      </c>
      <c r="N143" s="2"/>
      <c r="O143" s="113">
        <v>0</v>
      </c>
      <c r="P143" s="2"/>
    </row>
    <row r="144" spans="1:16" x14ac:dyDescent="0.35">
      <c r="A144" s="2"/>
      <c r="B144" s="2"/>
      <c r="C144" s="2"/>
      <c r="D144" s="2"/>
      <c r="E144" s="2"/>
      <c r="F144" s="2"/>
      <c r="G144" s="2"/>
      <c r="H144" s="2"/>
      <c r="I144" s="22"/>
      <c r="J144" s="61">
        <f t="shared" si="5"/>
        <v>2042</v>
      </c>
      <c r="K144" s="113">
        <v>0</v>
      </c>
      <c r="L144" s="2"/>
      <c r="M144" s="113">
        <v>0</v>
      </c>
      <c r="N144" s="2"/>
      <c r="O144" s="113">
        <v>0</v>
      </c>
      <c r="P144" s="2"/>
    </row>
    <row r="145" spans="1:16" x14ac:dyDescent="0.35">
      <c r="A145" s="2"/>
      <c r="B145" s="2"/>
      <c r="C145" s="2"/>
      <c r="D145" s="2"/>
      <c r="E145" s="2"/>
      <c r="F145" s="2"/>
      <c r="G145" s="2"/>
      <c r="H145" s="2"/>
      <c r="I145" s="22"/>
      <c r="J145" s="61">
        <f t="shared" si="5"/>
        <v>2043</v>
      </c>
      <c r="K145" s="113">
        <v>0</v>
      </c>
      <c r="L145" s="2"/>
      <c r="M145" s="113">
        <v>0</v>
      </c>
      <c r="N145" s="2"/>
      <c r="O145" s="113">
        <v>0</v>
      </c>
      <c r="P145" s="2"/>
    </row>
    <row r="146" spans="1:16" x14ac:dyDescent="0.35">
      <c r="A146" s="2"/>
      <c r="B146" s="2"/>
      <c r="C146" s="2"/>
      <c r="D146" s="2"/>
      <c r="E146" s="2"/>
      <c r="F146" s="2"/>
      <c r="G146" s="2"/>
      <c r="H146" s="2"/>
      <c r="I146" s="22"/>
      <c r="J146" s="61">
        <f t="shared" si="5"/>
        <v>2044</v>
      </c>
      <c r="K146" s="113">
        <v>0</v>
      </c>
      <c r="L146" s="2"/>
      <c r="M146" s="113">
        <v>0</v>
      </c>
      <c r="N146" s="2"/>
      <c r="O146" s="113">
        <v>0</v>
      </c>
      <c r="P146" s="2"/>
    </row>
    <row r="147" spans="1:16" x14ac:dyDescent="0.35">
      <c r="A147" s="2"/>
      <c r="B147" s="2"/>
      <c r="C147" s="2"/>
      <c r="D147" s="2"/>
      <c r="E147" s="2"/>
      <c r="F147" s="2"/>
      <c r="G147" s="2"/>
      <c r="H147" s="2"/>
      <c r="I147" s="22"/>
      <c r="J147" s="61">
        <f t="shared" si="5"/>
        <v>2045</v>
      </c>
      <c r="K147" s="113">
        <v>0</v>
      </c>
      <c r="L147" s="2"/>
      <c r="M147" s="113">
        <v>0</v>
      </c>
      <c r="N147" s="2"/>
      <c r="O147" s="113">
        <v>0</v>
      </c>
      <c r="P147" s="2"/>
    </row>
    <row r="148" spans="1:16" x14ac:dyDescent="0.35">
      <c r="A148" s="2"/>
      <c r="B148" s="2"/>
      <c r="C148" s="2"/>
      <c r="D148" s="2"/>
      <c r="E148" s="2"/>
      <c r="F148" s="2"/>
      <c r="G148" s="2"/>
      <c r="H148" s="2"/>
      <c r="I148" s="22"/>
      <c r="J148" s="61">
        <f t="shared" si="5"/>
        <v>2046</v>
      </c>
      <c r="K148" s="113">
        <v>0</v>
      </c>
      <c r="L148" s="2"/>
      <c r="M148" s="113">
        <v>0</v>
      </c>
      <c r="N148" s="2"/>
      <c r="O148" s="113">
        <v>0</v>
      </c>
      <c r="P148" s="2"/>
    </row>
    <row r="149" spans="1:16" x14ac:dyDescent="0.35">
      <c r="A149" s="2"/>
      <c r="B149" s="2"/>
      <c r="C149" s="2"/>
      <c r="D149" s="2"/>
      <c r="E149" s="2"/>
      <c r="F149" s="2"/>
      <c r="G149" s="2"/>
      <c r="H149" s="2"/>
      <c r="I149" s="22"/>
      <c r="J149" s="61">
        <f t="shared" si="5"/>
        <v>2047</v>
      </c>
      <c r="K149" s="113">
        <v>0</v>
      </c>
      <c r="L149" s="2"/>
      <c r="M149" s="113">
        <v>0</v>
      </c>
      <c r="N149" s="2"/>
      <c r="O149" s="113">
        <v>0</v>
      </c>
      <c r="P149" s="2"/>
    </row>
    <row r="150" spans="1:16" x14ac:dyDescent="0.35">
      <c r="A150" s="2"/>
      <c r="B150" s="2"/>
      <c r="C150" s="2"/>
      <c r="D150" s="2"/>
      <c r="E150" s="2"/>
      <c r="F150" s="2"/>
      <c r="G150" s="2"/>
      <c r="H150" s="2"/>
      <c r="I150" s="22"/>
      <c r="J150" s="61">
        <f t="shared" si="5"/>
        <v>2048</v>
      </c>
      <c r="K150" s="113">
        <v>0</v>
      </c>
      <c r="L150" s="2"/>
      <c r="M150" s="113">
        <v>0</v>
      </c>
      <c r="N150" s="2"/>
      <c r="O150" s="113">
        <v>0</v>
      </c>
      <c r="P150" s="2"/>
    </row>
    <row r="151" spans="1:16" x14ac:dyDescent="0.35">
      <c r="A151" s="2"/>
      <c r="B151" s="2"/>
      <c r="C151" s="2"/>
      <c r="D151" s="2"/>
      <c r="E151" s="2"/>
      <c r="F151" s="2"/>
      <c r="G151" s="2"/>
      <c r="H151" s="2"/>
      <c r="I151" s="22"/>
      <c r="J151" s="61">
        <f t="shared" si="5"/>
        <v>2049</v>
      </c>
      <c r="K151" s="113">
        <v>0</v>
      </c>
      <c r="L151" s="2"/>
      <c r="M151" s="113">
        <v>0</v>
      </c>
      <c r="N151" s="2"/>
      <c r="O151" s="113">
        <v>0</v>
      </c>
      <c r="P151" s="2"/>
    </row>
    <row r="152" spans="1:16" x14ac:dyDescent="0.35">
      <c r="A152" s="2"/>
      <c r="B152" s="2"/>
      <c r="C152" s="2"/>
      <c r="D152" s="2"/>
      <c r="E152" s="2"/>
      <c r="F152" s="2"/>
      <c r="G152" s="2"/>
      <c r="H152" s="2"/>
      <c r="I152" s="22"/>
      <c r="J152" s="61">
        <f t="shared" si="5"/>
        <v>2050</v>
      </c>
      <c r="K152" s="113">
        <v>0</v>
      </c>
      <c r="L152" s="2"/>
      <c r="M152" s="113">
        <v>0</v>
      </c>
      <c r="N152" s="2"/>
      <c r="O152" s="113">
        <v>0</v>
      </c>
      <c r="P152" s="2"/>
    </row>
    <row r="153" spans="1:16" x14ac:dyDescent="0.35">
      <c r="A153" s="2"/>
      <c r="B153" s="2"/>
      <c r="C153" s="2"/>
      <c r="D153" s="2"/>
      <c r="E153" s="2"/>
      <c r="F153" s="2"/>
      <c r="G153" s="2"/>
      <c r="H153" s="2"/>
      <c r="I153" s="22"/>
      <c r="J153" s="61">
        <f t="shared" si="5"/>
        <v>2051</v>
      </c>
      <c r="K153" s="113">
        <v>0</v>
      </c>
      <c r="L153" s="2"/>
      <c r="M153" s="113">
        <v>0</v>
      </c>
      <c r="N153" s="2"/>
      <c r="O153" s="113">
        <v>0</v>
      </c>
      <c r="P153" s="2"/>
    </row>
    <row r="154" spans="1:16" x14ac:dyDescent="0.35">
      <c r="A154" s="2"/>
      <c r="B154" s="2"/>
      <c r="C154" s="2"/>
      <c r="D154" s="2"/>
      <c r="E154" s="2"/>
      <c r="F154" s="2"/>
      <c r="G154" s="2"/>
      <c r="H154" s="2"/>
      <c r="I154" s="22"/>
      <c r="J154" s="61">
        <f t="shared" si="5"/>
        <v>2052</v>
      </c>
      <c r="K154" s="113">
        <v>0</v>
      </c>
      <c r="L154" s="2"/>
      <c r="M154" s="113">
        <v>0</v>
      </c>
      <c r="N154" s="2"/>
      <c r="O154" s="113">
        <v>0</v>
      </c>
      <c r="P154" s="2"/>
    </row>
    <row r="155" spans="1:16" x14ac:dyDescent="0.35">
      <c r="A155" s="2"/>
      <c r="B155" s="2"/>
      <c r="C155" s="2"/>
      <c r="D155" s="2"/>
      <c r="E155" s="2"/>
      <c r="F155" s="2"/>
      <c r="G155" s="2"/>
      <c r="H155" s="2"/>
      <c r="I155" s="22"/>
      <c r="J155" s="61">
        <f t="shared" si="5"/>
        <v>2053</v>
      </c>
      <c r="K155" s="113">
        <v>0</v>
      </c>
      <c r="L155" s="2"/>
      <c r="M155" s="113">
        <v>0</v>
      </c>
      <c r="N155" s="2"/>
      <c r="O155" s="113">
        <v>0</v>
      </c>
      <c r="P155" s="2"/>
    </row>
    <row r="156" spans="1:16" x14ac:dyDescent="0.35">
      <c r="A156" s="2"/>
      <c r="B156" s="2"/>
      <c r="C156" s="2"/>
      <c r="D156" s="2"/>
      <c r="E156" s="2"/>
      <c r="F156" s="2"/>
      <c r="G156" s="2"/>
      <c r="H156" s="2"/>
      <c r="I156" s="22"/>
      <c r="J156" s="61">
        <f t="shared" si="5"/>
        <v>2054</v>
      </c>
      <c r="K156" s="113">
        <v>0</v>
      </c>
      <c r="L156" s="2"/>
      <c r="M156" s="113">
        <v>0</v>
      </c>
      <c r="N156" s="2"/>
      <c r="O156" s="113">
        <v>0</v>
      </c>
      <c r="P156" s="2"/>
    </row>
    <row r="157" spans="1:16" x14ac:dyDescent="0.35">
      <c r="A157" s="2"/>
      <c r="B157" s="2"/>
      <c r="C157" s="2"/>
      <c r="D157" s="2"/>
      <c r="E157" s="2"/>
      <c r="F157" s="2"/>
      <c r="G157" s="2"/>
      <c r="H157" s="2"/>
      <c r="I157" s="22"/>
      <c r="J157" s="61">
        <f t="shared" si="5"/>
        <v>2055</v>
      </c>
      <c r="K157" s="113">
        <v>0</v>
      </c>
      <c r="L157" s="2"/>
      <c r="M157" s="113">
        <v>0</v>
      </c>
      <c r="N157" s="2"/>
      <c r="O157" s="113">
        <v>0</v>
      </c>
      <c r="P157" s="2"/>
    </row>
    <row r="158" spans="1:16" x14ac:dyDescent="0.35">
      <c r="A158" s="2"/>
      <c r="B158" s="2"/>
      <c r="C158" s="2"/>
      <c r="D158" s="2"/>
      <c r="E158" s="2"/>
      <c r="F158" s="2"/>
      <c r="G158" s="2"/>
      <c r="H158" s="2"/>
      <c r="I158" s="22"/>
      <c r="J158" s="61">
        <f t="shared" si="5"/>
        <v>2056</v>
      </c>
      <c r="K158" s="113">
        <v>0</v>
      </c>
      <c r="L158" s="2"/>
      <c r="M158" s="113">
        <v>0</v>
      </c>
      <c r="N158" s="2"/>
      <c r="O158" s="113">
        <v>0</v>
      </c>
      <c r="P158" s="2"/>
    </row>
    <row r="159" spans="1:16" x14ac:dyDescent="0.35">
      <c r="A159" s="2"/>
      <c r="B159" s="2"/>
      <c r="C159" s="2"/>
      <c r="D159" s="2"/>
      <c r="E159" s="2"/>
      <c r="F159" s="2"/>
      <c r="G159" s="2"/>
      <c r="H159" s="2"/>
      <c r="I159" s="22"/>
      <c r="J159" s="61">
        <f t="shared" si="5"/>
        <v>2057</v>
      </c>
      <c r="K159" s="113">
        <v>0</v>
      </c>
      <c r="L159" s="2"/>
      <c r="M159" s="113">
        <v>0</v>
      </c>
      <c r="N159" s="2"/>
      <c r="O159" s="113">
        <v>0</v>
      </c>
      <c r="P159" s="2"/>
    </row>
    <row r="160" spans="1:16" x14ac:dyDescent="0.35">
      <c r="A160" s="2"/>
      <c r="B160" s="2"/>
      <c r="C160" s="2"/>
      <c r="D160" s="2"/>
      <c r="E160" s="2"/>
      <c r="F160" s="2"/>
      <c r="G160" s="2"/>
      <c r="H160" s="2"/>
      <c r="I160" s="22"/>
      <c r="J160" s="61">
        <f t="shared" si="5"/>
        <v>2058</v>
      </c>
      <c r="K160" s="113">
        <v>0</v>
      </c>
      <c r="L160" s="2"/>
      <c r="M160" s="113">
        <v>0</v>
      </c>
      <c r="N160" s="2"/>
      <c r="O160" s="113">
        <v>0</v>
      </c>
      <c r="P160" s="2"/>
    </row>
    <row r="161" spans="1:16" x14ac:dyDescent="0.35">
      <c r="A161" s="2"/>
      <c r="B161" s="2"/>
      <c r="C161" s="2"/>
      <c r="D161" s="2"/>
      <c r="E161" s="2"/>
      <c r="F161" s="2"/>
      <c r="G161" s="2"/>
      <c r="H161" s="2"/>
      <c r="I161" s="22"/>
      <c r="J161" s="61">
        <f t="shared" si="5"/>
        <v>2059</v>
      </c>
      <c r="K161" s="113">
        <v>0</v>
      </c>
      <c r="L161" s="2"/>
      <c r="M161" s="113">
        <v>0</v>
      </c>
      <c r="N161" s="2"/>
      <c r="O161" s="113">
        <v>0</v>
      </c>
      <c r="P161" s="2"/>
    </row>
    <row r="162" spans="1:16" x14ac:dyDescent="0.35">
      <c r="A162" s="2"/>
      <c r="B162" s="2"/>
      <c r="C162" s="2"/>
      <c r="D162" s="24"/>
      <c r="F162" s="2"/>
      <c r="G162" s="2"/>
      <c r="I162" s="22"/>
      <c r="J162" s="61">
        <f t="shared" si="5"/>
        <v>2060</v>
      </c>
      <c r="K162" s="113">
        <v>0</v>
      </c>
      <c r="L162" s="2"/>
      <c r="M162" s="113">
        <v>0</v>
      </c>
      <c r="N162" s="2"/>
      <c r="O162" s="113">
        <v>0</v>
      </c>
      <c r="P162" s="2"/>
    </row>
    <row r="163" spans="1:16" x14ac:dyDescent="0.35">
      <c r="A163" s="2"/>
      <c r="B163" s="2"/>
      <c r="C163" s="2"/>
      <c r="D163" s="24"/>
      <c r="E163" s="2"/>
      <c r="F163" s="2"/>
      <c r="G163" s="2"/>
      <c r="H163" s="2"/>
      <c r="I163" s="21"/>
      <c r="J163" s="2"/>
      <c r="K163" s="2"/>
      <c r="L163" s="2"/>
      <c r="M163" s="2"/>
      <c r="N163" s="2"/>
      <c r="O163" s="2"/>
      <c r="P163" s="2"/>
    </row>
    <row r="164" spans="1:16" x14ac:dyDescent="0.35">
      <c r="A164" s="2"/>
      <c r="B164" s="2"/>
      <c r="C164" s="2"/>
      <c r="D164" s="62">
        <v>6</v>
      </c>
      <c r="E164" s="28" t="s">
        <v>116</v>
      </c>
      <c r="F164" s="29"/>
      <c r="G164" s="29"/>
      <c r="H164" s="29"/>
      <c r="I164" s="30"/>
      <c r="J164" s="29"/>
      <c r="K164" s="29"/>
      <c r="L164" s="29"/>
      <c r="M164" s="29"/>
      <c r="N164" s="29"/>
      <c r="O164" s="29"/>
      <c r="P164" s="29"/>
    </row>
    <row r="165" spans="1:16" x14ac:dyDescent="0.35">
      <c r="A165" s="2"/>
      <c r="B165" s="2"/>
      <c r="C165" s="2"/>
      <c r="D165" s="37" t="s">
        <v>166</v>
      </c>
      <c r="E165" s="38"/>
      <c r="F165" s="38"/>
      <c r="G165" s="38"/>
      <c r="H165" s="38"/>
      <c r="I165" s="39"/>
      <c r="J165" s="38"/>
      <c r="K165" s="38"/>
      <c r="L165" s="38"/>
      <c r="M165" s="38"/>
      <c r="N165" s="38"/>
      <c r="O165" s="38"/>
      <c r="P165" s="38"/>
    </row>
    <row r="166" spans="1:16" x14ac:dyDescent="0.35">
      <c r="A166" s="2"/>
      <c r="B166" s="2"/>
      <c r="C166" s="2"/>
      <c r="D166" s="24"/>
      <c r="E166" s="2"/>
      <c r="F166" s="2"/>
      <c r="G166" s="2"/>
      <c r="H166" s="2"/>
      <c r="I166" s="21"/>
      <c r="J166" s="2"/>
      <c r="K166" s="2"/>
      <c r="L166" s="2"/>
      <c r="M166" s="2"/>
      <c r="N166" s="2"/>
      <c r="O166" s="2"/>
      <c r="P166" s="2"/>
    </row>
    <row r="167" spans="1:16" x14ac:dyDescent="0.35">
      <c r="A167" s="2"/>
      <c r="B167" s="2"/>
      <c r="C167" s="2"/>
      <c r="D167" s="61" t="s">
        <v>171</v>
      </c>
      <c r="E167" s="2" t="s">
        <v>101</v>
      </c>
      <c r="F167" s="2"/>
      <c r="G167" s="2"/>
      <c r="H167" s="2"/>
      <c r="I167" s="22" t="str">
        <f t="shared" ref="I167:I168" si="6">$I$7</f>
        <v>PLN</v>
      </c>
      <c r="J167" s="2"/>
      <c r="K167" s="113">
        <v>0</v>
      </c>
      <c r="L167" s="2"/>
      <c r="M167" s="113">
        <v>0</v>
      </c>
      <c r="N167" s="2"/>
      <c r="O167" s="113">
        <v>0</v>
      </c>
      <c r="P167" s="2"/>
    </row>
    <row r="168" spans="1:16" x14ac:dyDescent="0.35">
      <c r="A168" s="2"/>
      <c r="B168" s="2"/>
      <c r="C168" s="2"/>
      <c r="D168" s="61" t="s">
        <v>172</v>
      </c>
      <c r="E168" s="2" t="s">
        <v>102</v>
      </c>
      <c r="F168" s="2"/>
      <c r="G168" s="2"/>
      <c r="H168" s="2"/>
      <c r="I168" s="22" t="str">
        <f t="shared" si="6"/>
        <v>PLN</v>
      </c>
      <c r="J168" s="2"/>
      <c r="K168" s="113">
        <v>0</v>
      </c>
      <c r="L168" s="2"/>
      <c r="M168" s="113">
        <v>0</v>
      </c>
      <c r="N168" s="2"/>
      <c r="O168" s="113">
        <v>0</v>
      </c>
      <c r="P168" s="2"/>
    </row>
    <row r="169" spans="1:16" x14ac:dyDescent="0.35">
      <c r="A169" s="2"/>
      <c r="B169" s="2"/>
      <c r="C169" s="2"/>
      <c r="D169" s="24"/>
      <c r="E169" s="2"/>
      <c r="F169" s="2"/>
      <c r="G169" s="2"/>
      <c r="H169" s="2"/>
      <c r="I169" s="21"/>
      <c r="J169" s="2"/>
      <c r="K169" s="2"/>
      <c r="L169" s="2"/>
      <c r="M169" s="2"/>
      <c r="N169" s="2"/>
      <c r="O169" s="2"/>
      <c r="P169" s="2"/>
    </row>
    <row r="170" spans="1:16" ht="15.75" customHeight="1" x14ac:dyDescent="0.35">
      <c r="A170" s="2"/>
      <c r="B170" s="2"/>
      <c r="C170" s="2"/>
      <c r="D170" s="62">
        <v>7</v>
      </c>
      <c r="E170" s="28" t="s">
        <v>36</v>
      </c>
      <c r="F170" s="29"/>
      <c r="G170" s="29"/>
      <c r="H170" s="29"/>
      <c r="I170" s="30"/>
      <c r="J170" s="29"/>
      <c r="K170" s="29" t="s">
        <v>69</v>
      </c>
      <c r="L170" s="29"/>
      <c r="M170" s="29" t="s">
        <v>69</v>
      </c>
      <c r="N170" s="29"/>
      <c r="O170" s="29" t="s">
        <v>69</v>
      </c>
      <c r="P170" s="29"/>
    </row>
    <row r="171" spans="1:16" x14ac:dyDescent="0.35">
      <c r="A171" s="2"/>
      <c r="B171" s="2"/>
      <c r="C171" s="2"/>
      <c r="D171" s="24"/>
      <c r="E171" s="2"/>
      <c r="F171" s="2"/>
      <c r="G171" s="2"/>
      <c r="H171" s="2"/>
      <c r="I171" s="21"/>
      <c r="J171" s="2"/>
      <c r="K171" s="2"/>
      <c r="L171" s="2"/>
      <c r="M171" s="2"/>
      <c r="N171" s="2"/>
      <c r="O171" s="2"/>
      <c r="P171" s="2"/>
    </row>
    <row r="172" spans="1:16" x14ac:dyDescent="0.35">
      <c r="A172" s="2"/>
      <c r="B172" s="2"/>
      <c r="C172" s="2"/>
      <c r="D172" s="61" t="s">
        <v>171</v>
      </c>
      <c r="E172" s="2" t="s">
        <v>79</v>
      </c>
      <c r="F172" s="2"/>
      <c r="G172" s="2"/>
      <c r="H172" s="2"/>
      <c r="I172" s="22" t="s">
        <v>113</v>
      </c>
      <c r="J172" s="2"/>
      <c r="K172" s="109" t="s">
        <v>263</v>
      </c>
      <c r="L172" s="2"/>
      <c r="M172" s="110" t="s">
        <v>263</v>
      </c>
      <c r="N172" s="2"/>
      <c r="O172" s="110" t="s">
        <v>263</v>
      </c>
      <c r="P172" s="2"/>
    </row>
    <row r="173" spans="1:16" x14ac:dyDescent="0.35">
      <c r="A173" s="2"/>
      <c r="B173" s="2"/>
      <c r="C173" s="2"/>
      <c r="D173" s="61" t="s">
        <v>172</v>
      </c>
      <c r="E173" s="2" t="s">
        <v>73</v>
      </c>
      <c r="F173" s="2"/>
      <c r="G173" s="2"/>
      <c r="H173" s="2"/>
      <c r="I173" s="22" t="s">
        <v>115</v>
      </c>
      <c r="J173" s="2"/>
      <c r="K173" s="114">
        <v>1</v>
      </c>
      <c r="L173" s="2"/>
      <c r="M173" s="114">
        <v>1</v>
      </c>
      <c r="N173" s="2"/>
      <c r="O173" s="114">
        <v>1</v>
      </c>
      <c r="P173" s="2"/>
    </row>
    <row r="174" spans="1:16" ht="16.5" customHeight="1" x14ac:dyDescent="0.35">
      <c r="A174" s="2"/>
      <c r="B174" s="2"/>
      <c r="C174" s="2"/>
      <c r="D174" s="2"/>
      <c r="E174" s="2"/>
      <c r="F174" s="2"/>
      <c r="G174" s="2"/>
      <c r="H174" s="2"/>
      <c r="I174" s="22"/>
      <c r="J174" s="2"/>
      <c r="L174" s="2"/>
      <c r="N174" s="2"/>
      <c r="P174" s="2"/>
    </row>
    <row r="175" spans="1:16" ht="16.5" customHeight="1" x14ac:dyDescent="0.35">
      <c r="A175" s="2"/>
      <c r="B175" s="2"/>
      <c r="C175" s="2"/>
      <c r="D175" s="61" t="s">
        <v>173</v>
      </c>
      <c r="E175" s="2" t="s">
        <v>186</v>
      </c>
      <c r="F175" s="2"/>
      <c r="G175" s="2"/>
      <c r="H175" s="2"/>
      <c r="I175" s="22" t="s">
        <v>115</v>
      </c>
      <c r="J175" s="2"/>
      <c r="K175" s="12">
        <f>SUM(K176*8%,K177*23%)</f>
        <v>0.23</v>
      </c>
      <c r="L175" s="2"/>
      <c r="M175" s="12">
        <f>SUM(M176*8%,M177*23%)</f>
        <v>0.23</v>
      </c>
      <c r="N175" s="2"/>
      <c r="O175" s="12">
        <f>SUM(O176*8%,O177*23%)</f>
        <v>0.23</v>
      </c>
      <c r="P175" s="2"/>
    </row>
    <row r="176" spans="1:16" ht="16.5" customHeight="1" x14ac:dyDescent="0.35">
      <c r="A176" s="2"/>
      <c r="B176" s="2"/>
      <c r="C176" s="2"/>
      <c r="D176" s="2"/>
      <c r="E176" s="2"/>
      <c r="F176" s="2" t="s">
        <v>145</v>
      </c>
      <c r="G176" s="2"/>
      <c r="H176" s="2"/>
      <c r="I176" s="22" t="s">
        <v>115</v>
      </c>
      <c r="J176" s="2"/>
      <c r="K176" s="114">
        <v>0</v>
      </c>
      <c r="L176" s="2"/>
      <c r="M176" s="114">
        <v>0</v>
      </c>
      <c r="N176" s="2"/>
      <c r="O176" s="114">
        <v>0</v>
      </c>
      <c r="P176" s="2"/>
    </row>
    <row r="177" spans="1:16" ht="16.5" customHeight="1" x14ac:dyDescent="0.35">
      <c r="A177" s="2"/>
      <c r="B177" s="2"/>
      <c r="C177" s="2"/>
      <c r="D177" s="2"/>
      <c r="E177" s="2"/>
      <c r="F177" s="2" t="s">
        <v>146</v>
      </c>
      <c r="G177" s="2"/>
      <c r="H177" s="2"/>
      <c r="I177" s="22" t="s">
        <v>115</v>
      </c>
      <c r="J177" s="2"/>
      <c r="K177" s="12">
        <f>1-K176</f>
        <v>1</v>
      </c>
      <c r="L177" s="2"/>
      <c r="M177" s="12">
        <f>1-M176</f>
        <v>1</v>
      </c>
      <c r="N177" s="2"/>
      <c r="O177" s="12">
        <f>1-O176</f>
        <v>1</v>
      </c>
      <c r="P177" s="2"/>
    </row>
    <row r="178" spans="1:16" x14ac:dyDescent="0.35">
      <c r="A178" s="2"/>
      <c r="B178" s="2"/>
      <c r="C178" s="2"/>
      <c r="D178" s="2"/>
      <c r="E178" s="2"/>
      <c r="F178" s="2"/>
      <c r="G178" s="2"/>
      <c r="H178" s="2"/>
      <c r="I178" s="21"/>
      <c r="J178" s="2"/>
      <c r="K178" s="2"/>
      <c r="L178" s="2"/>
      <c r="M178" s="2"/>
      <c r="N178" s="2"/>
      <c r="O178" s="2"/>
      <c r="P178" s="2"/>
    </row>
    <row r="179" spans="1:16" ht="16.5" customHeight="1" x14ac:dyDescent="0.35">
      <c r="A179" s="2"/>
      <c r="B179" s="2"/>
      <c r="C179" s="2"/>
      <c r="D179" s="61" t="s">
        <v>174</v>
      </c>
      <c r="E179" s="2" t="s">
        <v>80</v>
      </c>
      <c r="F179" s="2"/>
      <c r="G179" s="2"/>
      <c r="H179" s="2"/>
      <c r="I179" s="22" t="s">
        <v>113</v>
      </c>
      <c r="J179" s="2"/>
      <c r="K179" s="115" t="s">
        <v>103</v>
      </c>
      <c r="L179" s="2"/>
      <c r="M179" s="115" t="s">
        <v>103</v>
      </c>
      <c r="N179" s="2"/>
      <c r="O179" s="115" t="s">
        <v>103</v>
      </c>
      <c r="P179" s="2"/>
    </row>
    <row r="180" spans="1:16" x14ac:dyDescent="0.35">
      <c r="A180" s="2"/>
      <c r="B180" s="2"/>
      <c r="C180" s="2"/>
      <c r="D180" s="24"/>
      <c r="E180" s="2"/>
      <c r="F180" s="2"/>
      <c r="G180" s="2"/>
      <c r="H180" s="2"/>
      <c r="I180" s="21"/>
      <c r="J180" s="2"/>
      <c r="K180" s="2"/>
      <c r="L180" s="2"/>
      <c r="M180" s="2"/>
      <c r="N180" s="2"/>
      <c r="O180" s="2"/>
      <c r="P180" s="2"/>
    </row>
    <row r="181" spans="1:16" ht="15.75" customHeight="1" x14ac:dyDescent="0.35">
      <c r="A181" s="2"/>
      <c r="B181" s="2"/>
      <c r="C181" s="2"/>
      <c r="D181" s="62">
        <v>8</v>
      </c>
      <c r="E181" s="28" t="s">
        <v>185</v>
      </c>
      <c r="F181" s="29"/>
      <c r="G181" s="29"/>
      <c r="H181" s="29"/>
      <c r="I181" s="30"/>
      <c r="J181" s="29"/>
      <c r="K181" s="29"/>
      <c r="L181" s="29"/>
      <c r="M181" s="29"/>
      <c r="N181" s="29"/>
      <c r="O181" s="29"/>
      <c r="P181" s="29"/>
    </row>
    <row r="182" spans="1:16" x14ac:dyDescent="0.35">
      <c r="A182" s="2"/>
      <c r="B182" s="2"/>
      <c r="C182" s="2"/>
      <c r="D182" s="24"/>
      <c r="E182" s="2"/>
      <c r="F182" s="2"/>
      <c r="G182" s="2"/>
      <c r="H182" s="2"/>
      <c r="I182" s="21"/>
      <c r="J182" s="2"/>
      <c r="K182" s="2"/>
      <c r="L182" s="2"/>
      <c r="M182" s="2"/>
      <c r="N182" s="2"/>
      <c r="O182" s="2"/>
      <c r="P182" s="2"/>
    </row>
    <row r="183" spans="1:16" ht="26.25" customHeight="1" x14ac:dyDescent="0.35">
      <c r="A183" s="2"/>
      <c r="B183" s="2"/>
      <c r="C183" s="2"/>
      <c r="D183" s="2" t="s">
        <v>171</v>
      </c>
      <c r="E183" s="2" t="s">
        <v>183</v>
      </c>
      <c r="F183" s="2"/>
      <c r="G183" s="2"/>
      <c r="H183" s="2"/>
      <c r="I183" s="21" t="s">
        <v>113</v>
      </c>
      <c r="J183" s="2"/>
      <c r="K183" s="57" t="str">
        <f>Założenia!K192</f>
        <v>Należy dokonać ponownego przeliczenia</v>
      </c>
      <c r="L183" s="2"/>
      <c r="M183" s="57" t="str">
        <f>Założenia!M192</f>
        <v>Należy dokonać ponownego przeliczenia</v>
      </c>
      <c r="N183" s="2"/>
      <c r="O183" s="57" t="str">
        <f>Założenia!O192</f>
        <v>Należy dokonać ponownego przeliczenia</v>
      </c>
      <c r="P183" s="2"/>
    </row>
    <row r="184" spans="1:16" x14ac:dyDescent="0.35">
      <c r="A184" s="2"/>
      <c r="B184" s="2"/>
      <c r="C184" s="2"/>
      <c r="D184" s="24" t="s">
        <v>172</v>
      </c>
      <c r="E184" s="2" t="s">
        <v>184</v>
      </c>
      <c r="F184" s="2"/>
      <c r="G184" s="2"/>
      <c r="H184" s="2"/>
      <c r="I184" s="21"/>
      <c r="J184" s="2"/>
      <c r="K184" s="2"/>
      <c r="L184" s="2"/>
      <c r="M184" s="2"/>
      <c r="N184" s="2"/>
      <c r="O184" s="2"/>
      <c r="P184" s="2"/>
    </row>
    <row r="185" spans="1:16" x14ac:dyDescent="0.35">
      <c r="A185" s="2"/>
      <c r="B185" s="2"/>
      <c r="C185" s="2"/>
      <c r="D185" s="24"/>
      <c r="E185" s="2"/>
      <c r="F185" s="2"/>
      <c r="G185" s="2"/>
      <c r="H185" s="24"/>
      <c r="I185" s="21"/>
      <c r="J185" s="2"/>
      <c r="K185" s="2"/>
      <c r="L185" s="2"/>
      <c r="M185" s="2"/>
      <c r="N185" s="2"/>
      <c r="O185" s="2"/>
      <c r="P185" s="2"/>
    </row>
    <row r="186" spans="1:16" x14ac:dyDescent="0.35">
      <c r="A186" s="2"/>
      <c r="B186" s="2"/>
      <c r="C186" s="2"/>
      <c r="D186" s="24"/>
      <c r="E186" s="2"/>
      <c r="F186" s="2"/>
      <c r="G186" s="2"/>
      <c r="H186" s="24"/>
      <c r="I186" s="21"/>
      <c r="J186" s="2"/>
      <c r="K186" s="2"/>
      <c r="L186" s="2"/>
      <c r="M186" s="2"/>
      <c r="N186" s="2"/>
      <c r="O186" s="2"/>
      <c r="P186" s="2"/>
    </row>
    <row r="187" spans="1:16" x14ac:dyDescent="0.35">
      <c r="A187" s="2"/>
      <c r="B187" s="2"/>
      <c r="C187" s="2"/>
      <c r="D187" s="24"/>
      <c r="E187" s="2"/>
      <c r="F187" s="2"/>
      <c r="G187" s="2"/>
      <c r="H187" s="24"/>
      <c r="I187" s="21"/>
      <c r="J187" s="2"/>
      <c r="K187" s="2"/>
      <c r="L187" s="2"/>
      <c r="M187" s="2"/>
      <c r="N187" s="2"/>
      <c r="O187" s="2"/>
      <c r="P187" s="2"/>
    </row>
    <row r="188" spans="1:16" hidden="1" x14ac:dyDescent="0.35">
      <c r="A188" s="2"/>
      <c r="B188" s="2"/>
      <c r="C188" s="2"/>
      <c r="D188" s="24"/>
      <c r="E188" s="2" t="s">
        <v>77</v>
      </c>
      <c r="F188" s="2"/>
      <c r="G188" s="2"/>
      <c r="H188" s="24"/>
      <c r="I188" s="22" t="s">
        <v>115</v>
      </c>
      <c r="J188" s="2"/>
      <c r="K188" s="12">
        <f>'zakładka techniczna'!$N$26</f>
        <v>0.12</v>
      </c>
      <c r="L188" s="2"/>
      <c r="M188" s="12">
        <f>'zakładka techniczna'!$N$26</f>
        <v>0.12</v>
      </c>
      <c r="N188" s="2"/>
      <c r="O188" s="12">
        <f>'zakładka techniczna'!$N$26</f>
        <v>0.12</v>
      </c>
      <c r="P188" s="2"/>
    </row>
    <row r="189" spans="1:16" hidden="1" x14ac:dyDescent="0.35">
      <c r="A189" s="2"/>
      <c r="B189" s="2"/>
      <c r="C189" s="2"/>
      <c r="D189" s="24"/>
      <c r="E189" s="2" t="s">
        <v>58</v>
      </c>
      <c r="F189" s="2"/>
      <c r="G189" s="2"/>
      <c r="H189" s="24"/>
      <c r="I189" s="22" t="s">
        <v>115</v>
      </c>
      <c r="J189" s="2"/>
      <c r="K189" s="12">
        <f>'Wariant 1'!N210</f>
        <v>0</v>
      </c>
      <c r="L189" s="2"/>
      <c r="M189" s="12">
        <f>'Wariant 2'!N$210</f>
        <v>0</v>
      </c>
      <c r="N189" s="2"/>
      <c r="O189" s="12">
        <f>'Wariant 3'!N$210</f>
        <v>0</v>
      </c>
      <c r="P189" s="2"/>
    </row>
    <row r="190" spans="1:16" hidden="1" x14ac:dyDescent="0.35">
      <c r="A190" s="2"/>
      <c r="B190" s="2"/>
      <c r="C190" s="2"/>
      <c r="D190" s="24"/>
      <c r="E190" s="2" t="s">
        <v>55</v>
      </c>
      <c r="F190" s="2"/>
      <c r="G190" s="2"/>
      <c r="H190" s="24"/>
      <c r="I190" s="22" t="str">
        <f>Założenia!$I$7</f>
        <v>PLN</v>
      </c>
      <c r="J190" s="2"/>
      <c r="K190" s="117">
        <v>0</v>
      </c>
      <c r="L190" s="2"/>
      <c r="M190" s="117">
        <v>0</v>
      </c>
      <c r="N190" s="2"/>
      <c r="O190" s="117">
        <v>0</v>
      </c>
      <c r="P190" s="2"/>
    </row>
    <row r="191" spans="1:16" hidden="1" x14ac:dyDescent="0.35">
      <c r="A191" s="2"/>
      <c r="B191" s="2"/>
      <c r="C191" s="2"/>
      <c r="D191" s="24"/>
      <c r="E191" s="2" t="s">
        <v>78</v>
      </c>
      <c r="F191" s="2"/>
      <c r="G191" s="2"/>
      <c r="H191" s="24"/>
      <c r="I191" s="22" t="s">
        <v>113</v>
      </c>
      <c r="J191" s="2"/>
      <c r="K191" s="26">
        <f>ROUND(IF(w.1="nie",0,(IRR.w1-IRR.goal.w1)*100),2)</f>
        <v>-12</v>
      </c>
      <c r="L191" s="2"/>
      <c r="M191" s="26">
        <f>ROUND(IF(w.2="nie",0,(IRR.w2-IRR.goal.w2)*100),2)</f>
        <v>-12</v>
      </c>
      <c r="N191" s="2"/>
      <c r="O191" s="26">
        <f>ROUND(IF(w.3="nie",0,(IRR.w3-IRR.goal.w3)*100),2)</f>
        <v>-12</v>
      </c>
      <c r="P191" s="2"/>
    </row>
    <row r="192" spans="1:16" ht="28" hidden="1" x14ac:dyDescent="0.35">
      <c r="A192" s="2"/>
      <c r="B192" s="2"/>
      <c r="C192" s="2"/>
      <c r="D192" s="24"/>
      <c r="E192" s="54"/>
      <c r="F192" s="54" t="s">
        <v>170</v>
      </c>
      <c r="G192" s="2"/>
      <c r="H192" s="24"/>
      <c r="I192" s="21"/>
      <c r="J192" s="2"/>
      <c r="K192" s="57" t="str">
        <f>IF(ROUND(irr.diff.w1,4)=0,"Obliczenia poprawne","Należy dokonać ponownego przeliczenia")</f>
        <v>Należy dokonać ponownego przeliczenia</v>
      </c>
      <c r="L192" s="2"/>
      <c r="M192" s="57" t="str">
        <f>IF(ROUND(irr.diff.w2,4)=0,"Obliczenia poprawne","Należy dokonać ponownego przeliczenia")</f>
        <v>Należy dokonać ponownego przeliczenia</v>
      </c>
      <c r="N192" s="2"/>
      <c r="O192" s="57" t="str">
        <f>IF(ROUND(irr.diff.w3,4)=0,"Obliczenia poprawne","Należy dokonać ponownego przeliczenia")</f>
        <v>Należy dokonać ponownego przeliczenia</v>
      </c>
      <c r="P192" s="2"/>
    </row>
    <row r="193" spans="1:16" hidden="1" x14ac:dyDescent="0.35">
      <c r="A193" s="2"/>
      <c r="B193" s="2"/>
      <c r="C193" s="2"/>
      <c r="D193" s="24"/>
      <c r="E193" s="2"/>
      <c r="F193" s="2"/>
      <c r="G193" s="2"/>
      <c r="H193" s="24"/>
      <c r="I193" s="21"/>
      <c r="J193" s="2"/>
      <c r="K193" s="2"/>
      <c r="L193" s="2"/>
      <c r="M193" s="2"/>
      <c r="N193" s="2"/>
      <c r="O193" s="2"/>
      <c r="P193" s="2"/>
    </row>
  </sheetData>
  <sheetProtection algorithmName="SHA-512" hashValue="gS8g+1i46TvRGuysdtJI5JJqFInfVqCTWiVawd77NoDML+qxSafC8tHxa3tcatlITjFNh9JSf9HtW8AxovknbQ==" saltValue="TMdEQdp452EmH7QSiLZs+Q==" spinCount="100000" sheet="1" objects="1" scenarios="1"/>
  <conditionalFormatting sqref="K173">
    <cfRule type="expression" dxfId="120" priority="101">
      <formula>$K$6="nie"</formula>
    </cfRule>
    <cfRule type="expression" dxfId="119" priority="164">
      <formula>$K$172="nie"</formula>
    </cfRule>
  </conditionalFormatting>
  <conditionalFormatting sqref="M173">
    <cfRule type="expression" dxfId="118" priority="142">
      <formula>$M$6="nie"</formula>
    </cfRule>
    <cfRule type="expression" dxfId="117" priority="163">
      <formula>$M$172="nie"</formula>
    </cfRule>
  </conditionalFormatting>
  <conditionalFormatting sqref="K183">
    <cfRule type="expression" dxfId="116" priority="93">
      <formula>$K$6="nie"</formula>
    </cfRule>
    <cfRule type="cellIs" dxfId="115" priority="160" operator="equal">
      <formula>"Obliczenia poprawne"</formula>
    </cfRule>
    <cfRule type="cellIs" dxfId="114" priority="161" operator="equal">
      <formula>"Należy dokonać ponownego przeliczenia"</formula>
    </cfRule>
  </conditionalFormatting>
  <conditionalFormatting sqref="M183">
    <cfRule type="expression" dxfId="113" priority="135">
      <formula>$M$6="nie"</formula>
    </cfRule>
    <cfRule type="cellIs" dxfId="112" priority="158" operator="equal">
      <formula>"Obliczenia poprawne"</formula>
    </cfRule>
    <cfRule type="cellIs" dxfId="111" priority="159" operator="equal">
      <formula>"Należy dokonać ponownego przeliczenia"</formula>
    </cfRule>
  </conditionalFormatting>
  <conditionalFormatting sqref="O183">
    <cfRule type="expression" dxfId="110" priority="114">
      <formula>$O$6="nie"</formula>
    </cfRule>
    <cfRule type="cellIs" dxfId="109" priority="156" operator="equal">
      <formula>"Obliczenia poprawne"</formula>
    </cfRule>
    <cfRule type="cellIs" dxfId="108" priority="157" operator="equal">
      <formula>"Należy dokonać ponownego przeliczenia"</formula>
    </cfRule>
  </conditionalFormatting>
  <conditionalFormatting sqref="M14:M15">
    <cfRule type="expression" dxfId="107" priority="154">
      <formula>$M$6="nie"</formula>
    </cfRule>
  </conditionalFormatting>
  <conditionalFormatting sqref="M21">
    <cfRule type="expression" dxfId="106" priority="153">
      <formula>$M$6="nie"</formula>
    </cfRule>
  </conditionalFormatting>
  <conditionalFormatting sqref="M20">
    <cfRule type="expression" dxfId="105" priority="150">
      <formula>$M$6="nie"</formula>
    </cfRule>
  </conditionalFormatting>
  <conditionalFormatting sqref="M167:M168">
    <cfRule type="expression" dxfId="104" priority="147">
      <formula>$M$6="nie"</formula>
    </cfRule>
  </conditionalFormatting>
  <conditionalFormatting sqref="M38">
    <cfRule type="expression" dxfId="103" priority="146">
      <formula>$M$6="nie"</formula>
    </cfRule>
  </conditionalFormatting>
  <conditionalFormatting sqref="M43">
    <cfRule type="expression" dxfId="102" priority="145">
      <formula>$M$6="nie"</formula>
    </cfRule>
  </conditionalFormatting>
  <conditionalFormatting sqref="M26">
    <cfRule type="expression" dxfId="101" priority="144">
      <formula>$M$6="nie"</formula>
    </cfRule>
  </conditionalFormatting>
  <conditionalFormatting sqref="M172">
    <cfRule type="expression" dxfId="100" priority="143">
      <formula>$M$6="nie"</formula>
    </cfRule>
  </conditionalFormatting>
  <conditionalFormatting sqref="M175">
    <cfRule type="expression" dxfId="99" priority="141">
      <formula>$M$6="nie"</formula>
    </cfRule>
  </conditionalFormatting>
  <conditionalFormatting sqref="M177">
    <cfRule type="expression" dxfId="98" priority="140">
      <formula>$M$6="nie"</formula>
    </cfRule>
  </conditionalFormatting>
  <conditionalFormatting sqref="M176">
    <cfRule type="expression" dxfId="97" priority="139">
      <formula>$M$6="nie"</formula>
    </cfRule>
  </conditionalFormatting>
  <conditionalFormatting sqref="O14:O15">
    <cfRule type="expression" dxfId="96" priority="133">
      <formula>$O$6="nie"</formula>
    </cfRule>
  </conditionalFormatting>
  <conditionalFormatting sqref="O21">
    <cfRule type="expression" dxfId="95" priority="132">
      <formula>$O$6="nie"</formula>
    </cfRule>
  </conditionalFormatting>
  <conditionalFormatting sqref="O20">
    <cfRule type="expression" dxfId="94" priority="130">
      <formula>$O$6="nie"</formula>
    </cfRule>
  </conditionalFormatting>
  <conditionalFormatting sqref="O26">
    <cfRule type="expression" dxfId="93" priority="129">
      <formula>$O$6="nie"</formula>
    </cfRule>
  </conditionalFormatting>
  <conditionalFormatting sqref="O38">
    <cfRule type="expression" dxfId="92" priority="127">
      <formula>$O$6="nie"</formula>
    </cfRule>
  </conditionalFormatting>
  <conditionalFormatting sqref="O167:O168">
    <cfRule type="expression" dxfId="91" priority="126">
      <formula>$O$6="nie"</formula>
    </cfRule>
  </conditionalFormatting>
  <conditionalFormatting sqref="O43">
    <cfRule type="expression" dxfId="90" priority="125">
      <formula>$O$6="nie"</formula>
    </cfRule>
  </conditionalFormatting>
  <conditionalFormatting sqref="O172">
    <cfRule type="expression" dxfId="89" priority="123">
      <formula>$O$6="nie"</formula>
    </cfRule>
  </conditionalFormatting>
  <conditionalFormatting sqref="O173">
    <cfRule type="expression" dxfId="88" priority="121">
      <formula>$O$6="nie"</formula>
    </cfRule>
    <cfRule type="expression" dxfId="87" priority="122">
      <formula>$O$172="nie"</formula>
    </cfRule>
  </conditionalFormatting>
  <conditionalFormatting sqref="O175">
    <cfRule type="expression" dxfId="86" priority="120">
      <formula>$O$6="nie"</formula>
    </cfRule>
  </conditionalFormatting>
  <conditionalFormatting sqref="O177">
    <cfRule type="expression" dxfId="85" priority="119">
      <formula>$O$6="nie"</formula>
    </cfRule>
  </conditionalFormatting>
  <conditionalFormatting sqref="O176">
    <cfRule type="expression" dxfId="84" priority="118">
      <formula>$O$6="nie"</formula>
    </cfRule>
  </conditionalFormatting>
  <conditionalFormatting sqref="K14:K15">
    <cfRule type="expression" dxfId="83" priority="112">
      <formula>$K$6="nie"</formula>
    </cfRule>
  </conditionalFormatting>
  <conditionalFormatting sqref="K21">
    <cfRule type="expression" dxfId="82" priority="111">
      <formula>$K$6="nie"</formula>
    </cfRule>
  </conditionalFormatting>
  <conditionalFormatting sqref="K20">
    <cfRule type="expression" dxfId="81" priority="109">
      <formula>$K$6="nie"</formula>
    </cfRule>
  </conditionalFormatting>
  <conditionalFormatting sqref="K38">
    <cfRule type="expression" dxfId="80" priority="106">
      <formula>$K$6="nie"</formula>
    </cfRule>
  </conditionalFormatting>
  <conditionalFormatting sqref="K167:K168">
    <cfRule type="expression" dxfId="79" priority="105">
      <formula>$K$6="nie"</formula>
    </cfRule>
  </conditionalFormatting>
  <conditionalFormatting sqref="K43">
    <cfRule type="expression" dxfId="78" priority="104">
      <formula>$K$6="nie"</formula>
    </cfRule>
  </conditionalFormatting>
  <conditionalFormatting sqref="K172">
    <cfRule type="expression" dxfId="77" priority="102">
      <formula>$K$6="nie"</formula>
    </cfRule>
  </conditionalFormatting>
  <conditionalFormatting sqref="K176">
    <cfRule type="expression" dxfId="76" priority="99">
      <formula>$K$6="nie"</formula>
    </cfRule>
  </conditionalFormatting>
  <conditionalFormatting sqref="K175">
    <cfRule type="expression" dxfId="75" priority="98">
      <formula>$K$6="nie"</formula>
    </cfRule>
  </conditionalFormatting>
  <conditionalFormatting sqref="K177">
    <cfRule type="expression" dxfId="74" priority="97">
      <formula>$K$6="nie"</formula>
    </cfRule>
  </conditionalFormatting>
  <conditionalFormatting sqref="K179">
    <cfRule type="expression" dxfId="73" priority="9">
      <formula>$K$6="nie"</formula>
    </cfRule>
    <cfRule type="expression" dxfId="72" priority="96">
      <formula>AND($K$173=100%,$K$172="tak")</formula>
    </cfRule>
  </conditionalFormatting>
  <conditionalFormatting sqref="K87:K123">
    <cfRule type="expression" dxfId="71" priority="42">
      <formula>$K$6="nie"</formula>
    </cfRule>
    <cfRule type="expression" dxfId="70" priority="43">
      <formula>AND($J87&gt;$K$26,$J87&lt;$K$27)</formula>
    </cfRule>
    <cfRule type="expression" dxfId="69" priority="44">
      <formula>$K$27=$J87</formula>
    </cfRule>
  </conditionalFormatting>
  <conditionalFormatting sqref="K6">
    <cfRule type="cellIs" dxfId="68" priority="91" operator="equal">
      <formula>"nie"</formula>
    </cfRule>
    <cfRule type="cellIs" dxfId="67" priority="92" operator="equal">
      <formula>"tak"</formula>
    </cfRule>
  </conditionalFormatting>
  <conditionalFormatting sqref="M6">
    <cfRule type="cellIs" dxfId="66" priority="81" operator="equal">
      <formula>"nie"</formula>
    </cfRule>
    <cfRule type="cellIs" dxfId="65" priority="82" operator="equal">
      <formula>"tak"</formula>
    </cfRule>
  </conditionalFormatting>
  <conditionalFormatting sqref="O6">
    <cfRule type="cellIs" dxfId="64" priority="79" operator="equal">
      <formula>"nie"</formula>
    </cfRule>
    <cfRule type="cellIs" dxfId="63" priority="80" operator="equal">
      <formula>"tak"</formula>
    </cfRule>
  </conditionalFormatting>
  <conditionalFormatting sqref="K34:K36">
    <cfRule type="expression" dxfId="62" priority="77">
      <formula>$K$6="nie"</formula>
    </cfRule>
  </conditionalFormatting>
  <conditionalFormatting sqref="M34:M36">
    <cfRule type="expression" dxfId="61" priority="74">
      <formula>$M$6="nie"</formula>
    </cfRule>
  </conditionalFormatting>
  <conditionalFormatting sqref="O34:O36">
    <cfRule type="expression" dxfId="60" priority="73">
      <formula>$O$6="nie"</formula>
    </cfRule>
  </conditionalFormatting>
  <conditionalFormatting sqref="K45:K81">
    <cfRule type="expression" dxfId="59" priority="183">
      <formula>$K$6="nie"</formula>
    </cfRule>
    <cfRule type="expression" dxfId="58" priority="184">
      <formula>OR($J45&lt;$K$26,$J45&gt;$K$27)</formula>
    </cfRule>
  </conditionalFormatting>
  <conditionalFormatting sqref="M45:M81">
    <cfRule type="expression" dxfId="57" priority="185">
      <formula>$M$6="nie"</formula>
    </cfRule>
    <cfRule type="expression" dxfId="56" priority="186">
      <formula>OR($J45&lt;$M$26,$J45&gt;$M$27)</formula>
    </cfRule>
  </conditionalFormatting>
  <conditionalFormatting sqref="O45:O81">
    <cfRule type="expression" dxfId="55" priority="187">
      <formula>$O$6="nie"</formula>
    </cfRule>
    <cfRule type="expression" dxfId="54" priority="188">
      <formula>OR($J45&lt;$O$26,$J45&gt;$O$27)</formula>
    </cfRule>
  </conditionalFormatting>
  <conditionalFormatting sqref="K17">
    <cfRule type="expression" dxfId="53" priority="69">
      <formula>$K$6="nie"</formula>
    </cfRule>
  </conditionalFormatting>
  <conditionalFormatting sqref="M17">
    <cfRule type="expression" dxfId="52" priority="58">
      <formula>$M$6="nie"</formula>
    </cfRule>
  </conditionalFormatting>
  <conditionalFormatting sqref="O17">
    <cfRule type="expression" dxfId="51" priority="57">
      <formula>$O$6="nie"</formula>
    </cfRule>
  </conditionalFormatting>
  <conditionalFormatting sqref="K23">
    <cfRule type="expression" dxfId="50" priority="56">
      <formula>$K$6="nie"</formula>
    </cfRule>
  </conditionalFormatting>
  <conditionalFormatting sqref="M23">
    <cfRule type="expression" dxfId="49" priority="55">
      <formula>$M$6="nie"</formula>
    </cfRule>
  </conditionalFormatting>
  <conditionalFormatting sqref="O23">
    <cfRule type="expression" dxfId="48" priority="54">
      <formula>$O$6="nie"</formula>
    </cfRule>
  </conditionalFormatting>
  <conditionalFormatting sqref="K29">
    <cfRule type="expression" dxfId="47" priority="53">
      <formula>$K$6="nie"</formula>
    </cfRule>
  </conditionalFormatting>
  <conditionalFormatting sqref="M29">
    <cfRule type="expression" dxfId="46" priority="52">
      <formula>$M$6="nie"</formula>
    </cfRule>
  </conditionalFormatting>
  <conditionalFormatting sqref="O29">
    <cfRule type="expression" dxfId="45" priority="51">
      <formula>$O$6="nie"</formula>
    </cfRule>
  </conditionalFormatting>
  <conditionalFormatting sqref="K192">
    <cfRule type="cellIs" dxfId="44" priority="49" operator="equal">
      <formula>"Obliczenia poprawne"</formula>
    </cfRule>
    <cfRule type="cellIs" dxfId="43" priority="50" operator="equal">
      <formula>"Należy dokonać ponownego przeliczenia"</formula>
    </cfRule>
  </conditionalFormatting>
  <conditionalFormatting sqref="M192">
    <cfRule type="cellIs" dxfId="42" priority="47" operator="equal">
      <formula>"Obliczenia poprawne"</formula>
    </cfRule>
    <cfRule type="cellIs" dxfId="41" priority="48" operator="equal">
      <formula>"Należy dokonać ponownego przeliczenia"</formula>
    </cfRule>
  </conditionalFormatting>
  <conditionalFormatting sqref="O192">
    <cfRule type="cellIs" dxfId="40" priority="45" operator="equal">
      <formula>"Obliczenia poprawne"</formula>
    </cfRule>
    <cfRule type="cellIs" dxfId="39" priority="46" operator="equal">
      <formula>"Należy dokonać ponownego przeliczenia"</formula>
    </cfRule>
  </conditionalFormatting>
  <conditionalFormatting sqref="K87:K123">
    <cfRule type="expression" dxfId="38" priority="95">
      <formula>$K$26=$J87</formula>
    </cfRule>
  </conditionalFormatting>
  <conditionalFormatting sqref="M87:M123">
    <cfRule type="expression" dxfId="37" priority="26">
      <formula>$M$6="nie"</formula>
    </cfRule>
    <cfRule type="expression" dxfId="36" priority="27">
      <formula>AND($J87&gt;$M$26,$J87&lt;$M$27)</formula>
    </cfRule>
    <cfRule type="expression" dxfId="35" priority="28">
      <formula>$M$27=$J87</formula>
    </cfRule>
  </conditionalFormatting>
  <conditionalFormatting sqref="M87:M123">
    <cfRule type="expression" dxfId="34" priority="29">
      <formula>$M$26=$J87</formula>
    </cfRule>
  </conditionalFormatting>
  <conditionalFormatting sqref="O87:O123">
    <cfRule type="expression" dxfId="33" priority="22">
      <formula>$O$6="nie"</formula>
    </cfRule>
    <cfRule type="expression" dxfId="32" priority="23">
      <formula>AND($J87&gt;$O$26,$J87&lt;$O$27)</formula>
    </cfRule>
    <cfRule type="expression" dxfId="31" priority="24">
      <formula>$O$27=$J87</formula>
    </cfRule>
  </conditionalFormatting>
  <conditionalFormatting sqref="O87:O123">
    <cfRule type="expression" dxfId="30" priority="25">
      <formula>$O$26=$J87</formula>
    </cfRule>
  </conditionalFormatting>
  <conditionalFormatting sqref="O126:O162">
    <cfRule type="expression" dxfId="29" priority="18">
      <formula>$O$6="nie"</formula>
    </cfRule>
    <cfRule type="expression" dxfId="28" priority="19">
      <formula>AND($J126&gt;$O$26,$J126&lt;$O$27)</formula>
    </cfRule>
    <cfRule type="expression" dxfId="27" priority="20">
      <formula>$O$27=$J126</formula>
    </cfRule>
  </conditionalFormatting>
  <conditionalFormatting sqref="O126:O162">
    <cfRule type="expression" dxfId="26" priority="21">
      <formula>$O$26=$J126</formula>
    </cfRule>
  </conditionalFormatting>
  <conditionalFormatting sqref="M126:M162">
    <cfRule type="expression" dxfId="25" priority="14">
      <formula>$M$6="nie"</formula>
    </cfRule>
    <cfRule type="expression" dxfId="24" priority="15">
      <formula>AND($J126&gt;$M$26,$J126&lt;$M$27)</formula>
    </cfRule>
    <cfRule type="expression" dxfId="23" priority="16">
      <formula>$M$27=$J126</formula>
    </cfRule>
  </conditionalFormatting>
  <conditionalFormatting sqref="M126:M162">
    <cfRule type="expression" dxfId="22" priority="17">
      <formula>$M$26=$J126</formula>
    </cfRule>
  </conditionalFormatting>
  <conditionalFormatting sqref="K126:K162">
    <cfRule type="expression" dxfId="21" priority="10">
      <formula>$K$6="nie"</formula>
    </cfRule>
    <cfRule type="expression" dxfId="20" priority="11">
      <formula>AND($J126&gt;$K$26,$J126&lt;$K$27)</formula>
    </cfRule>
    <cfRule type="expression" dxfId="19" priority="12">
      <formula>$K$27=$J126</formula>
    </cfRule>
  </conditionalFormatting>
  <conditionalFormatting sqref="K126:K162">
    <cfRule type="expression" dxfId="18" priority="13">
      <formula>$K$26=$J126</formula>
    </cfRule>
  </conditionalFormatting>
  <conditionalFormatting sqref="M179">
    <cfRule type="expression" dxfId="17" priority="7">
      <formula>$M$6="nie"</formula>
    </cfRule>
    <cfRule type="expression" dxfId="16" priority="8">
      <formula>AND($M$173=100%,$M$172="tak")</formula>
    </cfRule>
  </conditionalFormatting>
  <conditionalFormatting sqref="O179">
    <cfRule type="expression" dxfId="15" priority="5">
      <formula>$O$6="nie"</formula>
    </cfRule>
    <cfRule type="expression" dxfId="14" priority="6">
      <formula>AND($O$173=100%,$O$172="tak")</formula>
    </cfRule>
  </conditionalFormatting>
  <conditionalFormatting sqref="K27">
    <cfRule type="expression" dxfId="13" priority="4">
      <formula>$K$6="nie"</formula>
    </cfRule>
  </conditionalFormatting>
  <conditionalFormatting sqref="K26">
    <cfRule type="expression" dxfId="12" priority="3">
      <formula>$K$6="nie"</formula>
    </cfRule>
  </conditionalFormatting>
  <conditionalFormatting sqref="O27">
    <cfRule type="expression" dxfId="11" priority="2">
      <formula>$O$6="nie"</formula>
    </cfRule>
  </conditionalFormatting>
  <conditionalFormatting sqref="M27">
    <cfRule type="expression" dxfId="10" priority="1">
      <formula>$M$6="nie"</formula>
    </cfRule>
  </conditionalFormatting>
  <dataValidations count="5">
    <dataValidation type="list" allowBlank="1" showInputMessage="1" showErrorMessage="1" sqref="K172 M172 O172 K38 M38 O38 K6 M6 O6" xr:uid="{B38837F7-7832-4207-8F71-8D6E4B134848}">
      <formula1>"tak, nie"</formula1>
    </dataValidation>
    <dataValidation type="list" allowBlank="1" showInputMessage="1" showErrorMessage="1" sqref="I7" xr:uid="{1709AEE3-98A9-4865-A236-70E74E109F6C}">
      <formula1>"PLN, tys. PLN, mln PLN"</formula1>
    </dataValidation>
    <dataValidation type="list" allowBlank="1" showInputMessage="1" showErrorMessage="1" sqref="O21 O14:O15 O27" xr:uid="{8663E847-D8C8-454E-85A3-0869953D90CC}">
      <formula1>"2023,2024,2025,2026,2027,2028,2029,2030,2031,2032,2033,2034,2035,2036,2037,2038,2039,2040,2041,2042,2043,2044,2045,2046,2047,2048,2049,2050,2051,2052,2053,2054,2055,2056,2057,2058,2059,2060"</formula1>
    </dataValidation>
    <dataValidation type="list" allowBlank="1" showInputMessage="1" showErrorMessage="1" sqref="M14:M15 M21 K27 I8 K14:K15 K21 M27" xr:uid="{DF705A98-E0AA-476C-A628-A942F3AE3933}">
      <formula1>"2024,2025,2026,2027,2028,2029,2030,2031,2032,2033,2034,2035,2036,2037,2038,2039,2040,2041,2042,2043,2044,2045,2046,2047,2048,2049,2050,2051,2052,2053,2054,2055,2056,2057,2058,2059,2060"</formula1>
    </dataValidation>
    <dataValidation type="list" allowBlank="1" showInputMessage="1" showErrorMessage="1" sqref="O179 M179 K179" xr:uid="{D77DA688-610A-40F0-9CF9-D9F1BD3668BD}">
      <formula1>"Podmiot Publiczny,Finansowanie zwrotne"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928CD-83F7-4E78-8493-C035E98EB4DC}">
  <sheetPr codeName="Sheet2">
    <tabColor rgb="FF1B3273"/>
  </sheetPr>
  <dimension ref="A1:CR165"/>
  <sheetViews>
    <sheetView zoomScale="70" zoomScaleNormal="70" workbookViewId="0">
      <pane ySplit="2" topLeftCell="A3" activePane="bottomLeft" state="frozen"/>
      <selection pane="bottomLeft" activeCell="A165" sqref="A165:C165"/>
    </sheetView>
  </sheetViews>
  <sheetFormatPr defaultColWidth="0" defaultRowHeight="14.5" zeroHeight="1" x14ac:dyDescent="0.35"/>
  <cols>
    <col min="1" max="1" width="2.81640625" style="2" customWidth="1"/>
    <col min="2" max="2" width="3.26953125" style="2" customWidth="1"/>
    <col min="3" max="5" width="3.453125" style="2" customWidth="1"/>
    <col min="6" max="6" width="9.1796875" style="2" customWidth="1"/>
    <col min="7" max="7" width="34.453125" style="2" customWidth="1"/>
    <col min="8" max="8" width="3.453125" style="2" customWidth="1"/>
    <col min="9" max="10" width="9.1796875" style="2" customWidth="1"/>
    <col min="11" max="11" width="16.54296875" style="2" customWidth="1"/>
    <col min="12" max="13" width="7.7265625" style="2" customWidth="1"/>
    <col min="14" max="14" width="15.81640625" style="2" bestFit="1" customWidth="1"/>
    <col min="15" max="15" width="3.26953125" style="2" customWidth="1"/>
    <col min="16" max="16" width="4.81640625" style="2" bestFit="1" customWidth="1"/>
    <col min="17" max="17" width="15.54296875" style="2" customWidth="1"/>
    <col min="18" max="18" width="13.453125" style="2" bestFit="1" customWidth="1"/>
    <col min="19" max="53" width="14.7265625" style="2" customWidth="1"/>
    <col min="54" max="96" width="0" hidden="1" customWidth="1"/>
    <col min="97" max="16384" width="9.1796875" hidden="1"/>
  </cols>
  <sheetData>
    <row r="1" spans="1:53" ht="15.75" customHeight="1" x14ac:dyDescent="0.35">
      <c r="A1" s="32" t="s">
        <v>126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 t="s">
        <v>0</v>
      </c>
      <c r="N1" s="35"/>
      <c r="O1" s="35"/>
      <c r="P1" s="35"/>
      <c r="Q1" s="35">
        <f>'zakładka techniczna'!Q1</f>
        <v>2024</v>
      </c>
      <c r="R1" s="35">
        <f>'zakładka techniczna'!R1</f>
        <v>2025</v>
      </c>
      <c r="S1" s="35">
        <f>'zakładka techniczna'!S1</f>
        <v>2026</v>
      </c>
      <c r="T1" s="35">
        <f>'zakładka techniczna'!T1</f>
        <v>2027</v>
      </c>
      <c r="U1" s="35">
        <f>'zakładka techniczna'!U1</f>
        <v>2028</v>
      </c>
      <c r="V1" s="35">
        <f>'zakładka techniczna'!V1</f>
        <v>2029</v>
      </c>
      <c r="W1" s="35">
        <f>'zakładka techniczna'!W1</f>
        <v>2030</v>
      </c>
      <c r="X1" s="35">
        <f>'zakładka techniczna'!X1</f>
        <v>2031</v>
      </c>
      <c r="Y1" s="35">
        <f>'zakładka techniczna'!Y1</f>
        <v>2032</v>
      </c>
      <c r="Z1" s="35">
        <f>'zakładka techniczna'!Z1</f>
        <v>2033</v>
      </c>
      <c r="AA1" s="35">
        <f>'zakładka techniczna'!AA1</f>
        <v>2034</v>
      </c>
      <c r="AB1" s="35">
        <f>'zakładka techniczna'!AB1</f>
        <v>2035</v>
      </c>
      <c r="AC1" s="35">
        <f>'zakładka techniczna'!AC1</f>
        <v>2036</v>
      </c>
      <c r="AD1" s="35">
        <f>'zakładka techniczna'!AD1</f>
        <v>2037</v>
      </c>
      <c r="AE1" s="35">
        <f>'zakładka techniczna'!AE1</f>
        <v>2038</v>
      </c>
      <c r="AF1" s="35">
        <f>'zakładka techniczna'!AF1</f>
        <v>2039</v>
      </c>
      <c r="AG1" s="35">
        <f>'zakładka techniczna'!AG1</f>
        <v>2040</v>
      </c>
      <c r="AH1" s="35">
        <f>'zakładka techniczna'!AH1</f>
        <v>2041</v>
      </c>
      <c r="AI1" s="35">
        <f>'zakładka techniczna'!AI1</f>
        <v>2042</v>
      </c>
      <c r="AJ1" s="35">
        <f>'zakładka techniczna'!AJ1</f>
        <v>2043</v>
      </c>
      <c r="AK1" s="35">
        <f>'zakładka techniczna'!AK1</f>
        <v>2044</v>
      </c>
      <c r="AL1" s="35">
        <f>'zakładka techniczna'!AL1</f>
        <v>2045</v>
      </c>
      <c r="AM1" s="35">
        <f>'zakładka techniczna'!AM1</f>
        <v>2046</v>
      </c>
      <c r="AN1" s="35">
        <f>'zakładka techniczna'!AN1</f>
        <v>2047</v>
      </c>
      <c r="AO1" s="35">
        <f>'zakładka techniczna'!AO1</f>
        <v>2048</v>
      </c>
      <c r="AP1" s="35">
        <f>'zakładka techniczna'!AP1</f>
        <v>2049</v>
      </c>
      <c r="AQ1" s="35">
        <f>'zakładka techniczna'!AQ1</f>
        <v>2050</v>
      </c>
      <c r="AR1" s="35">
        <f>'zakładka techniczna'!AR1</f>
        <v>2051</v>
      </c>
      <c r="AS1" s="35">
        <f>'zakładka techniczna'!AS1</f>
        <v>2052</v>
      </c>
      <c r="AT1" s="35">
        <f>'zakładka techniczna'!AT1</f>
        <v>2053</v>
      </c>
      <c r="AU1" s="35">
        <f>'zakładka techniczna'!AU1</f>
        <v>2054</v>
      </c>
      <c r="AV1" s="35">
        <f>'zakładka techniczna'!AV1</f>
        <v>2055</v>
      </c>
      <c r="AW1" s="35">
        <f>'zakładka techniczna'!AW1</f>
        <v>2056</v>
      </c>
      <c r="AX1" s="35">
        <f>'zakładka techniczna'!AX1</f>
        <v>2057</v>
      </c>
      <c r="AY1" s="35">
        <f>'zakładka techniczna'!AY1</f>
        <v>2058</v>
      </c>
      <c r="AZ1" s="35">
        <f>'zakładka techniczna'!AZ1</f>
        <v>2059</v>
      </c>
      <c r="BA1" s="35">
        <f>'zakładka techniczna'!BA1</f>
        <v>2060</v>
      </c>
    </row>
    <row r="2" spans="1:53" ht="15.75" customHeight="1" collapsed="1" x14ac:dyDescent="0.35">
      <c r="A2" s="32" t="s">
        <v>127</v>
      </c>
      <c r="B2" s="33"/>
      <c r="C2" s="33"/>
      <c r="D2" s="33"/>
      <c r="E2" s="33"/>
      <c r="F2" s="33"/>
      <c r="G2" s="33"/>
      <c r="H2" s="33"/>
      <c r="I2" s="33"/>
      <c r="J2" s="33"/>
      <c r="K2" s="34"/>
      <c r="L2" s="33"/>
      <c r="M2" s="33" t="s">
        <v>112</v>
      </c>
      <c r="N2" s="66" t="str">
        <f>Założenia!$I$7</f>
        <v>PLN</v>
      </c>
      <c r="O2" s="33"/>
      <c r="P2" s="35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</row>
    <row r="3" spans="1:53" x14ac:dyDescent="0.35"/>
    <row r="4" spans="1:53" x14ac:dyDescent="0.35">
      <c r="B4" s="133" t="s">
        <v>205</v>
      </c>
      <c r="C4" s="119"/>
      <c r="D4" s="119"/>
      <c r="E4" s="119"/>
      <c r="F4" s="119"/>
      <c r="G4" s="119"/>
      <c r="H4" s="119"/>
      <c r="I4" s="119"/>
      <c r="J4" s="119"/>
      <c r="K4" s="120"/>
    </row>
    <row r="5" spans="1:53" x14ac:dyDescent="0.35">
      <c r="B5" s="129" t="s">
        <v>249</v>
      </c>
      <c r="C5" s="130" t="s">
        <v>255</v>
      </c>
      <c r="D5" s="130"/>
      <c r="E5" s="130"/>
      <c r="F5" s="131"/>
      <c r="G5" s="130"/>
      <c r="H5" s="130"/>
      <c r="I5" s="130"/>
      <c r="J5" s="130"/>
      <c r="K5" s="132">
        <f>SUM(K6:K7)</f>
        <v>0</v>
      </c>
    </row>
    <row r="6" spans="1:53" x14ac:dyDescent="0.35">
      <c r="B6" s="125"/>
      <c r="C6" s="123" t="s">
        <v>251</v>
      </c>
      <c r="D6" s="123" t="s">
        <v>75</v>
      </c>
      <c r="E6" s="123"/>
      <c r="F6" s="123"/>
      <c r="G6" s="123"/>
      <c r="H6" s="123"/>
      <c r="I6" s="123"/>
      <c r="J6" s="123"/>
      <c r="K6" s="126">
        <f>N68</f>
        <v>0</v>
      </c>
    </row>
    <row r="7" spans="1:53" x14ac:dyDescent="0.35">
      <c r="B7" s="125"/>
      <c r="C7" s="123" t="s">
        <v>252</v>
      </c>
      <c r="D7" s="123" t="s">
        <v>76</v>
      </c>
      <c r="E7" s="123"/>
      <c r="F7" s="123"/>
      <c r="G7" s="123"/>
      <c r="H7" s="123"/>
      <c r="I7" s="123"/>
      <c r="J7" s="123"/>
      <c r="K7" s="126">
        <f>N80</f>
        <v>0</v>
      </c>
    </row>
    <row r="8" spans="1:53" x14ac:dyDescent="0.35">
      <c r="B8" s="121" t="s">
        <v>250</v>
      </c>
      <c r="C8" s="122" t="s">
        <v>256</v>
      </c>
      <c r="D8" s="122"/>
      <c r="E8" s="122"/>
      <c r="F8" s="123"/>
      <c r="G8" s="122"/>
      <c r="H8" s="122"/>
      <c r="I8" s="122"/>
      <c r="J8" s="122"/>
      <c r="K8" s="124">
        <f>SUM(K9:K11)</f>
        <v>0</v>
      </c>
    </row>
    <row r="9" spans="1:53" x14ac:dyDescent="0.35">
      <c r="B9" s="125"/>
      <c r="C9" s="123" t="s">
        <v>251</v>
      </c>
      <c r="D9" s="123" t="s">
        <v>148</v>
      </c>
      <c r="E9" s="123"/>
      <c r="F9" s="123"/>
      <c r="G9" s="123"/>
      <c r="H9" s="123"/>
      <c r="I9" s="123"/>
      <c r="J9" s="123"/>
      <c r="K9" s="126">
        <f>N69</f>
        <v>0</v>
      </c>
    </row>
    <row r="10" spans="1:53" x14ac:dyDescent="0.35">
      <c r="B10" s="125"/>
      <c r="C10" s="123" t="s">
        <v>252</v>
      </c>
      <c r="D10" s="123" t="s">
        <v>150</v>
      </c>
      <c r="E10" s="123"/>
      <c r="F10" s="123"/>
      <c r="G10" s="123"/>
      <c r="H10" s="123"/>
      <c r="I10" s="123"/>
      <c r="J10" s="123"/>
      <c r="K10" s="126">
        <f>SUM(N76,N81)</f>
        <v>0</v>
      </c>
    </row>
    <row r="11" spans="1:53" x14ac:dyDescent="0.35">
      <c r="B11" s="125"/>
      <c r="C11" s="123" t="s">
        <v>253</v>
      </c>
      <c r="D11" s="123" t="s">
        <v>151</v>
      </c>
      <c r="E11" s="123"/>
      <c r="F11" s="123"/>
      <c r="G11" s="123"/>
      <c r="H11" s="123"/>
      <c r="I11" s="123"/>
      <c r="J11" s="123"/>
      <c r="K11" s="126">
        <f>N84</f>
        <v>0</v>
      </c>
    </row>
    <row r="12" spans="1:53" x14ac:dyDescent="0.35">
      <c r="B12" s="121" t="s">
        <v>257</v>
      </c>
      <c r="C12" s="122" t="s">
        <v>137</v>
      </c>
      <c r="D12" s="122"/>
      <c r="E12" s="122"/>
      <c r="F12" s="123"/>
      <c r="G12" s="122"/>
      <c r="H12" s="122"/>
      <c r="I12" s="122"/>
      <c r="J12" s="122"/>
      <c r="K12" s="124">
        <f>SUM(K13:K16)</f>
        <v>0</v>
      </c>
    </row>
    <row r="13" spans="1:53" x14ac:dyDescent="0.35">
      <c r="B13" s="125"/>
      <c r="C13" s="123" t="s">
        <v>251</v>
      </c>
      <c r="D13" s="123" t="s">
        <v>136</v>
      </c>
      <c r="E13" s="123"/>
      <c r="F13" s="123"/>
      <c r="G13" s="123"/>
      <c r="H13" s="123"/>
      <c r="I13" s="123"/>
      <c r="J13" s="123"/>
      <c r="K13" s="126">
        <f>N90</f>
        <v>0</v>
      </c>
    </row>
    <row r="14" spans="1:53" x14ac:dyDescent="0.35">
      <c r="B14" s="125"/>
      <c r="C14" s="123" t="s">
        <v>252</v>
      </c>
      <c r="D14" s="123" t="s">
        <v>259</v>
      </c>
      <c r="E14" s="123"/>
      <c r="F14" s="123"/>
      <c r="G14" s="123"/>
      <c r="H14" s="123"/>
      <c r="I14" s="123"/>
      <c r="J14" s="123"/>
      <c r="K14" s="126">
        <f>SUM(N91,N92)</f>
        <v>0</v>
      </c>
    </row>
    <row r="15" spans="1:53" x14ac:dyDescent="0.35">
      <c r="B15" s="125"/>
      <c r="C15" s="123" t="s">
        <v>253</v>
      </c>
      <c r="D15" s="123" t="s">
        <v>260</v>
      </c>
      <c r="E15" s="123"/>
      <c r="F15" s="123"/>
      <c r="G15" s="123"/>
      <c r="H15" s="123"/>
      <c r="I15" s="123"/>
      <c r="J15" s="123"/>
      <c r="K15" s="126">
        <f>N93</f>
        <v>0</v>
      </c>
    </row>
    <row r="16" spans="1:53" x14ac:dyDescent="0.35">
      <c r="B16" s="125"/>
      <c r="C16" s="123" t="s">
        <v>258</v>
      </c>
      <c r="D16" s="123" t="s">
        <v>270</v>
      </c>
      <c r="E16" s="123"/>
      <c r="F16" s="123"/>
      <c r="G16" s="123"/>
      <c r="H16" s="123"/>
      <c r="I16" s="123"/>
      <c r="J16" s="123"/>
      <c r="K16" s="126">
        <f>SUM(N94:N95)</f>
        <v>0</v>
      </c>
    </row>
    <row r="17" spans="1:11" ht="15.75" customHeight="1" x14ac:dyDescent="0.35">
      <c r="A17" s="5"/>
      <c r="B17" s="152" t="s">
        <v>254</v>
      </c>
      <c r="C17" s="153"/>
      <c r="D17" s="153"/>
      <c r="E17" s="153"/>
      <c r="F17" s="153"/>
      <c r="G17" s="153"/>
      <c r="H17" s="153"/>
      <c r="I17" s="153"/>
      <c r="J17" s="153"/>
      <c r="K17" s="154"/>
    </row>
    <row r="18" spans="1:11" ht="15.75" customHeight="1" x14ac:dyDescent="0.35">
      <c r="A18" s="5"/>
      <c r="B18" s="118"/>
      <c r="C18" s="118"/>
      <c r="D18" s="118"/>
      <c r="E18" s="118"/>
      <c r="F18" s="118"/>
      <c r="G18" s="118"/>
      <c r="H18" s="118"/>
      <c r="I18" s="118"/>
      <c r="J18" s="118"/>
      <c r="K18" s="118"/>
    </row>
    <row r="19" spans="1:11" x14ac:dyDescent="0.35">
      <c r="B19" s="133" t="s">
        <v>206</v>
      </c>
      <c r="C19" s="119"/>
      <c r="D19" s="119"/>
      <c r="E19" s="119"/>
      <c r="F19" s="119"/>
      <c r="G19" s="119"/>
      <c r="H19" s="119"/>
      <c r="I19" s="119"/>
      <c r="J19" s="119"/>
      <c r="K19" s="120"/>
    </row>
    <row r="20" spans="1:11" x14ac:dyDescent="0.35">
      <c r="B20" s="129" t="s">
        <v>249</v>
      </c>
      <c r="C20" s="130" t="s">
        <v>255</v>
      </c>
      <c r="D20" s="130"/>
      <c r="E20" s="130"/>
      <c r="F20" s="131"/>
      <c r="G20" s="130"/>
      <c r="H20" s="130"/>
      <c r="I20" s="130"/>
      <c r="J20" s="130"/>
      <c r="K20" s="132">
        <f>SUM(K21:K22)</f>
        <v>0</v>
      </c>
    </row>
    <row r="21" spans="1:11" x14ac:dyDescent="0.35">
      <c r="B21" s="125"/>
      <c r="C21" s="123" t="s">
        <v>251</v>
      </c>
      <c r="D21" s="123" t="s">
        <v>75</v>
      </c>
      <c r="E21" s="123"/>
      <c r="F21" s="123"/>
      <c r="G21" s="123"/>
      <c r="H21" s="123"/>
      <c r="I21" s="123"/>
      <c r="J21" s="123"/>
      <c r="K21" s="126">
        <f>N102</f>
        <v>0</v>
      </c>
    </row>
    <row r="22" spans="1:11" x14ac:dyDescent="0.35">
      <c r="B22" s="125"/>
      <c r="C22" s="123" t="s">
        <v>252</v>
      </c>
      <c r="D22" s="123" t="s">
        <v>76</v>
      </c>
      <c r="E22" s="123"/>
      <c r="F22" s="123"/>
      <c r="G22" s="123"/>
      <c r="H22" s="123"/>
      <c r="I22" s="123"/>
      <c r="J22" s="123"/>
      <c r="K22" s="126">
        <f>N114</f>
        <v>0</v>
      </c>
    </row>
    <row r="23" spans="1:11" x14ac:dyDescent="0.35">
      <c r="B23" s="121" t="s">
        <v>250</v>
      </c>
      <c r="C23" s="122" t="s">
        <v>256</v>
      </c>
      <c r="D23" s="122"/>
      <c r="E23" s="122"/>
      <c r="F23" s="123"/>
      <c r="G23" s="122"/>
      <c r="H23" s="122"/>
      <c r="I23" s="122"/>
      <c r="J23" s="122"/>
      <c r="K23" s="124">
        <f>SUM(K24:K26)</f>
        <v>0</v>
      </c>
    </row>
    <row r="24" spans="1:11" x14ac:dyDescent="0.35">
      <c r="B24" s="125"/>
      <c r="C24" s="123" t="s">
        <v>251</v>
      </c>
      <c r="D24" s="123" t="s">
        <v>148</v>
      </c>
      <c r="E24" s="123"/>
      <c r="F24" s="123"/>
      <c r="G24" s="123"/>
      <c r="H24" s="123"/>
      <c r="I24" s="123"/>
      <c r="J24" s="123"/>
      <c r="K24" s="126">
        <f>N103</f>
        <v>0</v>
      </c>
    </row>
    <row r="25" spans="1:11" x14ac:dyDescent="0.35">
      <c r="B25" s="125"/>
      <c r="C25" s="123" t="s">
        <v>252</v>
      </c>
      <c r="D25" s="123" t="s">
        <v>150</v>
      </c>
      <c r="E25" s="123"/>
      <c r="F25" s="123"/>
      <c r="G25" s="123"/>
      <c r="H25" s="123"/>
      <c r="I25" s="123"/>
      <c r="J25" s="123"/>
      <c r="K25" s="126">
        <f>SUM(N110,N115)</f>
        <v>0</v>
      </c>
    </row>
    <row r="26" spans="1:11" x14ac:dyDescent="0.35">
      <c r="B26" s="125"/>
      <c r="C26" s="123" t="s">
        <v>253</v>
      </c>
      <c r="D26" s="123" t="s">
        <v>151</v>
      </c>
      <c r="E26" s="123"/>
      <c r="F26" s="123"/>
      <c r="G26" s="123"/>
      <c r="H26" s="123"/>
      <c r="I26" s="123"/>
      <c r="J26" s="123"/>
      <c r="K26" s="126">
        <f>N118</f>
        <v>0</v>
      </c>
    </row>
    <row r="27" spans="1:11" x14ac:dyDescent="0.35">
      <c r="B27" s="121" t="s">
        <v>257</v>
      </c>
      <c r="C27" s="122" t="s">
        <v>137</v>
      </c>
      <c r="D27" s="122"/>
      <c r="E27" s="122"/>
      <c r="F27" s="123"/>
      <c r="G27" s="122"/>
      <c r="H27" s="122"/>
      <c r="I27" s="122"/>
      <c r="J27" s="122"/>
      <c r="K27" s="124">
        <f>SUM(K28:K31)</f>
        <v>0</v>
      </c>
    </row>
    <row r="28" spans="1:11" x14ac:dyDescent="0.35">
      <c r="B28" s="125"/>
      <c r="C28" s="123" t="s">
        <v>251</v>
      </c>
      <c r="D28" s="123" t="s">
        <v>136</v>
      </c>
      <c r="E28" s="123"/>
      <c r="F28" s="123"/>
      <c r="G28" s="123"/>
      <c r="H28" s="123"/>
      <c r="I28" s="123"/>
      <c r="J28" s="123"/>
      <c r="K28" s="126">
        <f>N124</f>
        <v>0</v>
      </c>
    </row>
    <row r="29" spans="1:11" x14ac:dyDescent="0.35">
      <c r="B29" s="125"/>
      <c r="C29" s="123" t="s">
        <v>252</v>
      </c>
      <c r="D29" s="123" t="s">
        <v>259</v>
      </c>
      <c r="E29" s="123"/>
      <c r="F29" s="123"/>
      <c r="G29" s="123"/>
      <c r="H29" s="123"/>
      <c r="I29" s="123"/>
      <c r="J29" s="123"/>
      <c r="K29" s="126">
        <f>SUM(N125,N126)</f>
        <v>0</v>
      </c>
    </row>
    <row r="30" spans="1:11" x14ac:dyDescent="0.35">
      <c r="B30" s="125"/>
      <c r="C30" s="123" t="s">
        <v>253</v>
      </c>
      <c r="D30" s="123" t="s">
        <v>260</v>
      </c>
      <c r="E30" s="123"/>
      <c r="F30" s="123"/>
      <c r="G30" s="123"/>
      <c r="H30" s="123"/>
      <c r="I30" s="123"/>
      <c r="J30" s="123"/>
      <c r="K30" s="126">
        <f>N127</f>
        <v>0</v>
      </c>
    </row>
    <row r="31" spans="1:11" x14ac:dyDescent="0.35">
      <c r="B31" s="125"/>
      <c r="C31" s="123" t="s">
        <v>258</v>
      </c>
      <c r="D31" s="123" t="s">
        <v>270</v>
      </c>
      <c r="E31" s="123"/>
      <c r="F31" s="123"/>
      <c r="G31" s="123"/>
      <c r="H31" s="123"/>
      <c r="I31" s="123"/>
      <c r="J31" s="123"/>
      <c r="K31" s="126">
        <f>SUM(N128,N129)</f>
        <v>0</v>
      </c>
    </row>
    <row r="32" spans="1:11" ht="15.75" customHeight="1" x14ac:dyDescent="0.35">
      <c r="A32" s="5"/>
      <c r="B32" s="152" t="s">
        <v>254</v>
      </c>
      <c r="C32" s="153"/>
      <c r="D32" s="153"/>
      <c r="E32" s="153"/>
      <c r="F32" s="153"/>
      <c r="G32" s="153"/>
      <c r="H32" s="153"/>
      <c r="I32" s="153"/>
      <c r="J32" s="153"/>
      <c r="K32" s="154"/>
    </row>
    <row r="33" spans="1:11" ht="15.75" customHeight="1" x14ac:dyDescent="0.35">
      <c r="A33" s="5"/>
      <c r="B33" s="118"/>
      <c r="C33" s="118"/>
      <c r="D33" s="118"/>
      <c r="E33" s="118"/>
      <c r="F33" s="118"/>
      <c r="G33" s="118"/>
      <c r="H33" s="118"/>
      <c r="I33" s="118"/>
      <c r="J33" s="118"/>
      <c r="K33" s="118"/>
    </row>
    <row r="34" spans="1:11" x14ac:dyDescent="0.35">
      <c r="B34" s="133" t="s">
        <v>207</v>
      </c>
      <c r="C34" s="119"/>
      <c r="D34" s="119"/>
      <c r="E34" s="119"/>
      <c r="F34" s="119"/>
      <c r="G34" s="119"/>
      <c r="H34" s="119"/>
      <c r="I34" s="119"/>
      <c r="J34" s="119"/>
      <c r="K34" s="120"/>
    </row>
    <row r="35" spans="1:11" x14ac:dyDescent="0.35">
      <c r="B35" s="129" t="s">
        <v>249</v>
      </c>
      <c r="C35" s="130" t="s">
        <v>255</v>
      </c>
      <c r="D35" s="130"/>
      <c r="E35" s="130"/>
      <c r="F35" s="131"/>
      <c r="G35" s="130"/>
      <c r="H35" s="130"/>
      <c r="I35" s="130"/>
      <c r="J35" s="130"/>
      <c r="K35" s="132">
        <f>SUM(K36:K37)</f>
        <v>0</v>
      </c>
    </row>
    <row r="36" spans="1:11" x14ac:dyDescent="0.35">
      <c r="B36" s="125"/>
      <c r="C36" s="123" t="s">
        <v>251</v>
      </c>
      <c r="D36" s="123" t="s">
        <v>75</v>
      </c>
      <c r="E36" s="123"/>
      <c r="F36" s="123"/>
      <c r="G36" s="123"/>
      <c r="H36" s="123"/>
      <c r="I36" s="123"/>
      <c r="J36" s="123"/>
      <c r="K36" s="126">
        <f>N136</f>
        <v>0</v>
      </c>
    </row>
    <row r="37" spans="1:11" x14ac:dyDescent="0.35">
      <c r="B37" s="125"/>
      <c r="C37" s="123" t="s">
        <v>252</v>
      </c>
      <c r="D37" s="123" t="s">
        <v>76</v>
      </c>
      <c r="E37" s="123"/>
      <c r="F37" s="123"/>
      <c r="G37" s="123"/>
      <c r="H37" s="123"/>
      <c r="I37" s="123"/>
      <c r="J37" s="123"/>
      <c r="K37" s="126">
        <f>N148</f>
        <v>0</v>
      </c>
    </row>
    <row r="38" spans="1:11" x14ac:dyDescent="0.35">
      <c r="B38" s="121" t="s">
        <v>250</v>
      </c>
      <c r="C38" s="122" t="s">
        <v>256</v>
      </c>
      <c r="D38" s="122"/>
      <c r="E38" s="122"/>
      <c r="F38" s="123"/>
      <c r="G38" s="122"/>
      <c r="H38" s="122"/>
      <c r="I38" s="122"/>
      <c r="J38" s="122"/>
      <c r="K38" s="124">
        <f>SUM(K39:K41)</f>
        <v>0</v>
      </c>
    </row>
    <row r="39" spans="1:11" x14ac:dyDescent="0.35">
      <c r="B39" s="125"/>
      <c r="C39" s="123" t="s">
        <v>251</v>
      </c>
      <c r="D39" s="123" t="s">
        <v>148</v>
      </c>
      <c r="E39" s="123"/>
      <c r="F39" s="123"/>
      <c r="G39" s="123"/>
      <c r="H39" s="123"/>
      <c r="I39" s="123"/>
      <c r="J39" s="123"/>
      <c r="K39" s="126">
        <f>N137</f>
        <v>0</v>
      </c>
    </row>
    <row r="40" spans="1:11" x14ac:dyDescent="0.35">
      <c r="B40" s="125"/>
      <c r="C40" s="123" t="s">
        <v>252</v>
      </c>
      <c r="D40" s="123" t="s">
        <v>150</v>
      </c>
      <c r="E40" s="123"/>
      <c r="F40" s="123"/>
      <c r="G40" s="123"/>
      <c r="H40" s="123"/>
      <c r="I40" s="123"/>
      <c r="J40" s="123"/>
      <c r="K40" s="126">
        <f>SUM(N144,N149)</f>
        <v>0</v>
      </c>
    </row>
    <row r="41" spans="1:11" x14ac:dyDescent="0.35">
      <c r="B41" s="125"/>
      <c r="C41" s="123" t="s">
        <v>253</v>
      </c>
      <c r="D41" s="123" t="s">
        <v>151</v>
      </c>
      <c r="E41" s="123"/>
      <c r="F41" s="123"/>
      <c r="G41" s="123"/>
      <c r="H41" s="123"/>
      <c r="I41" s="123"/>
      <c r="J41" s="123"/>
      <c r="K41" s="126">
        <f>N152</f>
        <v>0</v>
      </c>
    </row>
    <row r="42" spans="1:11" x14ac:dyDescent="0.35">
      <c r="B42" s="121" t="s">
        <v>257</v>
      </c>
      <c r="C42" s="122" t="s">
        <v>137</v>
      </c>
      <c r="D42" s="122"/>
      <c r="E42" s="122"/>
      <c r="F42" s="123"/>
      <c r="G42" s="122"/>
      <c r="H42" s="122"/>
      <c r="I42" s="122"/>
      <c r="J42" s="122"/>
      <c r="K42" s="124">
        <f>SUM(K43:K46)</f>
        <v>0</v>
      </c>
    </row>
    <row r="43" spans="1:11" x14ac:dyDescent="0.35">
      <c r="B43" s="125"/>
      <c r="C43" s="123" t="s">
        <v>251</v>
      </c>
      <c r="D43" s="123" t="s">
        <v>136</v>
      </c>
      <c r="E43" s="123"/>
      <c r="F43" s="123"/>
      <c r="G43" s="123"/>
      <c r="H43" s="123"/>
      <c r="I43" s="123"/>
      <c r="J43" s="123"/>
      <c r="K43" s="126">
        <f>N158</f>
        <v>0</v>
      </c>
    </row>
    <row r="44" spans="1:11" x14ac:dyDescent="0.35">
      <c r="B44" s="125"/>
      <c r="C44" s="123" t="s">
        <v>252</v>
      </c>
      <c r="D44" s="123" t="s">
        <v>259</v>
      </c>
      <c r="E44" s="123"/>
      <c r="F44" s="123"/>
      <c r="G44" s="123"/>
      <c r="H44" s="123"/>
      <c r="I44" s="123"/>
      <c r="J44" s="123"/>
      <c r="K44" s="126">
        <f>SUM(N159,N160)</f>
        <v>0</v>
      </c>
    </row>
    <row r="45" spans="1:11" x14ac:dyDescent="0.35">
      <c r="B45" s="125"/>
      <c r="C45" s="123" t="s">
        <v>253</v>
      </c>
      <c r="D45" s="123" t="s">
        <v>260</v>
      </c>
      <c r="E45" s="123"/>
      <c r="F45" s="123"/>
      <c r="G45" s="123"/>
      <c r="H45" s="123"/>
      <c r="I45" s="123"/>
      <c r="J45" s="123"/>
      <c r="K45" s="126">
        <f>N161</f>
        <v>0</v>
      </c>
    </row>
    <row r="46" spans="1:11" x14ac:dyDescent="0.35">
      <c r="B46" s="125"/>
      <c r="C46" s="123" t="s">
        <v>258</v>
      </c>
      <c r="D46" s="123" t="s">
        <v>270</v>
      </c>
      <c r="E46" s="123"/>
      <c r="F46" s="123"/>
      <c r="G46" s="123"/>
      <c r="H46" s="123"/>
      <c r="I46" s="123"/>
      <c r="J46" s="123"/>
      <c r="K46" s="126">
        <f>SUM(N162,N163)</f>
        <v>0</v>
      </c>
    </row>
    <row r="47" spans="1:11" ht="15.75" customHeight="1" x14ac:dyDescent="0.35">
      <c r="A47" s="5"/>
      <c r="B47" s="152" t="s">
        <v>254</v>
      </c>
      <c r="C47" s="153"/>
      <c r="D47" s="153"/>
      <c r="E47" s="153"/>
      <c r="F47" s="153"/>
      <c r="G47" s="153"/>
      <c r="H47" s="153"/>
      <c r="I47" s="153"/>
      <c r="J47" s="153"/>
      <c r="K47" s="154"/>
    </row>
    <row r="48" spans="1:11" ht="15.75" customHeight="1" x14ac:dyDescent="0.35">
      <c r="A48" s="5"/>
      <c r="B48" s="118"/>
      <c r="C48" s="118"/>
      <c r="D48" s="118"/>
      <c r="E48" s="118"/>
      <c r="F48" s="118"/>
      <c r="G48" s="118"/>
      <c r="H48" s="118"/>
      <c r="I48" s="118"/>
      <c r="J48" s="118"/>
      <c r="K48" s="118"/>
    </row>
    <row r="49" spans="1:53" ht="15.75" customHeight="1" x14ac:dyDescent="0.35">
      <c r="A49" s="5"/>
      <c r="B49" s="118"/>
      <c r="C49" s="118"/>
      <c r="D49" s="118"/>
      <c r="E49" s="118"/>
      <c r="F49" s="118"/>
      <c r="G49" s="118"/>
      <c r="H49" s="118"/>
      <c r="I49" s="118"/>
      <c r="J49" s="118"/>
      <c r="K49" s="118"/>
    </row>
    <row r="50" spans="1:53" ht="15.75" customHeight="1" x14ac:dyDescent="0.35">
      <c r="A50" s="5"/>
      <c r="B50" s="118"/>
      <c r="C50" s="118"/>
      <c r="D50" s="118"/>
      <c r="E50" s="118"/>
      <c r="F50" s="118"/>
      <c r="G50" s="118"/>
      <c r="H50" s="118"/>
      <c r="I50" s="118"/>
      <c r="J50" s="118"/>
      <c r="K50" s="118"/>
    </row>
    <row r="51" spans="1:53" ht="15.75" customHeight="1" x14ac:dyDescent="0.35">
      <c r="A51" s="5"/>
      <c r="B51" s="118"/>
      <c r="C51" s="118"/>
      <c r="D51" s="118"/>
      <c r="E51" s="118"/>
      <c r="F51" s="118"/>
      <c r="G51" s="118"/>
      <c r="H51" s="118"/>
      <c r="I51" s="118"/>
      <c r="J51" s="118"/>
      <c r="K51" s="118"/>
    </row>
    <row r="52" spans="1:53" ht="15.75" customHeight="1" x14ac:dyDescent="0.35">
      <c r="A52" s="5"/>
      <c r="B52" s="118"/>
      <c r="C52" s="118"/>
      <c r="D52" s="118"/>
      <c r="E52" s="118"/>
      <c r="F52" s="118"/>
      <c r="G52" s="118"/>
      <c r="H52" s="118"/>
      <c r="I52" s="118"/>
      <c r="J52" s="118"/>
      <c r="K52" s="118"/>
    </row>
    <row r="53" spans="1:53" ht="15.75" customHeight="1" x14ac:dyDescent="0.35">
      <c r="A53" s="5"/>
      <c r="B53" s="118"/>
      <c r="C53" s="118"/>
      <c r="D53" s="118"/>
      <c r="E53" s="118"/>
      <c r="F53" s="118"/>
      <c r="G53" s="118"/>
      <c r="H53" s="118"/>
      <c r="I53" s="118"/>
      <c r="J53" s="118"/>
      <c r="K53" s="118"/>
    </row>
    <row r="54" spans="1:53" ht="15.75" customHeight="1" x14ac:dyDescent="0.35">
      <c r="A54" s="5"/>
      <c r="B54" s="118"/>
      <c r="C54" s="118"/>
      <c r="D54" s="118"/>
      <c r="E54" s="118"/>
      <c r="F54" s="118"/>
      <c r="G54" s="118"/>
      <c r="H54" s="118"/>
      <c r="I54" s="118"/>
      <c r="J54" s="118"/>
      <c r="K54" s="118"/>
    </row>
    <row r="55" spans="1:53" ht="15.75" customHeight="1" x14ac:dyDescent="0.35">
      <c r="A55" s="5"/>
      <c r="B55" s="118"/>
      <c r="C55" s="118"/>
      <c r="D55" s="118"/>
      <c r="E55" s="118"/>
      <c r="F55" s="118"/>
      <c r="G55" s="118"/>
      <c r="H55" s="118"/>
      <c r="I55" s="118"/>
      <c r="J55" s="118"/>
      <c r="K55" s="118"/>
    </row>
    <row r="56" spans="1:53" ht="15.75" customHeight="1" x14ac:dyDescent="0.35">
      <c r="A56" s="5"/>
      <c r="B56" s="118"/>
      <c r="C56" s="118"/>
      <c r="D56" s="118"/>
      <c r="E56" s="118"/>
      <c r="F56" s="118"/>
      <c r="G56" s="118"/>
      <c r="H56" s="118"/>
      <c r="I56" s="118"/>
      <c r="J56" s="118"/>
      <c r="K56" s="118"/>
    </row>
    <row r="57" spans="1:53" ht="15.75" customHeight="1" x14ac:dyDescent="0.35">
      <c r="A57" s="5"/>
      <c r="B57" s="118"/>
      <c r="C57" s="118"/>
      <c r="D57" s="118"/>
      <c r="E57" s="118"/>
      <c r="F57" s="118"/>
      <c r="G57" s="118"/>
      <c r="H57" s="118"/>
      <c r="I57" s="118"/>
      <c r="J57" s="118"/>
      <c r="K57" s="118"/>
    </row>
    <row r="58" spans="1:53" ht="15.75" customHeight="1" x14ac:dyDescent="0.35">
      <c r="A58" s="5"/>
      <c r="B58" s="118"/>
      <c r="C58" s="118"/>
      <c r="D58" s="118"/>
      <c r="E58" s="118"/>
      <c r="F58" s="118"/>
      <c r="G58" s="118"/>
      <c r="H58" s="118"/>
      <c r="I58" s="118"/>
      <c r="J58" s="118"/>
      <c r="K58" s="118"/>
    </row>
    <row r="59" spans="1:53" ht="15.75" customHeight="1" x14ac:dyDescent="0.35">
      <c r="A59" s="5"/>
      <c r="B59" s="118"/>
      <c r="C59" s="118"/>
      <c r="D59" s="118"/>
      <c r="E59" s="118"/>
      <c r="F59" s="118"/>
      <c r="G59" s="118"/>
      <c r="H59" s="118"/>
      <c r="I59" s="118"/>
      <c r="J59" s="118"/>
      <c r="K59" s="118"/>
    </row>
    <row r="60" spans="1:53" ht="15.75" customHeight="1" x14ac:dyDescent="0.35">
      <c r="A60" s="5"/>
      <c r="B60" s="118"/>
      <c r="C60" s="118"/>
      <c r="D60" s="118"/>
      <c r="E60" s="118"/>
      <c r="F60" s="118"/>
      <c r="G60" s="118"/>
      <c r="H60" s="118"/>
      <c r="I60" s="118"/>
      <c r="J60" s="118"/>
      <c r="K60" s="118"/>
    </row>
    <row r="61" spans="1:53" ht="15.75" customHeight="1" x14ac:dyDescent="0.35">
      <c r="A61" s="5"/>
      <c r="B61" s="118"/>
      <c r="C61" s="118"/>
      <c r="D61" s="118"/>
      <c r="E61" s="118"/>
      <c r="F61" s="118"/>
      <c r="G61" s="118"/>
      <c r="H61" s="118"/>
      <c r="I61" s="118"/>
      <c r="J61" s="118"/>
      <c r="K61" s="118"/>
    </row>
    <row r="62" spans="1:53" ht="15.75" customHeight="1" x14ac:dyDescent="0.35">
      <c r="A62" s="5"/>
      <c r="B62" s="118"/>
      <c r="C62" s="118"/>
      <c r="D62" s="118"/>
      <c r="E62" s="118"/>
      <c r="F62" s="118"/>
      <c r="G62" s="118"/>
      <c r="H62" s="118"/>
      <c r="I62" s="118"/>
      <c r="J62" s="118"/>
      <c r="K62" s="118"/>
    </row>
    <row r="63" spans="1:53" ht="15.75" customHeight="1" x14ac:dyDescent="0.35">
      <c r="A63" s="5"/>
      <c r="B63" s="5"/>
      <c r="C63" s="5"/>
      <c r="E63" s="5"/>
      <c r="F63" s="5"/>
      <c r="G63" s="5"/>
      <c r="H63" s="5"/>
      <c r="I63" s="5"/>
      <c r="J63" s="5"/>
      <c r="K63" s="5"/>
    </row>
    <row r="64" spans="1:53" ht="15" thickBot="1" x14ac:dyDescent="0.4">
      <c r="A64" s="135" t="s">
        <v>205</v>
      </c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</row>
    <row r="65" spans="1:53" ht="15" thickTop="1" x14ac:dyDescent="0.35"/>
    <row r="66" spans="1:53" ht="15.75" customHeight="1" x14ac:dyDescent="0.35">
      <c r="A66" s="59" t="s">
        <v>133</v>
      </c>
      <c r="B66" s="59" t="s">
        <v>136</v>
      </c>
      <c r="C66" s="59"/>
      <c r="D66" s="59"/>
      <c r="E66" s="59"/>
      <c r="F66" s="59"/>
      <c r="G66" s="59"/>
      <c r="H66" s="59"/>
      <c r="I66" s="59"/>
      <c r="J66" s="59"/>
      <c r="K66" s="63"/>
      <c r="L66" s="59"/>
      <c r="M66" s="59"/>
      <c r="N66" s="59">
        <f>SUM(Q66:BA66)</f>
        <v>0</v>
      </c>
      <c r="O66" s="59"/>
      <c r="P66" s="59"/>
      <c r="Q66" s="59">
        <f t="shared" ref="Q66:R66" si="0">SUM(Q68,Q80)</f>
        <v>0</v>
      </c>
      <c r="R66" s="59">
        <f t="shared" si="0"/>
        <v>0</v>
      </c>
      <c r="S66" s="59">
        <f t="shared" ref="S66:BA66" si="1">SUM(S68,S80)</f>
        <v>0</v>
      </c>
      <c r="T66" s="59">
        <f t="shared" si="1"/>
        <v>0</v>
      </c>
      <c r="U66" s="59">
        <f t="shared" si="1"/>
        <v>0</v>
      </c>
      <c r="V66" s="59">
        <f t="shared" si="1"/>
        <v>0</v>
      </c>
      <c r="W66" s="59">
        <f t="shared" si="1"/>
        <v>0</v>
      </c>
      <c r="X66" s="59">
        <f t="shared" si="1"/>
        <v>0</v>
      </c>
      <c r="Y66" s="59">
        <f t="shared" si="1"/>
        <v>0</v>
      </c>
      <c r="Z66" s="59">
        <f t="shared" si="1"/>
        <v>0</v>
      </c>
      <c r="AA66" s="59">
        <f t="shared" si="1"/>
        <v>0</v>
      </c>
      <c r="AB66" s="59">
        <f t="shared" si="1"/>
        <v>0</v>
      </c>
      <c r="AC66" s="59">
        <f t="shared" si="1"/>
        <v>0</v>
      </c>
      <c r="AD66" s="59">
        <f t="shared" si="1"/>
        <v>0</v>
      </c>
      <c r="AE66" s="59">
        <f t="shared" si="1"/>
        <v>0</v>
      </c>
      <c r="AF66" s="59">
        <f t="shared" si="1"/>
        <v>0</v>
      </c>
      <c r="AG66" s="59">
        <f t="shared" si="1"/>
        <v>0</v>
      </c>
      <c r="AH66" s="59">
        <f t="shared" si="1"/>
        <v>0</v>
      </c>
      <c r="AI66" s="59">
        <f t="shared" si="1"/>
        <v>0</v>
      </c>
      <c r="AJ66" s="59">
        <f t="shared" si="1"/>
        <v>0</v>
      </c>
      <c r="AK66" s="59">
        <f t="shared" si="1"/>
        <v>0</v>
      </c>
      <c r="AL66" s="59">
        <f t="shared" si="1"/>
        <v>0</v>
      </c>
      <c r="AM66" s="59">
        <f t="shared" si="1"/>
        <v>0</v>
      </c>
      <c r="AN66" s="59">
        <f t="shared" si="1"/>
        <v>0</v>
      </c>
      <c r="AO66" s="59">
        <f t="shared" si="1"/>
        <v>0</v>
      </c>
      <c r="AP66" s="59">
        <f t="shared" si="1"/>
        <v>0</v>
      </c>
      <c r="AQ66" s="59">
        <f t="shared" si="1"/>
        <v>0</v>
      </c>
      <c r="AR66" s="59">
        <f t="shared" si="1"/>
        <v>0</v>
      </c>
      <c r="AS66" s="59">
        <f t="shared" si="1"/>
        <v>0</v>
      </c>
      <c r="AT66" s="59">
        <f t="shared" si="1"/>
        <v>0</v>
      </c>
      <c r="AU66" s="59">
        <f t="shared" si="1"/>
        <v>0</v>
      </c>
      <c r="AV66" s="59">
        <f t="shared" si="1"/>
        <v>0</v>
      </c>
      <c r="AW66" s="59">
        <f t="shared" si="1"/>
        <v>0</v>
      </c>
      <c r="AX66" s="59">
        <f t="shared" si="1"/>
        <v>0</v>
      </c>
      <c r="AY66" s="59">
        <f t="shared" si="1"/>
        <v>0</v>
      </c>
      <c r="AZ66" s="59">
        <f t="shared" si="1"/>
        <v>0</v>
      </c>
      <c r="BA66" s="59">
        <f t="shared" si="1"/>
        <v>0</v>
      </c>
    </row>
    <row r="67" spans="1:53" ht="12.75" customHeight="1" x14ac:dyDescent="0.35"/>
    <row r="68" spans="1:53" ht="15.75" customHeight="1" x14ac:dyDescent="0.35">
      <c r="A68" s="15"/>
      <c r="B68" s="16" t="s">
        <v>75</v>
      </c>
      <c r="C68" s="16"/>
      <c r="D68" s="16"/>
      <c r="E68" s="16"/>
      <c r="F68" s="16"/>
      <c r="G68" s="16"/>
      <c r="H68" s="16"/>
      <c r="I68" s="16"/>
      <c r="J68" s="16"/>
      <c r="K68" s="64"/>
      <c r="L68" s="3"/>
      <c r="M68" s="3"/>
      <c r="N68" s="4">
        <f t="shared" ref="N68:N78" si="2">SUM(Q68:BA68)</f>
        <v>0</v>
      </c>
      <c r="O68" s="3"/>
      <c r="P68" s="3"/>
      <c r="Q68" s="4">
        <f t="shared" ref="Q68:R68" si="3">SUM(Q69,Q76)</f>
        <v>0</v>
      </c>
      <c r="R68" s="4">
        <f t="shared" si="3"/>
        <v>0</v>
      </c>
      <c r="S68" s="4">
        <f t="shared" ref="S68:BA68" si="4">SUM(S69,S76)</f>
        <v>0</v>
      </c>
      <c r="T68" s="4">
        <f t="shared" si="4"/>
        <v>0</v>
      </c>
      <c r="U68" s="4">
        <f t="shared" si="4"/>
        <v>0</v>
      </c>
      <c r="V68" s="4">
        <f t="shared" si="4"/>
        <v>0</v>
      </c>
      <c r="W68" s="4">
        <f t="shared" si="4"/>
        <v>0</v>
      </c>
      <c r="X68" s="4">
        <f t="shared" si="4"/>
        <v>0</v>
      </c>
      <c r="Y68" s="4">
        <f t="shared" si="4"/>
        <v>0</v>
      </c>
      <c r="Z68" s="4">
        <f t="shared" si="4"/>
        <v>0</v>
      </c>
      <c r="AA68" s="4">
        <f t="shared" si="4"/>
        <v>0</v>
      </c>
      <c r="AB68" s="4">
        <f t="shared" si="4"/>
        <v>0</v>
      </c>
      <c r="AC68" s="4">
        <f t="shared" si="4"/>
        <v>0</v>
      </c>
      <c r="AD68" s="4">
        <f t="shared" si="4"/>
        <v>0</v>
      </c>
      <c r="AE68" s="4">
        <f t="shared" si="4"/>
        <v>0</v>
      </c>
      <c r="AF68" s="4">
        <f t="shared" si="4"/>
        <v>0</v>
      </c>
      <c r="AG68" s="4">
        <f t="shared" si="4"/>
        <v>0</v>
      </c>
      <c r="AH68" s="4">
        <f t="shared" si="4"/>
        <v>0</v>
      </c>
      <c r="AI68" s="4">
        <f t="shared" si="4"/>
        <v>0</v>
      </c>
      <c r="AJ68" s="4">
        <f t="shared" si="4"/>
        <v>0</v>
      </c>
      <c r="AK68" s="4">
        <f t="shared" si="4"/>
        <v>0</v>
      </c>
      <c r="AL68" s="4">
        <f t="shared" si="4"/>
        <v>0</v>
      </c>
      <c r="AM68" s="4">
        <f t="shared" si="4"/>
        <v>0</v>
      </c>
      <c r="AN68" s="4">
        <f t="shared" si="4"/>
        <v>0</v>
      </c>
      <c r="AO68" s="4">
        <f t="shared" si="4"/>
        <v>0</v>
      </c>
      <c r="AP68" s="4">
        <f t="shared" si="4"/>
        <v>0</v>
      </c>
      <c r="AQ68" s="4">
        <f t="shared" si="4"/>
        <v>0</v>
      </c>
      <c r="AR68" s="4">
        <f t="shared" si="4"/>
        <v>0</v>
      </c>
      <c r="AS68" s="4">
        <f t="shared" si="4"/>
        <v>0</v>
      </c>
      <c r="AT68" s="4">
        <f t="shared" si="4"/>
        <v>0</v>
      </c>
      <c r="AU68" s="4">
        <f t="shared" si="4"/>
        <v>0</v>
      </c>
      <c r="AV68" s="4">
        <f t="shared" si="4"/>
        <v>0</v>
      </c>
      <c r="AW68" s="4">
        <f t="shared" si="4"/>
        <v>0</v>
      </c>
      <c r="AX68" s="4">
        <f t="shared" si="4"/>
        <v>0</v>
      </c>
      <c r="AY68" s="4">
        <f t="shared" si="4"/>
        <v>0</v>
      </c>
      <c r="AZ68" s="4">
        <f t="shared" si="4"/>
        <v>0</v>
      </c>
      <c r="BA68" s="73">
        <f t="shared" si="4"/>
        <v>0</v>
      </c>
    </row>
    <row r="69" spans="1:53" ht="15.75" customHeight="1" x14ac:dyDescent="0.35">
      <c r="A69" s="5"/>
      <c r="B69" s="5"/>
      <c r="C69" s="5" t="s">
        <v>156</v>
      </c>
      <c r="E69" s="5"/>
      <c r="F69" s="5"/>
      <c r="G69" s="5"/>
      <c r="H69" s="5"/>
      <c r="I69" s="5"/>
      <c r="J69" s="5"/>
      <c r="K69" s="65"/>
      <c r="N69" s="1">
        <f t="shared" si="2"/>
        <v>0</v>
      </c>
      <c r="Q69" s="1">
        <f t="shared" ref="Q69:R69" si="5">SUM(Q70:Q75)</f>
        <v>0</v>
      </c>
      <c r="R69" s="1">
        <f t="shared" si="5"/>
        <v>0</v>
      </c>
      <c r="S69" s="1">
        <f t="shared" ref="S69:BA69" si="6">SUM(S70:S75)</f>
        <v>0</v>
      </c>
      <c r="T69" s="1">
        <f t="shared" si="6"/>
        <v>0</v>
      </c>
      <c r="U69" s="1">
        <f t="shared" si="6"/>
        <v>0</v>
      </c>
      <c r="V69" s="1">
        <f t="shared" si="6"/>
        <v>0</v>
      </c>
      <c r="W69" s="1">
        <f t="shared" si="6"/>
        <v>0</v>
      </c>
      <c r="X69" s="1">
        <f t="shared" si="6"/>
        <v>0</v>
      </c>
      <c r="Y69" s="1">
        <f t="shared" si="6"/>
        <v>0</v>
      </c>
      <c r="Z69" s="1">
        <f t="shared" si="6"/>
        <v>0</v>
      </c>
      <c r="AA69" s="1">
        <f t="shared" si="6"/>
        <v>0</v>
      </c>
      <c r="AB69" s="1">
        <f t="shared" si="6"/>
        <v>0</v>
      </c>
      <c r="AC69" s="1">
        <f t="shared" si="6"/>
        <v>0</v>
      </c>
      <c r="AD69" s="1">
        <f t="shared" si="6"/>
        <v>0</v>
      </c>
      <c r="AE69" s="1">
        <f t="shared" si="6"/>
        <v>0</v>
      </c>
      <c r="AF69" s="1">
        <f t="shared" si="6"/>
        <v>0</v>
      </c>
      <c r="AG69" s="1">
        <f t="shared" si="6"/>
        <v>0</v>
      </c>
      <c r="AH69" s="1">
        <f t="shared" si="6"/>
        <v>0</v>
      </c>
      <c r="AI69" s="1">
        <f t="shared" si="6"/>
        <v>0</v>
      </c>
      <c r="AJ69" s="1">
        <f t="shared" si="6"/>
        <v>0</v>
      </c>
      <c r="AK69" s="1">
        <f t="shared" si="6"/>
        <v>0</v>
      </c>
      <c r="AL69" s="1">
        <f t="shared" si="6"/>
        <v>0</v>
      </c>
      <c r="AM69" s="1">
        <f t="shared" si="6"/>
        <v>0</v>
      </c>
      <c r="AN69" s="1">
        <f t="shared" si="6"/>
        <v>0</v>
      </c>
      <c r="AO69" s="1">
        <f t="shared" si="6"/>
        <v>0</v>
      </c>
      <c r="AP69" s="1">
        <f t="shared" si="6"/>
        <v>0</v>
      </c>
      <c r="AQ69" s="1">
        <f t="shared" si="6"/>
        <v>0</v>
      </c>
      <c r="AR69" s="1">
        <f t="shared" si="6"/>
        <v>0</v>
      </c>
      <c r="AS69" s="1">
        <f t="shared" si="6"/>
        <v>0</v>
      </c>
      <c r="AT69" s="1">
        <f t="shared" si="6"/>
        <v>0</v>
      </c>
      <c r="AU69" s="1">
        <f t="shared" si="6"/>
        <v>0</v>
      </c>
      <c r="AV69" s="1">
        <f t="shared" si="6"/>
        <v>0</v>
      </c>
      <c r="AW69" s="1">
        <f t="shared" si="6"/>
        <v>0</v>
      </c>
      <c r="AX69" s="1">
        <f t="shared" si="6"/>
        <v>0</v>
      </c>
      <c r="AY69" s="1">
        <f t="shared" si="6"/>
        <v>0</v>
      </c>
      <c r="AZ69" s="1">
        <f t="shared" si="6"/>
        <v>0</v>
      </c>
      <c r="BA69" s="74">
        <f t="shared" si="6"/>
        <v>0</v>
      </c>
    </row>
    <row r="70" spans="1:53" ht="15.75" customHeight="1" x14ac:dyDescent="0.35">
      <c r="A70" s="5"/>
      <c r="B70" s="5"/>
      <c r="C70" s="5"/>
      <c r="D70" s="5" t="s">
        <v>99</v>
      </c>
      <c r="E70" s="5"/>
      <c r="F70" s="5"/>
      <c r="G70" s="5"/>
      <c r="H70" s="5"/>
      <c r="I70" s="5"/>
      <c r="J70" s="5"/>
      <c r="K70" s="65"/>
      <c r="N70" s="11">
        <f t="shared" si="2"/>
        <v>0</v>
      </c>
      <c r="Q70" s="11">
        <f>'Wariant 1'!Q$90</f>
        <v>0</v>
      </c>
      <c r="R70" s="11">
        <f>'Wariant 1'!R$90</f>
        <v>0</v>
      </c>
      <c r="S70" s="11">
        <f>'Wariant 1'!S$90</f>
        <v>0</v>
      </c>
      <c r="T70" s="11">
        <f>'Wariant 1'!T$90</f>
        <v>0</v>
      </c>
      <c r="U70" s="11">
        <f>'Wariant 1'!U$90</f>
        <v>0</v>
      </c>
      <c r="V70" s="11">
        <f>'Wariant 1'!V$90</f>
        <v>0</v>
      </c>
      <c r="W70" s="11">
        <f>'Wariant 1'!W$90</f>
        <v>0</v>
      </c>
      <c r="X70" s="11">
        <f>'Wariant 1'!X$90</f>
        <v>0</v>
      </c>
      <c r="Y70" s="11">
        <f>'Wariant 1'!Y$90</f>
        <v>0</v>
      </c>
      <c r="Z70" s="11">
        <f>'Wariant 1'!Z$90</f>
        <v>0</v>
      </c>
      <c r="AA70" s="11">
        <f>'Wariant 1'!AA$90</f>
        <v>0</v>
      </c>
      <c r="AB70" s="11">
        <f>'Wariant 1'!AB$90</f>
        <v>0</v>
      </c>
      <c r="AC70" s="11">
        <f>'Wariant 1'!AC$90</f>
        <v>0</v>
      </c>
      <c r="AD70" s="11">
        <f>'Wariant 1'!AD$90</f>
        <v>0</v>
      </c>
      <c r="AE70" s="11">
        <f>'Wariant 1'!AE$90</f>
        <v>0</v>
      </c>
      <c r="AF70" s="11">
        <f>'Wariant 1'!AF$90</f>
        <v>0</v>
      </c>
      <c r="AG70" s="11">
        <f>'Wariant 1'!AG$90</f>
        <v>0</v>
      </c>
      <c r="AH70" s="11">
        <f>'Wariant 1'!AH$90</f>
        <v>0</v>
      </c>
      <c r="AI70" s="11">
        <f>'Wariant 1'!AI$90</f>
        <v>0</v>
      </c>
      <c r="AJ70" s="11">
        <f>'Wariant 1'!AJ$90</f>
        <v>0</v>
      </c>
      <c r="AK70" s="11">
        <f>'Wariant 1'!AK$90</f>
        <v>0</v>
      </c>
      <c r="AL70" s="11">
        <f>'Wariant 1'!AL$90</f>
        <v>0</v>
      </c>
      <c r="AM70" s="11">
        <f>'Wariant 1'!AM$90</f>
        <v>0</v>
      </c>
      <c r="AN70" s="11">
        <f>'Wariant 1'!AN$90</f>
        <v>0</v>
      </c>
      <c r="AO70" s="11">
        <f>'Wariant 1'!AO$90</f>
        <v>0</v>
      </c>
      <c r="AP70" s="11">
        <f>'Wariant 1'!AP$90</f>
        <v>0</v>
      </c>
      <c r="AQ70" s="11">
        <f>'Wariant 1'!AQ$90</f>
        <v>0</v>
      </c>
      <c r="AR70" s="11">
        <f>'Wariant 1'!AR$90</f>
        <v>0</v>
      </c>
      <c r="AS70" s="11">
        <f>'Wariant 1'!AS$90</f>
        <v>0</v>
      </c>
      <c r="AT70" s="11">
        <f>'Wariant 1'!AT$90</f>
        <v>0</v>
      </c>
      <c r="AU70" s="11">
        <f>'Wariant 1'!AU$90</f>
        <v>0</v>
      </c>
      <c r="AV70" s="11">
        <f>'Wariant 1'!AV$90</f>
        <v>0</v>
      </c>
      <c r="AW70" s="11">
        <f>'Wariant 1'!AW$90</f>
        <v>0</v>
      </c>
      <c r="AX70" s="11">
        <f>'Wariant 1'!AX$90</f>
        <v>0</v>
      </c>
      <c r="AY70" s="11">
        <f>'Wariant 1'!AY$90</f>
        <v>0</v>
      </c>
      <c r="AZ70" s="11">
        <f>'Wariant 1'!AZ$90</f>
        <v>0</v>
      </c>
      <c r="BA70" s="11">
        <f>'Wariant 1'!BA$90</f>
        <v>0</v>
      </c>
    </row>
    <row r="71" spans="1:53" ht="15.75" customHeight="1" x14ac:dyDescent="0.35">
      <c r="A71" s="5"/>
      <c r="B71" s="5"/>
      <c r="C71" s="5"/>
      <c r="D71" s="5" t="s">
        <v>100</v>
      </c>
      <c r="E71" s="5"/>
      <c r="F71" s="5"/>
      <c r="G71" s="5"/>
      <c r="H71" s="5"/>
      <c r="I71" s="5"/>
      <c r="J71" s="5"/>
      <c r="K71" s="65"/>
      <c r="N71" s="11">
        <f t="shared" si="2"/>
        <v>0</v>
      </c>
      <c r="Q71" s="11">
        <f>'Wariant 1'!Q$91</f>
        <v>0</v>
      </c>
      <c r="R71" s="11">
        <f>'Wariant 1'!R$91</f>
        <v>0</v>
      </c>
      <c r="S71" s="11">
        <f>'Wariant 1'!S$91</f>
        <v>0</v>
      </c>
      <c r="T71" s="11">
        <f>'Wariant 1'!T$91</f>
        <v>0</v>
      </c>
      <c r="U71" s="11">
        <f>'Wariant 1'!U$91</f>
        <v>0</v>
      </c>
      <c r="V71" s="11">
        <f>'Wariant 1'!V$91</f>
        <v>0</v>
      </c>
      <c r="W71" s="11">
        <f>'Wariant 1'!W$91</f>
        <v>0</v>
      </c>
      <c r="X71" s="11">
        <f>'Wariant 1'!X$91</f>
        <v>0</v>
      </c>
      <c r="Y71" s="11">
        <f>'Wariant 1'!Y$91</f>
        <v>0</v>
      </c>
      <c r="Z71" s="11">
        <f>'Wariant 1'!Z$91</f>
        <v>0</v>
      </c>
      <c r="AA71" s="11">
        <f>'Wariant 1'!AA$91</f>
        <v>0</v>
      </c>
      <c r="AB71" s="11">
        <f>'Wariant 1'!AB$91</f>
        <v>0</v>
      </c>
      <c r="AC71" s="11">
        <f>'Wariant 1'!AC$91</f>
        <v>0</v>
      </c>
      <c r="AD71" s="11">
        <f>'Wariant 1'!AD$91</f>
        <v>0</v>
      </c>
      <c r="AE71" s="11">
        <f>'Wariant 1'!AE$91</f>
        <v>0</v>
      </c>
      <c r="AF71" s="11">
        <f>'Wariant 1'!AF$91</f>
        <v>0</v>
      </c>
      <c r="AG71" s="11">
        <f>'Wariant 1'!AG$91</f>
        <v>0</v>
      </c>
      <c r="AH71" s="11">
        <f>'Wariant 1'!AH$91</f>
        <v>0</v>
      </c>
      <c r="AI71" s="11">
        <f>'Wariant 1'!AI$91</f>
        <v>0</v>
      </c>
      <c r="AJ71" s="11">
        <f>'Wariant 1'!AJ$91</f>
        <v>0</v>
      </c>
      <c r="AK71" s="11">
        <f>'Wariant 1'!AK$91</f>
        <v>0</v>
      </c>
      <c r="AL71" s="11">
        <f>'Wariant 1'!AL$91</f>
        <v>0</v>
      </c>
      <c r="AM71" s="11">
        <f>'Wariant 1'!AM$91</f>
        <v>0</v>
      </c>
      <c r="AN71" s="11">
        <f>'Wariant 1'!AN$91</f>
        <v>0</v>
      </c>
      <c r="AO71" s="11">
        <f>'Wariant 1'!AO$91</f>
        <v>0</v>
      </c>
      <c r="AP71" s="11">
        <f>'Wariant 1'!AP$91</f>
        <v>0</v>
      </c>
      <c r="AQ71" s="11">
        <f>'Wariant 1'!AQ$91</f>
        <v>0</v>
      </c>
      <c r="AR71" s="11">
        <f>'Wariant 1'!AR$91</f>
        <v>0</v>
      </c>
      <c r="AS71" s="11">
        <f>'Wariant 1'!AS$91</f>
        <v>0</v>
      </c>
      <c r="AT71" s="11">
        <f>'Wariant 1'!AT$91</f>
        <v>0</v>
      </c>
      <c r="AU71" s="11">
        <f>'Wariant 1'!AU$91</f>
        <v>0</v>
      </c>
      <c r="AV71" s="11">
        <f>'Wariant 1'!AV$91</f>
        <v>0</v>
      </c>
      <c r="AW71" s="11">
        <f>'Wariant 1'!AW$91</f>
        <v>0</v>
      </c>
      <c r="AX71" s="11">
        <f>'Wariant 1'!AX$91</f>
        <v>0</v>
      </c>
      <c r="AY71" s="11">
        <f>'Wariant 1'!AY$91</f>
        <v>0</v>
      </c>
      <c r="AZ71" s="11">
        <f>'Wariant 1'!AZ$91</f>
        <v>0</v>
      </c>
      <c r="BA71" s="11">
        <f>'Wariant 1'!BA$91</f>
        <v>0</v>
      </c>
    </row>
    <row r="72" spans="1:53" ht="15.75" customHeight="1" x14ac:dyDescent="0.35">
      <c r="A72" s="5"/>
      <c r="B72" s="5"/>
      <c r="C72" s="5"/>
      <c r="D72" s="5" t="s">
        <v>66</v>
      </c>
      <c r="E72" s="5"/>
      <c r="F72" s="5"/>
      <c r="G72" s="5"/>
      <c r="H72" s="5"/>
      <c r="I72" s="5"/>
      <c r="J72" s="5"/>
      <c r="K72" s="65"/>
      <c r="N72" s="11">
        <f t="shared" si="2"/>
        <v>0</v>
      </c>
      <c r="Q72" s="11">
        <f>'Wariant 1'!Q$92</f>
        <v>0</v>
      </c>
      <c r="R72" s="11">
        <f>'Wariant 1'!R$92</f>
        <v>0</v>
      </c>
      <c r="S72" s="11">
        <f>'Wariant 1'!S$92</f>
        <v>0</v>
      </c>
      <c r="T72" s="11">
        <f>'Wariant 1'!T$92</f>
        <v>0</v>
      </c>
      <c r="U72" s="11">
        <f>'Wariant 1'!U$92</f>
        <v>0</v>
      </c>
      <c r="V72" s="11">
        <f>'Wariant 1'!V$92</f>
        <v>0</v>
      </c>
      <c r="W72" s="11">
        <f>'Wariant 1'!W$92</f>
        <v>0</v>
      </c>
      <c r="X72" s="11">
        <f>'Wariant 1'!X$92</f>
        <v>0</v>
      </c>
      <c r="Y72" s="11">
        <f>'Wariant 1'!Y$92</f>
        <v>0</v>
      </c>
      <c r="Z72" s="11">
        <f>'Wariant 1'!Z$92</f>
        <v>0</v>
      </c>
      <c r="AA72" s="11">
        <f>'Wariant 1'!AA$92</f>
        <v>0</v>
      </c>
      <c r="AB72" s="11">
        <f>'Wariant 1'!AB$92</f>
        <v>0</v>
      </c>
      <c r="AC72" s="11">
        <f>'Wariant 1'!AC$92</f>
        <v>0</v>
      </c>
      <c r="AD72" s="11">
        <f>'Wariant 1'!AD$92</f>
        <v>0</v>
      </c>
      <c r="AE72" s="11">
        <f>'Wariant 1'!AE$92</f>
        <v>0</v>
      </c>
      <c r="AF72" s="11">
        <f>'Wariant 1'!AF$92</f>
        <v>0</v>
      </c>
      <c r="AG72" s="11">
        <f>'Wariant 1'!AG$92</f>
        <v>0</v>
      </c>
      <c r="AH72" s="11">
        <f>'Wariant 1'!AH$92</f>
        <v>0</v>
      </c>
      <c r="AI72" s="11">
        <f>'Wariant 1'!AI$92</f>
        <v>0</v>
      </c>
      <c r="AJ72" s="11">
        <f>'Wariant 1'!AJ$92</f>
        <v>0</v>
      </c>
      <c r="AK72" s="11">
        <f>'Wariant 1'!AK$92</f>
        <v>0</v>
      </c>
      <c r="AL72" s="11">
        <f>'Wariant 1'!AL$92</f>
        <v>0</v>
      </c>
      <c r="AM72" s="11">
        <f>'Wariant 1'!AM$92</f>
        <v>0</v>
      </c>
      <c r="AN72" s="11">
        <f>'Wariant 1'!AN$92</f>
        <v>0</v>
      </c>
      <c r="AO72" s="11">
        <f>'Wariant 1'!AO$92</f>
        <v>0</v>
      </c>
      <c r="AP72" s="11">
        <f>'Wariant 1'!AP$92</f>
        <v>0</v>
      </c>
      <c r="AQ72" s="11">
        <f>'Wariant 1'!AQ$92</f>
        <v>0</v>
      </c>
      <c r="AR72" s="11">
        <f>'Wariant 1'!AR$92</f>
        <v>0</v>
      </c>
      <c r="AS72" s="11">
        <f>'Wariant 1'!AS$92</f>
        <v>0</v>
      </c>
      <c r="AT72" s="11">
        <f>'Wariant 1'!AT$92</f>
        <v>0</v>
      </c>
      <c r="AU72" s="11">
        <f>'Wariant 1'!AU$92</f>
        <v>0</v>
      </c>
      <c r="AV72" s="11">
        <f>'Wariant 1'!AV$92</f>
        <v>0</v>
      </c>
      <c r="AW72" s="11">
        <f>'Wariant 1'!AW$92</f>
        <v>0</v>
      </c>
      <c r="AX72" s="11">
        <f>'Wariant 1'!AX$92</f>
        <v>0</v>
      </c>
      <c r="AY72" s="11">
        <f>'Wariant 1'!AY$92</f>
        <v>0</v>
      </c>
      <c r="AZ72" s="11">
        <f>'Wariant 1'!AZ$92</f>
        <v>0</v>
      </c>
      <c r="BA72" s="11">
        <f>'Wariant 1'!BA$92</f>
        <v>0</v>
      </c>
    </row>
    <row r="73" spans="1:53" ht="15.75" customHeight="1" x14ac:dyDescent="0.35">
      <c r="A73" s="5"/>
      <c r="B73" s="5"/>
      <c r="C73" s="5"/>
      <c r="D73" s="5" t="s">
        <v>72</v>
      </c>
      <c r="E73" s="5"/>
      <c r="F73" s="5"/>
      <c r="G73" s="5"/>
      <c r="H73" s="5"/>
      <c r="I73" s="5"/>
      <c r="J73" s="5"/>
      <c r="K73" s="65"/>
      <c r="N73" s="11">
        <f t="shared" si="2"/>
        <v>0</v>
      </c>
      <c r="Q73" s="11">
        <f>'Wariant 1'!Q$93</f>
        <v>0</v>
      </c>
      <c r="R73" s="11">
        <f>'Wariant 1'!R$93</f>
        <v>0</v>
      </c>
      <c r="S73" s="11">
        <f>'Wariant 1'!S$93</f>
        <v>0</v>
      </c>
      <c r="T73" s="11">
        <f>'Wariant 1'!T$93</f>
        <v>0</v>
      </c>
      <c r="U73" s="11">
        <f>'Wariant 1'!U$93</f>
        <v>0</v>
      </c>
      <c r="V73" s="11">
        <f>'Wariant 1'!V$93</f>
        <v>0</v>
      </c>
      <c r="W73" s="11">
        <f>'Wariant 1'!W$93</f>
        <v>0</v>
      </c>
      <c r="X73" s="11">
        <f>'Wariant 1'!X$93</f>
        <v>0</v>
      </c>
      <c r="Y73" s="11">
        <f>'Wariant 1'!Y$93</f>
        <v>0</v>
      </c>
      <c r="Z73" s="11">
        <f>'Wariant 1'!Z$93</f>
        <v>0</v>
      </c>
      <c r="AA73" s="11">
        <f>'Wariant 1'!AA$93</f>
        <v>0</v>
      </c>
      <c r="AB73" s="11">
        <f>'Wariant 1'!AB$93</f>
        <v>0</v>
      </c>
      <c r="AC73" s="11">
        <f>'Wariant 1'!AC$93</f>
        <v>0</v>
      </c>
      <c r="AD73" s="11">
        <f>'Wariant 1'!AD$93</f>
        <v>0</v>
      </c>
      <c r="AE73" s="11">
        <f>'Wariant 1'!AE$93</f>
        <v>0</v>
      </c>
      <c r="AF73" s="11">
        <f>'Wariant 1'!AF$93</f>
        <v>0</v>
      </c>
      <c r="AG73" s="11">
        <f>'Wariant 1'!AG$93</f>
        <v>0</v>
      </c>
      <c r="AH73" s="11">
        <f>'Wariant 1'!AH$93</f>
        <v>0</v>
      </c>
      <c r="AI73" s="11">
        <f>'Wariant 1'!AI$93</f>
        <v>0</v>
      </c>
      <c r="AJ73" s="11">
        <f>'Wariant 1'!AJ$93</f>
        <v>0</v>
      </c>
      <c r="AK73" s="11">
        <f>'Wariant 1'!AK$93</f>
        <v>0</v>
      </c>
      <c r="AL73" s="11">
        <f>'Wariant 1'!AL$93</f>
        <v>0</v>
      </c>
      <c r="AM73" s="11">
        <f>'Wariant 1'!AM$93</f>
        <v>0</v>
      </c>
      <c r="AN73" s="11">
        <f>'Wariant 1'!AN$93</f>
        <v>0</v>
      </c>
      <c r="AO73" s="11">
        <f>'Wariant 1'!AO$93</f>
        <v>0</v>
      </c>
      <c r="AP73" s="11">
        <f>'Wariant 1'!AP$93</f>
        <v>0</v>
      </c>
      <c r="AQ73" s="11">
        <f>'Wariant 1'!AQ$93</f>
        <v>0</v>
      </c>
      <c r="AR73" s="11">
        <f>'Wariant 1'!AR$93</f>
        <v>0</v>
      </c>
      <c r="AS73" s="11">
        <f>'Wariant 1'!AS$93</f>
        <v>0</v>
      </c>
      <c r="AT73" s="11">
        <f>'Wariant 1'!AT$93</f>
        <v>0</v>
      </c>
      <c r="AU73" s="11">
        <f>'Wariant 1'!AU$93</f>
        <v>0</v>
      </c>
      <c r="AV73" s="11">
        <f>'Wariant 1'!AV$93</f>
        <v>0</v>
      </c>
      <c r="AW73" s="11">
        <f>'Wariant 1'!AW$93</f>
        <v>0</v>
      </c>
      <c r="AX73" s="11">
        <f>'Wariant 1'!AX$93</f>
        <v>0</v>
      </c>
      <c r="AY73" s="11">
        <f>'Wariant 1'!AY$93</f>
        <v>0</v>
      </c>
      <c r="AZ73" s="11">
        <f>'Wariant 1'!AZ$93</f>
        <v>0</v>
      </c>
      <c r="BA73" s="11">
        <f>'Wariant 1'!BA$93</f>
        <v>0</v>
      </c>
    </row>
    <row r="74" spans="1:53" ht="15.75" customHeight="1" x14ac:dyDescent="0.35">
      <c r="A74" s="5"/>
      <c r="B74" s="5"/>
      <c r="C74" s="5"/>
      <c r="D74" s="5" t="s">
        <v>50</v>
      </c>
      <c r="E74" s="5"/>
      <c r="F74" s="5"/>
      <c r="G74" s="5"/>
      <c r="H74" s="5"/>
      <c r="I74" s="5"/>
      <c r="J74" s="5"/>
      <c r="K74" s="65"/>
      <c r="N74" s="11">
        <f t="shared" si="2"/>
        <v>0</v>
      </c>
      <c r="Q74" s="11">
        <f>'Wariant 1'!Q$94</f>
        <v>0</v>
      </c>
      <c r="R74" s="11">
        <f>'Wariant 1'!R$94</f>
        <v>0</v>
      </c>
      <c r="S74" s="11">
        <f>'Wariant 1'!S$94</f>
        <v>0</v>
      </c>
      <c r="T74" s="11">
        <f>'Wariant 1'!T$94</f>
        <v>0</v>
      </c>
      <c r="U74" s="11">
        <f>'Wariant 1'!U$94</f>
        <v>0</v>
      </c>
      <c r="V74" s="11">
        <f>'Wariant 1'!V$94</f>
        <v>0</v>
      </c>
      <c r="W74" s="11">
        <f>'Wariant 1'!W$94</f>
        <v>0</v>
      </c>
      <c r="X74" s="11">
        <f>'Wariant 1'!X$94</f>
        <v>0</v>
      </c>
      <c r="Y74" s="11">
        <f>'Wariant 1'!Y$94</f>
        <v>0</v>
      </c>
      <c r="Z74" s="11">
        <f>'Wariant 1'!Z$94</f>
        <v>0</v>
      </c>
      <c r="AA74" s="11">
        <f>'Wariant 1'!AA$94</f>
        <v>0</v>
      </c>
      <c r="AB74" s="11">
        <f>'Wariant 1'!AB$94</f>
        <v>0</v>
      </c>
      <c r="AC74" s="11">
        <f>'Wariant 1'!AC$94</f>
        <v>0</v>
      </c>
      <c r="AD74" s="11">
        <f>'Wariant 1'!AD$94</f>
        <v>0</v>
      </c>
      <c r="AE74" s="11">
        <f>'Wariant 1'!AE$94</f>
        <v>0</v>
      </c>
      <c r="AF74" s="11">
        <f>'Wariant 1'!AF$94</f>
        <v>0</v>
      </c>
      <c r="AG74" s="11">
        <f>'Wariant 1'!AG$94</f>
        <v>0</v>
      </c>
      <c r="AH74" s="11">
        <f>'Wariant 1'!AH$94</f>
        <v>0</v>
      </c>
      <c r="AI74" s="11">
        <f>'Wariant 1'!AI$94</f>
        <v>0</v>
      </c>
      <c r="AJ74" s="11">
        <f>'Wariant 1'!AJ$94</f>
        <v>0</v>
      </c>
      <c r="AK74" s="11">
        <f>'Wariant 1'!AK$94</f>
        <v>0</v>
      </c>
      <c r="AL74" s="11">
        <f>'Wariant 1'!AL$94</f>
        <v>0</v>
      </c>
      <c r="AM74" s="11">
        <f>'Wariant 1'!AM$94</f>
        <v>0</v>
      </c>
      <c r="AN74" s="11">
        <f>'Wariant 1'!AN$94</f>
        <v>0</v>
      </c>
      <c r="AO74" s="11">
        <f>'Wariant 1'!AO$94</f>
        <v>0</v>
      </c>
      <c r="AP74" s="11">
        <f>'Wariant 1'!AP$94</f>
        <v>0</v>
      </c>
      <c r="AQ74" s="11">
        <f>'Wariant 1'!AQ$94</f>
        <v>0</v>
      </c>
      <c r="AR74" s="11">
        <f>'Wariant 1'!AR$94</f>
        <v>0</v>
      </c>
      <c r="AS74" s="11">
        <f>'Wariant 1'!AS$94</f>
        <v>0</v>
      </c>
      <c r="AT74" s="11">
        <f>'Wariant 1'!AT$94</f>
        <v>0</v>
      </c>
      <c r="AU74" s="11">
        <f>'Wariant 1'!AU$94</f>
        <v>0</v>
      </c>
      <c r="AV74" s="11">
        <f>'Wariant 1'!AV$94</f>
        <v>0</v>
      </c>
      <c r="AW74" s="11">
        <f>'Wariant 1'!AW$94</f>
        <v>0</v>
      </c>
      <c r="AX74" s="11">
        <f>'Wariant 1'!AX$94</f>
        <v>0</v>
      </c>
      <c r="AY74" s="11">
        <f>'Wariant 1'!AY$94</f>
        <v>0</v>
      </c>
      <c r="AZ74" s="11">
        <f>'Wariant 1'!AZ$94</f>
        <v>0</v>
      </c>
      <c r="BA74" s="11">
        <f>'Wariant 1'!BA$94</f>
        <v>0</v>
      </c>
    </row>
    <row r="75" spans="1:53" ht="15.75" customHeight="1" x14ac:dyDescent="0.35">
      <c r="A75" s="5"/>
      <c r="B75" s="5"/>
      <c r="C75" s="5"/>
      <c r="D75" s="5" t="s">
        <v>33</v>
      </c>
      <c r="E75" s="5"/>
      <c r="F75" s="5"/>
      <c r="G75" s="5"/>
      <c r="H75" s="5"/>
      <c r="I75" s="5"/>
      <c r="J75" s="5"/>
      <c r="K75" s="65"/>
      <c r="N75" s="11">
        <f t="shared" si="2"/>
        <v>0</v>
      </c>
      <c r="Q75" s="11">
        <f>'Wariant 1'!Q$102</f>
        <v>0</v>
      </c>
      <c r="R75" s="11">
        <f>'Wariant 1'!R$102</f>
        <v>0</v>
      </c>
      <c r="S75" s="11">
        <f>'Wariant 1'!S$102</f>
        <v>0</v>
      </c>
      <c r="T75" s="11">
        <f>'Wariant 1'!T$102</f>
        <v>0</v>
      </c>
      <c r="U75" s="11">
        <f>'Wariant 1'!U$102</f>
        <v>0</v>
      </c>
      <c r="V75" s="11">
        <f>'Wariant 1'!V$102</f>
        <v>0</v>
      </c>
      <c r="W75" s="11">
        <f>'Wariant 1'!W$102</f>
        <v>0</v>
      </c>
      <c r="X75" s="11">
        <f>'Wariant 1'!X$102</f>
        <v>0</v>
      </c>
      <c r="Y75" s="11">
        <f>'Wariant 1'!Y$102</f>
        <v>0</v>
      </c>
      <c r="Z75" s="11">
        <f>'Wariant 1'!Z$102</f>
        <v>0</v>
      </c>
      <c r="AA75" s="11">
        <f>'Wariant 1'!AA$102</f>
        <v>0</v>
      </c>
      <c r="AB75" s="11">
        <f>'Wariant 1'!AB$102</f>
        <v>0</v>
      </c>
      <c r="AC75" s="11">
        <f>'Wariant 1'!AC$102</f>
        <v>0</v>
      </c>
      <c r="AD75" s="11">
        <f>'Wariant 1'!AD$102</f>
        <v>0</v>
      </c>
      <c r="AE75" s="11">
        <f>'Wariant 1'!AE$102</f>
        <v>0</v>
      </c>
      <c r="AF75" s="11">
        <f>'Wariant 1'!AF$102</f>
        <v>0</v>
      </c>
      <c r="AG75" s="11">
        <f>'Wariant 1'!AG$102</f>
        <v>0</v>
      </c>
      <c r="AH75" s="11">
        <f>'Wariant 1'!AH$102</f>
        <v>0</v>
      </c>
      <c r="AI75" s="11">
        <f>'Wariant 1'!AI$102</f>
        <v>0</v>
      </c>
      <c r="AJ75" s="11">
        <f>'Wariant 1'!AJ$102</f>
        <v>0</v>
      </c>
      <c r="AK75" s="11">
        <f>'Wariant 1'!AK$102</f>
        <v>0</v>
      </c>
      <c r="AL75" s="11">
        <f>'Wariant 1'!AL$102</f>
        <v>0</v>
      </c>
      <c r="AM75" s="11">
        <f>'Wariant 1'!AM$102</f>
        <v>0</v>
      </c>
      <c r="AN75" s="11">
        <f>'Wariant 1'!AN$102</f>
        <v>0</v>
      </c>
      <c r="AO75" s="11">
        <f>'Wariant 1'!AO$102</f>
        <v>0</v>
      </c>
      <c r="AP75" s="11">
        <f>'Wariant 1'!AP$102</f>
        <v>0</v>
      </c>
      <c r="AQ75" s="11">
        <f>'Wariant 1'!AQ$102</f>
        <v>0</v>
      </c>
      <c r="AR75" s="11">
        <f>'Wariant 1'!AR$102</f>
        <v>0</v>
      </c>
      <c r="AS75" s="11">
        <f>'Wariant 1'!AS$102</f>
        <v>0</v>
      </c>
      <c r="AT75" s="11">
        <f>'Wariant 1'!AT$102</f>
        <v>0</v>
      </c>
      <c r="AU75" s="11">
        <f>'Wariant 1'!AU$102</f>
        <v>0</v>
      </c>
      <c r="AV75" s="11">
        <f>'Wariant 1'!AV$102</f>
        <v>0</v>
      </c>
      <c r="AW75" s="11">
        <f>'Wariant 1'!AW$102</f>
        <v>0</v>
      </c>
      <c r="AX75" s="11">
        <f>'Wariant 1'!AX$102</f>
        <v>0</v>
      </c>
      <c r="AY75" s="11">
        <f>'Wariant 1'!AY$102</f>
        <v>0</v>
      </c>
      <c r="AZ75" s="11">
        <f>'Wariant 1'!AZ$102</f>
        <v>0</v>
      </c>
      <c r="BA75" s="11">
        <f>'Wariant 1'!BA$102</f>
        <v>0</v>
      </c>
    </row>
    <row r="76" spans="1:53" ht="15.75" customHeight="1" x14ac:dyDescent="0.35">
      <c r="A76" s="5"/>
      <c r="B76" s="5"/>
      <c r="C76" s="5" t="s">
        <v>159</v>
      </c>
      <c r="E76" s="5"/>
      <c r="F76" s="5"/>
      <c r="G76" s="5"/>
      <c r="H76" s="5"/>
      <c r="I76" s="5"/>
      <c r="J76" s="5"/>
      <c r="K76" s="65"/>
      <c r="N76" s="1">
        <f t="shared" si="2"/>
        <v>0</v>
      </c>
      <c r="Q76" s="1">
        <f t="shared" ref="Q76:R76" si="7">SUM(Q77:Q78)</f>
        <v>0</v>
      </c>
      <c r="R76" s="1">
        <f t="shared" si="7"/>
        <v>0</v>
      </c>
      <c r="S76" s="1">
        <f t="shared" ref="S76:BA76" si="8">SUM(S77:S78)</f>
        <v>0</v>
      </c>
      <c r="T76" s="1">
        <f t="shared" si="8"/>
        <v>0</v>
      </c>
      <c r="U76" s="1">
        <f t="shared" si="8"/>
        <v>0</v>
      </c>
      <c r="V76" s="1">
        <f t="shared" si="8"/>
        <v>0</v>
      </c>
      <c r="W76" s="1">
        <f t="shared" si="8"/>
        <v>0</v>
      </c>
      <c r="X76" s="1">
        <f t="shared" si="8"/>
        <v>0</v>
      </c>
      <c r="Y76" s="1">
        <f t="shared" si="8"/>
        <v>0</v>
      </c>
      <c r="Z76" s="1">
        <f t="shared" si="8"/>
        <v>0</v>
      </c>
      <c r="AA76" s="1">
        <f t="shared" si="8"/>
        <v>0</v>
      </c>
      <c r="AB76" s="1">
        <f t="shared" si="8"/>
        <v>0</v>
      </c>
      <c r="AC76" s="1">
        <f t="shared" si="8"/>
        <v>0</v>
      </c>
      <c r="AD76" s="1">
        <f t="shared" si="8"/>
        <v>0</v>
      </c>
      <c r="AE76" s="1">
        <f t="shared" si="8"/>
        <v>0</v>
      </c>
      <c r="AF76" s="1">
        <f t="shared" si="8"/>
        <v>0</v>
      </c>
      <c r="AG76" s="1">
        <f t="shared" si="8"/>
        <v>0</v>
      </c>
      <c r="AH76" s="1">
        <f t="shared" si="8"/>
        <v>0</v>
      </c>
      <c r="AI76" s="1">
        <f t="shared" si="8"/>
        <v>0</v>
      </c>
      <c r="AJ76" s="1">
        <f t="shared" si="8"/>
        <v>0</v>
      </c>
      <c r="AK76" s="1">
        <f t="shared" si="8"/>
        <v>0</v>
      </c>
      <c r="AL76" s="1">
        <f t="shared" si="8"/>
        <v>0</v>
      </c>
      <c r="AM76" s="1">
        <f t="shared" si="8"/>
        <v>0</v>
      </c>
      <c r="AN76" s="1">
        <f t="shared" si="8"/>
        <v>0</v>
      </c>
      <c r="AO76" s="1">
        <f t="shared" si="8"/>
        <v>0</v>
      </c>
      <c r="AP76" s="1">
        <f t="shared" si="8"/>
        <v>0</v>
      </c>
      <c r="AQ76" s="1">
        <f t="shared" si="8"/>
        <v>0</v>
      </c>
      <c r="AR76" s="1">
        <f t="shared" si="8"/>
        <v>0</v>
      </c>
      <c r="AS76" s="1">
        <f t="shared" si="8"/>
        <v>0</v>
      </c>
      <c r="AT76" s="1">
        <f t="shared" si="8"/>
        <v>0</v>
      </c>
      <c r="AU76" s="1">
        <f t="shared" si="8"/>
        <v>0</v>
      </c>
      <c r="AV76" s="1">
        <f t="shared" si="8"/>
        <v>0</v>
      </c>
      <c r="AW76" s="1">
        <f t="shared" si="8"/>
        <v>0</v>
      </c>
      <c r="AX76" s="1">
        <f t="shared" si="8"/>
        <v>0</v>
      </c>
      <c r="AY76" s="1">
        <f t="shared" si="8"/>
        <v>0</v>
      </c>
      <c r="AZ76" s="1">
        <f t="shared" si="8"/>
        <v>0</v>
      </c>
      <c r="BA76" s="74">
        <f t="shared" si="8"/>
        <v>0</v>
      </c>
    </row>
    <row r="77" spans="1:53" ht="15.75" customHeight="1" x14ac:dyDescent="0.35">
      <c r="A77" s="5"/>
      <c r="B77" s="5"/>
      <c r="C77" s="5"/>
      <c r="D77" s="5" t="s">
        <v>142</v>
      </c>
      <c r="E77" s="5"/>
      <c r="F77" s="5"/>
      <c r="G77" s="5"/>
      <c r="H77" s="5"/>
      <c r="I77" s="5"/>
      <c r="J77" s="5"/>
      <c r="K77" s="65"/>
      <c r="N77" s="11">
        <f t="shared" si="2"/>
        <v>0</v>
      </c>
      <c r="Q77" s="11">
        <f>'Wariant 1'!Q$97</f>
        <v>0</v>
      </c>
      <c r="R77" s="11">
        <f>'Wariant 1'!R$97</f>
        <v>0</v>
      </c>
      <c r="S77" s="11">
        <f>'Wariant 1'!S$97</f>
        <v>0</v>
      </c>
      <c r="T77" s="11">
        <f>'Wariant 1'!T$97</f>
        <v>0</v>
      </c>
      <c r="U77" s="11">
        <f>'Wariant 1'!U$97</f>
        <v>0</v>
      </c>
      <c r="V77" s="11">
        <f>'Wariant 1'!V$97</f>
        <v>0</v>
      </c>
      <c r="W77" s="11">
        <f>'Wariant 1'!W$97</f>
        <v>0</v>
      </c>
      <c r="X77" s="11">
        <f>'Wariant 1'!X$97</f>
        <v>0</v>
      </c>
      <c r="Y77" s="11">
        <f>'Wariant 1'!Y$97</f>
        <v>0</v>
      </c>
      <c r="Z77" s="11">
        <f>'Wariant 1'!Z$97</f>
        <v>0</v>
      </c>
      <c r="AA77" s="11">
        <f>'Wariant 1'!AA$97</f>
        <v>0</v>
      </c>
      <c r="AB77" s="11">
        <f>'Wariant 1'!AB$97</f>
        <v>0</v>
      </c>
      <c r="AC77" s="11">
        <f>'Wariant 1'!AC$97</f>
        <v>0</v>
      </c>
      <c r="AD77" s="11">
        <f>'Wariant 1'!AD$97</f>
        <v>0</v>
      </c>
      <c r="AE77" s="11">
        <f>'Wariant 1'!AE$97</f>
        <v>0</v>
      </c>
      <c r="AF77" s="11">
        <f>'Wariant 1'!AF$97</f>
        <v>0</v>
      </c>
      <c r="AG77" s="11">
        <f>'Wariant 1'!AG$97</f>
        <v>0</v>
      </c>
      <c r="AH77" s="11">
        <f>'Wariant 1'!AH$97</f>
        <v>0</v>
      </c>
      <c r="AI77" s="11">
        <f>'Wariant 1'!AI$97</f>
        <v>0</v>
      </c>
      <c r="AJ77" s="11">
        <f>'Wariant 1'!AJ$97</f>
        <v>0</v>
      </c>
      <c r="AK77" s="11">
        <f>'Wariant 1'!AK$97</f>
        <v>0</v>
      </c>
      <c r="AL77" s="11">
        <f>'Wariant 1'!AL$97</f>
        <v>0</v>
      </c>
      <c r="AM77" s="11">
        <f>'Wariant 1'!AM$97</f>
        <v>0</v>
      </c>
      <c r="AN77" s="11">
        <f>'Wariant 1'!AN$97</f>
        <v>0</v>
      </c>
      <c r="AO77" s="11">
        <f>'Wariant 1'!AO$97</f>
        <v>0</v>
      </c>
      <c r="AP77" s="11">
        <f>'Wariant 1'!AP$97</f>
        <v>0</v>
      </c>
      <c r="AQ77" s="11">
        <f>'Wariant 1'!AQ$97</f>
        <v>0</v>
      </c>
      <c r="AR77" s="11">
        <f>'Wariant 1'!AR$97</f>
        <v>0</v>
      </c>
      <c r="AS77" s="11">
        <f>'Wariant 1'!AS$97</f>
        <v>0</v>
      </c>
      <c r="AT77" s="11">
        <f>'Wariant 1'!AT$97</f>
        <v>0</v>
      </c>
      <c r="AU77" s="11">
        <f>'Wariant 1'!AU$97</f>
        <v>0</v>
      </c>
      <c r="AV77" s="11">
        <f>'Wariant 1'!AV$97</f>
        <v>0</v>
      </c>
      <c r="AW77" s="11">
        <f>'Wariant 1'!AW$97</f>
        <v>0</v>
      </c>
      <c r="AX77" s="11">
        <f>'Wariant 1'!AX$97</f>
        <v>0</v>
      </c>
      <c r="AY77" s="11">
        <f>'Wariant 1'!AY$97</f>
        <v>0</v>
      </c>
      <c r="AZ77" s="11">
        <f>'Wariant 1'!AZ$97</f>
        <v>0</v>
      </c>
      <c r="BA77" s="11">
        <f>'Wariant 1'!BA$97</f>
        <v>0</v>
      </c>
    </row>
    <row r="78" spans="1:53" ht="15.75" customHeight="1" x14ac:dyDescent="0.35">
      <c r="A78" s="5"/>
      <c r="B78" s="5"/>
      <c r="C78" s="5"/>
      <c r="D78" s="5" t="s">
        <v>33</v>
      </c>
      <c r="E78" s="5"/>
      <c r="F78" s="5"/>
      <c r="G78" s="5"/>
      <c r="H78" s="5"/>
      <c r="I78" s="5"/>
      <c r="J78" s="5"/>
      <c r="K78" s="65"/>
      <c r="N78" s="11">
        <f t="shared" si="2"/>
        <v>0</v>
      </c>
      <c r="Q78" s="11">
        <f>'Wariant 1'!Q$107</f>
        <v>0</v>
      </c>
      <c r="R78" s="11">
        <f>'Wariant 1'!R$107</f>
        <v>0</v>
      </c>
      <c r="S78" s="11">
        <f>'Wariant 1'!S$107</f>
        <v>0</v>
      </c>
      <c r="T78" s="11">
        <f>'Wariant 1'!T$107</f>
        <v>0</v>
      </c>
      <c r="U78" s="11">
        <f>'Wariant 1'!U$107</f>
        <v>0</v>
      </c>
      <c r="V78" s="11">
        <f>'Wariant 1'!V$107</f>
        <v>0</v>
      </c>
      <c r="W78" s="11">
        <f>'Wariant 1'!W$107</f>
        <v>0</v>
      </c>
      <c r="X78" s="11">
        <f>'Wariant 1'!X$107</f>
        <v>0</v>
      </c>
      <c r="Y78" s="11">
        <f>'Wariant 1'!Y$107</f>
        <v>0</v>
      </c>
      <c r="Z78" s="11">
        <f>'Wariant 1'!Z$107</f>
        <v>0</v>
      </c>
      <c r="AA78" s="11">
        <f>'Wariant 1'!AA$107</f>
        <v>0</v>
      </c>
      <c r="AB78" s="11">
        <f>'Wariant 1'!AB$107</f>
        <v>0</v>
      </c>
      <c r="AC78" s="11">
        <f>'Wariant 1'!AC$107</f>
        <v>0</v>
      </c>
      <c r="AD78" s="11">
        <f>'Wariant 1'!AD$107</f>
        <v>0</v>
      </c>
      <c r="AE78" s="11">
        <f>'Wariant 1'!AE$107</f>
        <v>0</v>
      </c>
      <c r="AF78" s="11">
        <f>'Wariant 1'!AF$107</f>
        <v>0</v>
      </c>
      <c r="AG78" s="11">
        <f>'Wariant 1'!AG$107</f>
        <v>0</v>
      </c>
      <c r="AH78" s="11">
        <f>'Wariant 1'!AH$107</f>
        <v>0</v>
      </c>
      <c r="AI78" s="11">
        <f>'Wariant 1'!AI$107</f>
        <v>0</v>
      </c>
      <c r="AJ78" s="11">
        <f>'Wariant 1'!AJ$107</f>
        <v>0</v>
      </c>
      <c r="AK78" s="11">
        <f>'Wariant 1'!AK$107</f>
        <v>0</v>
      </c>
      <c r="AL78" s="11">
        <f>'Wariant 1'!AL$107</f>
        <v>0</v>
      </c>
      <c r="AM78" s="11">
        <f>'Wariant 1'!AM$107</f>
        <v>0</v>
      </c>
      <c r="AN78" s="11">
        <f>'Wariant 1'!AN$107</f>
        <v>0</v>
      </c>
      <c r="AO78" s="11">
        <f>'Wariant 1'!AO$107</f>
        <v>0</v>
      </c>
      <c r="AP78" s="11">
        <f>'Wariant 1'!AP$107</f>
        <v>0</v>
      </c>
      <c r="AQ78" s="11">
        <f>'Wariant 1'!AQ$107</f>
        <v>0</v>
      </c>
      <c r="AR78" s="11">
        <f>'Wariant 1'!AR$107</f>
        <v>0</v>
      </c>
      <c r="AS78" s="11">
        <f>'Wariant 1'!AS$107</f>
        <v>0</v>
      </c>
      <c r="AT78" s="11">
        <f>'Wariant 1'!AT$107</f>
        <v>0</v>
      </c>
      <c r="AU78" s="11">
        <f>'Wariant 1'!AU$107</f>
        <v>0</v>
      </c>
      <c r="AV78" s="11">
        <f>'Wariant 1'!AV$107</f>
        <v>0</v>
      </c>
      <c r="AW78" s="11">
        <f>'Wariant 1'!AW$107</f>
        <v>0</v>
      </c>
      <c r="AX78" s="11">
        <f>'Wariant 1'!AX$107</f>
        <v>0</v>
      </c>
      <c r="AY78" s="11">
        <f>'Wariant 1'!AY$107</f>
        <v>0</v>
      </c>
      <c r="AZ78" s="11">
        <f>'Wariant 1'!AZ$107</f>
        <v>0</v>
      </c>
      <c r="BA78" s="11">
        <f>'Wariant 1'!BA$107</f>
        <v>0</v>
      </c>
    </row>
    <row r="79" spans="1:53" x14ac:dyDescent="0.35"/>
    <row r="80" spans="1:53" ht="15.75" customHeight="1" x14ac:dyDescent="0.35">
      <c r="A80" s="15"/>
      <c r="B80" s="16" t="s">
        <v>76</v>
      </c>
      <c r="C80" s="16"/>
      <c r="D80" s="16"/>
      <c r="E80" s="16"/>
      <c r="F80" s="16"/>
      <c r="G80" s="16"/>
      <c r="H80" s="16"/>
      <c r="I80" s="16"/>
      <c r="J80" s="16"/>
      <c r="K80" s="16"/>
      <c r="L80" s="3"/>
      <c r="M80" s="3"/>
      <c r="N80" s="4">
        <f t="shared" ref="N80:N86" si="9">SUM(Q80:BA80)</f>
        <v>0</v>
      </c>
      <c r="O80" s="3"/>
      <c r="P80" s="3"/>
      <c r="Q80" s="4">
        <f t="shared" ref="Q80:BA80" si="10">SUM(Q81,Q84)</f>
        <v>0</v>
      </c>
      <c r="R80" s="4">
        <f t="shared" si="10"/>
        <v>0</v>
      </c>
      <c r="S80" s="4">
        <f t="shared" si="10"/>
        <v>0</v>
      </c>
      <c r="T80" s="4">
        <f t="shared" si="10"/>
        <v>0</v>
      </c>
      <c r="U80" s="4">
        <f t="shared" si="10"/>
        <v>0</v>
      </c>
      <c r="V80" s="4">
        <f t="shared" si="10"/>
        <v>0</v>
      </c>
      <c r="W80" s="4">
        <f t="shared" si="10"/>
        <v>0</v>
      </c>
      <c r="X80" s="4">
        <f t="shared" si="10"/>
        <v>0</v>
      </c>
      <c r="Y80" s="4">
        <f t="shared" si="10"/>
        <v>0</v>
      </c>
      <c r="Z80" s="4">
        <f t="shared" si="10"/>
        <v>0</v>
      </c>
      <c r="AA80" s="4">
        <f t="shared" si="10"/>
        <v>0</v>
      </c>
      <c r="AB80" s="4">
        <f t="shared" si="10"/>
        <v>0</v>
      </c>
      <c r="AC80" s="4">
        <f t="shared" si="10"/>
        <v>0</v>
      </c>
      <c r="AD80" s="4">
        <f t="shared" si="10"/>
        <v>0</v>
      </c>
      <c r="AE80" s="4">
        <f t="shared" si="10"/>
        <v>0</v>
      </c>
      <c r="AF80" s="4">
        <f t="shared" si="10"/>
        <v>0</v>
      </c>
      <c r="AG80" s="4">
        <f t="shared" si="10"/>
        <v>0</v>
      </c>
      <c r="AH80" s="4">
        <f t="shared" si="10"/>
        <v>0</v>
      </c>
      <c r="AI80" s="4">
        <f t="shared" si="10"/>
        <v>0</v>
      </c>
      <c r="AJ80" s="4">
        <f t="shared" si="10"/>
        <v>0</v>
      </c>
      <c r="AK80" s="4">
        <f t="shared" si="10"/>
        <v>0</v>
      </c>
      <c r="AL80" s="4">
        <f t="shared" si="10"/>
        <v>0</v>
      </c>
      <c r="AM80" s="4">
        <f t="shared" si="10"/>
        <v>0</v>
      </c>
      <c r="AN80" s="4">
        <f t="shared" si="10"/>
        <v>0</v>
      </c>
      <c r="AO80" s="4">
        <f t="shared" si="10"/>
        <v>0</v>
      </c>
      <c r="AP80" s="4">
        <f t="shared" si="10"/>
        <v>0</v>
      </c>
      <c r="AQ80" s="4">
        <f t="shared" si="10"/>
        <v>0</v>
      </c>
      <c r="AR80" s="4">
        <f t="shared" si="10"/>
        <v>0</v>
      </c>
      <c r="AS80" s="4">
        <f t="shared" si="10"/>
        <v>0</v>
      </c>
      <c r="AT80" s="4">
        <f t="shared" si="10"/>
        <v>0</v>
      </c>
      <c r="AU80" s="4">
        <f t="shared" si="10"/>
        <v>0</v>
      </c>
      <c r="AV80" s="4">
        <f t="shared" si="10"/>
        <v>0</v>
      </c>
      <c r="AW80" s="4">
        <f t="shared" si="10"/>
        <v>0</v>
      </c>
      <c r="AX80" s="4">
        <f t="shared" si="10"/>
        <v>0</v>
      </c>
      <c r="AY80" s="4">
        <f t="shared" si="10"/>
        <v>0</v>
      </c>
      <c r="AZ80" s="4">
        <f t="shared" si="10"/>
        <v>0</v>
      </c>
      <c r="BA80" s="73">
        <f t="shared" si="10"/>
        <v>0</v>
      </c>
    </row>
    <row r="81" spans="1:53" ht="15.75" customHeight="1" x14ac:dyDescent="0.35">
      <c r="A81" s="5"/>
      <c r="B81" s="5"/>
      <c r="C81" s="5" t="s">
        <v>160</v>
      </c>
      <c r="D81" s="5"/>
      <c r="E81" s="5"/>
      <c r="F81" s="5"/>
      <c r="G81" s="5"/>
      <c r="H81" s="5"/>
      <c r="I81" s="5"/>
      <c r="J81" s="5"/>
      <c r="K81" s="5"/>
      <c r="N81" s="1">
        <f t="shared" si="9"/>
        <v>0</v>
      </c>
      <c r="Q81" s="11">
        <f t="shared" ref="Q81:BA81" si="11">SUM(Q82:Q83)</f>
        <v>0</v>
      </c>
      <c r="R81" s="11">
        <f t="shared" si="11"/>
        <v>0</v>
      </c>
      <c r="S81" s="11">
        <f t="shared" si="11"/>
        <v>0</v>
      </c>
      <c r="T81" s="11">
        <f t="shared" si="11"/>
        <v>0</v>
      </c>
      <c r="U81" s="11">
        <f t="shared" si="11"/>
        <v>0</v>
      </c>
      <c r="V81" s="11">
        <f t="shared" si="11"/>
        <v>0</v>
      </c>
      <c r="W81" s="11">
        <f t="shared" si="11"/>
        <v>0</v>
      </c>
      <c r="X81" s="11">
        <f t="shared" si="11"/>
        <v>0</v>
      </c>
      <c r="Y81" s="11">
        <f t="shared" si="11"/>
        <v>0</v>
      </c>
      <c r="Z81" s="11">
        <f t="shared" si="11"/>
        <v>0</v>
      </c>
      <c r="AA81" s="11">
        <f t="shared" si="11"/>
        <v>0</v>
      </c>
      <c r="AB81" s="11">
        <f t="shared" si="11"/>
        <v>0</v>
      </c>
      <c r="AC81" s="11">
        <f t="shared" si="11"/>
        <v>0</v>
      </c>
      <c r="AD81" s="11">
        <f t="shared" si="11"/>
        <v>0</v>
      </c>
      <c r="AE81" s="11">
        <f t="shared" si="11"/>
        <v>0</v>
      </c>
      <c r="AF81" s="11">
        <f t="shared" si="11"/>
        <v>0</v>
      </c>
      <c r="AG81" s="11">
        <f t="shared" si="11"/>
        <v>0</v>
      </c>
      <c r="AH81" s="11">
        <f t="shared" si="11"/>
        <v>0</v>
      </c>
      <c r="AI81" s="11">
        <f t="shared" si="11"/>
        <v>0</v>
      </c>
      <c r="AJ81" s="11">
        <f t="shared" si="11"/>
        <v>0</v>
      </c>
      <c r="AK81" s="11">
        <f t="shared" si="11"/>
        <v>0</v>
      </c>
      <c r="AL81" s="11">
        <f t="shared" si="11"/>
        <v>0</v>
      </c>
      <c r="AM81" s="11">
        <f t="shared" si="11"/>
        <v>0</v>
      </c>
      <c r="AN81" s="11">
        <f t="shared" si="11"/>
        <v>0</v>
      </c>
      <c r="AO81" s="11">
        <f t="shared" si="11"/>
        <v>0</v>
      </c>
      <c r="AP81" s="11">
        <f t="shared" si="11"/>
        <v>0</v>
      </c>
      <c r="AQ81" s="11">
        <f t="shared" si="11"/>
        <v>0</v>
      </c>
      <c r="AR81" s="11">
        <f t="shared" si="11"/>
        <v>0</v>
      </c>
      <c r="AS81" s="11">
        <f t="shared" si="11"/>
        <v>0</v>
      </c>
      <c r="AT81" s="11">
        <f t="shared" si="11"/>
        <v>0</v>
      </c>
      <c r="AU81" s="11">
        <f t="shared" si="11"/>
        <v>0</v>
      </c>
      <c r="AV81" s="11">
        <f t="shared" si="11"/>
        <v>0</v>
      </c>
      <c r="AW81" s="11">
        <f t="shared" si="11"/>
        <v>0</v>
      </c>
      <c r="AX81" s="11">
        <f t="shared" si="11"/>
        <v>0</v>
      </c>
      <c r="AY81" s="11">
        <f t="shared" si="11"/>
        <v>0</v>
      </c>
      <c r="AZ81" s="11">
        <f t="shared" si="11"/>
        <v>0</v>
      </c>
      <c r="BA81" s="75">
        <f t="shared" si="11"/>
        <v>0</v>
      </c>
    </row>
    <row r="82" spans="1:53" ht="15.75" customHeight="1" x14ac:dyDescent="0.35">
      <c r="A82" s="5"/>
      <c r="B82" s="5"/>
      <c r="C82" s="5"/>
      <c r="D82" s="5" t="s">
        <v>6</v>
      </c>
      <c r="E82" s="5"/>
      <c r="F82" s="5"/>
      <c r="G82" s="5"/>
      <c r="H82" s="5"/>
      <c r="I82" s="5"/>
      <c r="J82" s="5"/>
      <c r="K82" s="5"/>
      <c r="N82" s="1">
        <f t="shared" si="9"/>
        <v>0</v>
      </c>
      <c r="Q82" s="11">
        <f>'Wariant 1'!Q$96</f>
        <v>0</v>
      </c>
      <c r="R82" s="11">
        <f>'Wariant 1'!R$96</f>
        <v>0</v>
      </c>
      <c r="S82" s="11">
        <f>'Wariant 1'!S$96</f>
        <v>0</v>
      </c>
      <c r="T82" s="11">
        <f>'Wariant 1'!T$96</f>
        <v>0</v>
      </c>
      <c r="U82" s="11">
        <f>'Wariant 1'!U$96</f>
        <v>0</v>
      </c>
      <c r="V82" s="11">
        <f>'Wariant 1'!V$96</f>
        <v>0</v>
      </c>
      <c r="W82" s="11">
        <f>'Wariant 1'!W$96</f>
        <v>0</v>
      </c>
      <c r="X82" s="11">
        <f>'Wariant 1'!X$96</f>
        <v>0</v>
      </c>
      <c r="Y82" s="11">
        <f>'Wariant 1'!Y$96</f>
        <v>0</v>
      </c>
      <c r="Z82" s="11">
        <f>'Wariant 1'!Z$96</f>
        <v>0</v>
      </c>
      <c r="AA82" s="11">
        <f>'Wariant 1'!AA$96</f>
        <v>0</v>
      </c>
      <c r="AB82" s="11">
        <f>'Wariant 1'!AB$96</f>
        <v>0</v>
      </c>
      <c r="AC82" s="11">
        <f>'Wariant 1'!AC$96</f>
        <v>0</v>
      </c>
      <c r="AD82" s="11">
        <f>'Wariant 1'!AD$96</f>
        <v>0</v>
      </c>
      <c r="AE82" s="11">
        <f>'Wariant 1'!AE$96</f>
        <v>0</v>
      </c>
      <c r="AF82" s="11">
        <f>'Wariant 1'!AF$96</f>
        <v>0</v>
      </c>
      <c r="AG82" s="11">
        <f>'Wariant 1'!AG$96</f>
        <v>0</v>
      </c>
      <c r="AH82" s="11">
        <f>'Wariant 1'!AH$96</f>
        <v>0</v>
      </c>
      <c r="AI82" s="11">
        <f>'Wariant 1'!AI$96</f>
        <v>0</v>
      </c>
      <c r="AJ82" s="11">
        <f>'Wariant 1'!AJ$96</f>
        <v>0</v>
      </c>
      <c r="AK82" s="11">
        <f>'Wariant 1'!AK$96</f>
        <v>0</v>
      </c>
      <c r="AL82" s="11">
        <f>'Wariant 1'!AL$96</f>
        <v>0</v>
      </c>
      <c r="AM82" s="11">
        <f>'Wariant 1'!AM$96</f>
        <v>0</v>
      </c>
      <c r="AN82" s="11">
        <f>'Wariant 1'!AN$96</f>
        <v>0</v>
      </c>
      <c r="AO82" s="11">
        <f>'Wariant 1'!AO$96</f>
        <v>0</v>
      </c>
      <c r="AP82" s="11">
        <f>'Wariant 1'!AP$96</f>
        <v>0</v>
      </c>
      <c r="AQ82" s="11">
        <f>'Wariant 1'!AQ$96</f>
        <v>0</v>
      </c>
      <c r="AR82" s="11">
        <f>'Wariant 1'!AR$96</f>
        <v>0</v>
      </c>
      <c r="AS82" s="11">
        <f>'Wariant 1'!AS$96</f>
        <v>0</v>
      </c>
      <c r="AT82" s="11">
        <f>'Wariant 1'!AT$96</f>
        <v>0</v>
      </c>
      <c r="AU82" s="11">
        <f>'Wariant 1'!AU$96</f>
        <v>0</v>
      </c>
      <c r="AV82" s="11">
        <f>'Wariant 1'!AV$96</f>
        <v>0</v>
      </c>
      <c r="AW82" s="11">
        <f>'Wariant 1'!AW$96</f>
        <v>0</v>
      </c>
      <c r="AX82" s="11">
        <f>'Wariant 1'!AX$96</f>
        <v>0</v>
      </c>
      <c r="AY82" s="11">
        <f>'Wariant 1'!AY$96</f>
        <v>0</v>
      </c>
      <c r="AZ82" s="11">
        <f>'Wariant 1'!AZ$96</f>
        <v>0</v>
      </c>
      <c r="BA82" s="11">
        <f>'Wariant 1'!BA$96</f>
        <v>0</v>
      </c>
    </row>
    <row r="83" spans="1:53" ht="15.75" customHeight="1" x14ac:dyDescent="0.35">
      <c r="A83" s="5"/>
      <c r="B83" s="5"/>
      <c r="C83" s="5"/>
      <c r="D83" s="5" t="s">
        <v>33</v>
      </c>
      <c r="E83" s="5"/>
      <c r="F83" s="5"/>
      <c r="G83" s="5"/>
      <c r="H83" s="5"/>
      <c r="I83" s="5"/>
      <c r="J83" s="5"/>
      <c r="K83" s="5"/>
      <c r="N83" s="1">
        <f t="shared" si="9"/>
        <v>0</v>
      </c>
      <c r="Q83" s="11">
        <f>'Wariant 1'!Q$106</f>
        <v>0</v>
      </c>
      <c r="R83" s="11">
        <f>'Wariant 1'!R$106</f>
        <v>0</v>
      </c>
      <c r="S83" s="11">
        <f>'Wariant 1'!S$106</f>
        <v>0</v>
      </c>
      <c r="T83" s="11">
        <f>'Wariant 1'!T$106</f>
        <v>0</v>
      </c>
      <c r="U83" s="11">
        <f>'Wariant 1'!U$106</f>
        <v>0</v>
      </c>
      <c r="V83" s="11">
        <f>'Wariant 1'!V$106</f>
        <v>0</v>
      </c>
      <c r="W83" s="11">
        <f>'Wariant 1'!W$106</f>
        <v>0</v>
      </c>
      <c r="X83" s="11">
        <f>'Wariant 1'!X$106</f>
        <v>0</v>
      </c>
      <c r="Y83" s="11">
        <f>'Wariant 1'!Y$106</f>
        <v>0</v>
      </c>
      <c r="Z83" s="11">
        <f>'Wariant 1'!Z$106</f>
        <v>0</v>
      </c>
      <c r="AA83" s="11">
        <f>'Wariant 1'!AA$106</f>
        <v>0</v>
      </c>
      <c r="AB83" s="11">
        <f>'Wariant 1'!AB$106</f>
        <v>0</v>
      </c>
      <c r="AC83" s="11">
        <f>'Wariant 1'!AC$106</f>
        <v>0</v>
      </c>
      <c r="AD83" s="11">
        <f>'Wariant 1'!AD$106</f>
        <v>0</v>
      </c>
      <c r="AE83" s="11">
        <f>'Wariant 1'!AE$106</f>
        <v>0</v>
      </c>
      <c r="AF83" s="11">
        <f>'Wariant 1'!AF$106</f>
        <v>0</v>
      </c>
      <c r="AG83" s="11">
        <f>'Wariant 1'!AG$106</f>
        <v>0</v>
      </c>
      <c r="AH83" s="11">
        <f>'Wariant 1'!AH$106</f>
        <v>0</v>
      </c>
      <c r="AI83" s="11">
        <f>'Wariant 1'!AI$106</f>
        <v>0</v>
      </c>
      <c r="AJ83" s="11">
        <f>'Wariant 1'!AJ$106</f>
        <v>0</v>
      </c>
      <c r="AK83" s="11">
        <f>'Wariant 1'!AK$106</f>
        <v>0</v>
      </c>
      <c r="AL83" s="11">
        <f>'Wariant 1'!AL$106</f>
        <v>0</v>
      </c>
      <c r="AM83" s="11">
        <f>'Wariant 1'!AM$106</f>
        <v>0</v>
      </c>
      <c r="AN83" s="11">
        <f>'Wariant 1'!AN$106</f>
        <v>0</v>
      </c>
      <c r="AO83" s="11">
        <f>'Wariant 1'!AO$106</f>
        <v>0</v>
      </c>
      <c r="AP83" s="11">
        <f>'Wariant 1'!AP$106</f>
        <v>0</v>
      </c>
      <c r="AQ83" s="11">
        <f>'Wariant 1'!AQ$106</f>
        <v>0</v>
      </c>
      <c r="AR83" s="11">
        <f>'Wariant 1'!AR$106</f>
        <v>0</v>
      </c>
      <c r="AS83" s="11">
        <f>'Wariant 1'!AS$106</f>
        <v>0</v>
      </c>
      <c r="AT83" s="11">
        <f>'Wariant 1'!AT$106</f>
        <v>0</v>
      </c>
      <c r="AU83" s="11">
        <f>'Wariant 1'!AU$106</f>
        <v>0</v>
      </c>
      <c r="AV83" s="11">
        <f>'Wariant 1'!AV$106</f>
        <v>0</v>
      </c>
      <c r="AW83" s="11">
        <f>'Wariant 1'!AW$106</f>
        <v>0</v>
      </c>
      <c r="AX83" s="11">
        <f>'Wariant 1'!AX$106</f>
        <v>0</v>
      </c>
      <c r="AY83" s="11">
        <f>'Wariant 1'!AY$106</f>
        <v>0</v>
      </c>
      <c r="AZ83" s="11">
        <f>'Wariant 1'!AZ$106</f>
        <v>0</v>
      </c>
      <c r="BA83" s="11">
        <f>'Wariant 1'!BA$106</f>
        <v>0</v>
      </c>
    </row>
    <row r="84" spans="1:53" ht="15.75" customHeight="1" x14ac:dyDescent="0.35">
      <c r="A84" s="5"/>
      <c r="B84" s="5"/>
      <c r="C84" s="5" t="s">
        <v>151</v>
      </c>
      <c r="D84" s="5"/>
      <c r="E84" s="5"/>
      <c r="F84" s="5"/>
      <c r="G84" s="5"/>
      <c r="H84" s="5"/>
      <c r="I84" s="5"/>
      <c r="J84" s="5"/>
      <c r="K84" s="5"/>
      <c r="N84" s="1">
        <f t="shared" si="9"/>
        <v>0</v>
      </c>
      <c r="Q84" s="11">
        <f t="shared" ref="Q84" si="12">SUM(Q85:Q86)</f>
        <v>0</v>
      </c>
      <c r="R84" s="11">
        <f t="shared" ref="R84" si="13">SUM(R85:R86)</f>
        <v>0</v>
      </c>
      <c r="S84" s="11">
        <f t="shared" ref="S84" si="14">SUM(S85:S86)</f>
        <v>0</v>
      </c>
      <c r="T84" s="11">
        <f t="shared" ref="T84" si="15">SUM(T85:T86)</f>
        <v>0</v>
      </c>
      <c r="U84" s="11">
        <f t="shared" ref="U84" si="16">SUM(U85:U86)</f>
        <v>0</v>
      </c>
      <c r="V84" s="11">
        <f t="shared" ref="V84" si="17">SUM(V85:V86)</f>
        <v>0</v>
      </c>
      <c r="W84" s="11">
        <f t="shared" ref="W84" si="18">SUM(W85:W86)</f>
        <v>0</v>
      </c>
      <c r="X84" s="11">
        <f t="shared" ref="X84" si="19">SUM(X85:X86)</f>
        <v>0</v>
      </c>
      <c r="Y84" s="11">
        <f t="shared" ref="Y84" si="20">SUM(Y85:Y86)</f>
        <v>0</v>
      </c>
      <c r="Z84" s="11">
        <f t="shared" ref="Z84" si="21">SUM(Z85:Z86)</f>
        <v>0</v>
      </c>
      <c r="AA84" s="11">
        <f t="shared" ref="AA84" si="22">SUM(AA85:AA86)</f>
        <v>0</v>
      </c>
      <c r="AB84" s="11">
        <f t="shared" ref="AB84" si="23">SUM(AB85:AB86)</f>
        <v>0</v>
      </c>
      <c r="AC84" s="11">
        <f t="shared" ref="AC84" si="24">SUM(AC85:AC86)</f>
        <v>0</v>
      </c>
      <c r="AD84" s="11">
        <f t="shared" ref="AD84" si="25">SUM(AD85:AD86)</f>
        <v>0</v>
      </c>
      <c r="AE84" s="11">
        <f t="shared" ref="AE84" si="26">SUM(AE85:AE86)</f>
        <v>0</v>
      </c>
      <c r="AF84" s="11">
        <f t="shared" ref="AF84" si="27">SUM(AF85:AF86)</f>
        <v>0</v>
      </c>
      <c r="AG84" s="11">
        <f t="shared" ref="AG84" si="28">SUM(AG85:AG86)</f>
        <v>0</v>
      </c>
      <c r="AH84" s="11">
        <f t="shared" ref="AH84" si="29">SUM(AH85:AH86)</f>
        <v>0</v>
      </c>
      <c r="AI84" s="11">
        <f t="shared" ref="AI84" si="30">SUM(AI85:AI86)</f>
        <v>0</v>
      </c>
      <c r="AJ84" s="11">
        <f t="shared" ref="AJ84" si="31">SUM(AJ85:AJ86)</f>
        <v>0</v>
      </c>
      <c r="AK84" s="11">
        <f t="shared" ref="AK84" si="32">SUM(AK85:AK86)</f>
        <v>0</v>
      </c>
      <c r="AL84" s="11">
        <f t="shared" ref="AL84" si="33">SUM(AL85:AL86)</f>
        <v>0</v>
      </c>
      <c r="AM84" s="11">
        <f t="shared" ref="AM84" si="34">SUM(AM85:AM86)</f>
        <v>0</v>
      </c>
      <c r="AN84" s="11">
        <f t="shared" ref="AN84" si="35">SUM(AN85:AN86)</f>
        <v>0</v>
      </c>
      <c r="AO84" s="11">
        <f t="shared" ref="AO84" si="36">SUM(AO85:AO86)</f>
        <v>0</v>
      </c>
      <c r="AP84" s="11">
        <f t="shared" ref="AP84" si="37">SUM(AP85:AP86)</f>
        <v>0</v>
      </c>
      <c r="AQ84" s="11">
        <f t="shared" ref="AQ84" si="38">SUM(AQ85:AQ86)</f>
        <v>0</v>
      </c>
      <c r="AR84" s="11">
        <f t="shared" ref="AR84" si="39">SUM(AR85:AR86)</f>
        <v>0</v>
      </c>
      <c r="AS84" s="11">
        <f t="shared" ref="AS84" si="40">SUM(AS85:AS86)</f>
        <v>0</v>
      </c>
      <c r="AT84" s="11">
        <f t="shared" ref="AT84" si="41">SUM(AT85:AT86)</f>
        <v>0</v>
      </c>
      <c r="AU84" s="11">
        <f t="shared" ref="AU84" si="42">SUM(AU85:AU86)</f>
        <v>0</v>
      </c>
      <c r="AV84" s="11">
        <f t="shared" ref="AV84" si="43">SUM(AV85:AV86)</f>
        <v>0</v>
      </c>
      <c r="AW84" s="11">
        <f t="shared" ref="AW84" si="44">SUM(AW85:AW86)</f>
        <v>0</v>
      </c>
      <c r="AX84" s="11">
        <f t="shared" ref="AX84" si="45">SUM(AX85:AX86)</f>
        <v>0</v>
      </c>
      <c r="AY84" s="11">
        <f t="shared" ref="AY84" si="46">SUM(AY85:AY86)</f>
        <v>0</v>
      </c>
      <c r="AZ84" s="11">
        <f t="shared" ref="AZ84" si="47">SUM(AZ85:AZ86)</f>
        <v>0</v>
      </c>
      <c r="BA84" s="75">
        <f t="shared" ref="BA84" si="48">SUM(BA85:BA86)</f>
        <v>0</v>
      </c>
    </row>
    <row r="85" spans="1:53" ht="15.75" customHeight="1" x14ac:dyDescent="0.35">
      <c r="A85" s="5"/>
      <c r="B85" s="5"/>
      <c r="C85" s="5"/>
      <c r="D85" s="5" t="s">
        <v>147</v>
      </c>
      <c r="E85" s="5"/>
      <c r="F85" s="5"/>
      <c r="G85" s="5"/>
      <c r="H85" s="5"/>
      <c r="I85" s="5"/>
      <c r="J85" s="5"/>
      <c r="K85" s="5"/>
      <c r="N85" s="1">
        <f t="shared" si="9"/>
        <v>0</v>
      </c>
      <c r="Q85" s="1">
        <f>'Wariant 1'!Q$99</f>
        <v>0</v>
      </c>
      <c r="R85" s="1">
        <f>'Wariant 1'!R$99</f>
        <v>0</v>
      </c>
      <c r="S85" s="1">
        <f>'Wariant 1'!S$99</f>
        <v>0</v>
      </c>
      <c r="T85" s="1">
        <f>'Wariant 1'!T$99</f>
        <v>0</v>
      </c>
      <c r="U85" s="1">
        <f>'Wariant 1'!U$99</f>
        <v>0</v>
      </c>
      <c r="V85" s="1">
        <f>'Wariant 1'!V$99</f>
        <v>0</v>
      </c>
      <c r="W85" s="1">
        <f>'Wariant 1'!W$99</f>
        <v>0</v>
      </c>
      <c r="X85" s="1">
        <f>'Wariant 1'!X$99</f>
        <v>0</v>
      </c>
      <c r="Y85" s="1">
        <f>'Wariant 1'!Y$99</f>
        <v>0</v>
      </c>
      <c r="Z85" s="1">
        <f>'Wariant 1'!Z$99</f>
        <v>0</v>
      </c>
      <c r="AA85" s="1">
        <f>'Wariant 1'!AA$99</f>
        <v>0</v>
      </c>
      <c r="AB85" s="1">
        <f>'Wariant 1'!AB$99</f>
        <v>0</v>
      </c>
      <c r="AC85" s="1">
        <f>'Wariant 1'!AC$99</f>
        <v>0</v>
      </c>
      <c r="AD85" s="1">
        <f>'Wariant 1'!AD$99</f>
        <v>0</v>
      </c>
      <c r="AE85" s="1">
        <f>'Wariant 1'!AE$99</f>
        <v>0</v>
      </c>
      <c r="AF85" s="1">
        <f>'Wariant 1'!AF$99</f>
        <v>0</v>
      </c>
      <c r="AG85" s="1">
        <f>'Wariant 1'!AG$99</f>
        <v>0</v>
      </c>
      <c r="AH85" s="1">
        <f>'Wariant 1'!AH$99</f>
        <v>0</v>
      </c>
      <c r="AI85" s="1">
        <f>'Wariant 1'!AI$99</f>
        <v>0</v>
      </c>
      <c r="AJ85" s="1">
        <f>'Wariant 1'!AJ$99</f>
        <v>0</v>
      </c>
      <c r="AK85" s="1">
        <f>'Wariant 1'!AK$99</f>
        <v>0</v>
      </c>
      <c r="AL85" s="1">
        <f>'Wariant 1'!AL$99</f>
        <v>0</v>
      </c>
      <c r="AM85" s="1">
        <f>'Wariant 1'!AM$99</f>
        <v>0</v>
      </c>
      <c r="AN85" s="1">
        <f>'Wariant 1'!AN$99</f>
        <v>0</v>
      </c>
      <c r="AO85" s="1">
        <f>'Wariant 1'!AO$99</f>
        <v>0</v>
      </c>
      <c r="AP85" s="1">
        <f>'Wariant 1'!AP$99</f>
        <v>0</v>
      </c>
      <c r="AQ85" s="1">
        <f>'Wariant 1'!AQ$99</f>
        <v>0</v>
      </c>
      <c r="AR85" s="1">
        <f>'Wariant 1'!AR$99</f>
        <v>0</v>
      </c>
      <c r="AS85" s="1">
        <f>'Wariant 1'!AS$99</f>
        <v>0</v>
      </c>
      <c r="AT85" s="1">
        <f>'Wariant 1'!AT$99</f>
        <v>0</v>
      </c>
      <c r="AU85" s="1">
        <f>'Wariant 1'!AU$99</f>
        <v>0</v>
      </c>
      <c r="AV85" s="1">
        <f>'Wariant 1'!AV$99</f>
        <v>0</v>
      </c>
      <c r="AW85" s="1">
        <f>'Wariant 1'!AW$99</f>
        <v>0</v>
      </c>
      <c r="AX85" s="1">
        <f>'Wariant 1'!AX$99</f>
        <v>0</v>
      </c>
      <c r="AY85" s="1">
        <f>'Wariant 1'!AY$99</f>
        <v>0</v>
      </c>
      <c r="AZ85" s="1">
        <f>'Wariant 1'!AZ$99</f>
        <v>0</v>
      </c>
      <c r="BA85" s="1">
        <f>'Wariant 1'!BA$99</f>
        <v>0</v>
      </c>
    </row>
    <row r="86" spans="1:53" ht="15.75" customHeight="1" x14ac:dyDescent="0.35">
      <c r="A86" s="5"/>
      <c r="B86" s="5"/>
      <c r="C86" s="5"/>
      <c r="D86" s="5" t="s">
        <v>52</v>
      </c>
      <c r="E86" s="5"/>
      <c r="F86" s="5"/>
      <c r="G86" s="5"/>
      <c r="H86" s="5"/>
      <c r="I86" s="5"/>
      <c r="J86" s="5"/>
      <c r="K86" s="5"/>
      <c r="N86" s="1">
        <f t="shared" si="9"/>
        <v>0</v>
      </c>
      <c r="Q86" s="1">
        <f>'Wariant 1'!Q$100</f>
        <v>0</v>
      </c>
      <c r="R86" s="1">
        <f>'Wariant 1'!R$100</f>
        <v>0</v>
      </c>
      <c r="S86" s="1">
        <f>'Wariant 1'!S$100</f>
        <v>0</v>
      </c>
      <c r="T86" s="1">
        <f>'Wariant 1'!T$100</f>
        <v>0</v>
      </c>
      <c r="U86" s="1">
        <f>'Wariant 1'!U$100</f>
        <v>0</v>
      </c>
      <c r="V86" s="1">
        <f>'Wariant 1'!V$100</f>
        <v>0</v>
      </c>
      <c r="W86" s="1">
        <f>'Wariant 1'!W$100</f>
        <v>0</v>
      </c>
      <c r="X86" s="1">
        <f>'Wariant 1'!X$100</f>
        <v>0</v>
      </c>
      <c r="Y86" s="1">
        <f>'Wariant 1'!Y$100</f>
        <v>0</v>
      </c>
      <c r="Z86" s="1">
        <f>'Wariant 1'!Z$100</f>
        <v>0</v>
      </c>
      <c r="AA86" s="1">
        <f>'Wariant 1'!AA$100</f>
        <v>0</v>
      </c>
      <c r="AB86" s="1">
        <f>'Wariant 1'!AB$100</f>
        <v>0</v>
      </c>
      <c r="AC86" s="1">
        <f>'Wariant 1'!AC$100</f>
        <v>0</v>
      </c>
      <c r="AD86" s="1">
        <f>'Wariant 1'!AD$100</f>
        <v>0</v>
      </c>
      <c r="AE86" s="1">
        <f>'Wariant 1'!AE$100</f>
        <v>0</v>
      </c>
      <c r="AF86" s="1">
        <f>'Wariant 1'!AF$100</f>
        <v>0</v>
      </c>
      <c r="AG86" s="1">
        <f>'Wariant 1'!AG$100</f>
        <v>0</v>
      </c>
      <c r="AH86" s="1">
        <f>'Wariant 1'!AH$100</f>
        <v>0</v>
      </c>
      <c r="AI86" s="1">
        <f>'Wariant 1'!AI$100</f>
        <v>0</v>
      </c>
      <c r="AJ86" s="1">
        <f>'Wariant 1'!AJ$100</f>
        <v>0</v>
      </c>
      <c r="AK86" s="1">
        <f>'Wariant 1'!AK$100</f>
        <v>0</v>
      </c>
      <c r="AL86" s="1">
        <f>'Wariant 1'!AL$100</f>
        <v>0</v>
      </c>
      <c r="AM86" s="1">
        <f>'Wariant 1'!AM$100</f>
        <v>0</v>
      </c>
      <c r="AN86" s="1">
        <f>'Wariant 1'!AN$100</f>
        <v>0</v>
      </c>
      <c r="AO86" s="1">
        <f>'Wariant 1'!AO$100</f>
        <v>0</v>
      </c>
      <c r="AP86" s="1">
        <f>'Wariant 1'!AP$100</f>
        <v>0</v>
      </c>
      <c r="AQ86" s="1">
        <f>'Wariant 1'!AQ$100</f>
        <v>0</v>
      </c>
      <c r="AR86" s="1">
        <f>'Wariant 1'!AR$100</f>
        <v>0</v>
      </c>
      <c r="AS86" s="1">
        <f>'Wariant 1'!AS$100</f>
        <v>0</v>
      </c>
      <c r="AT86" s="1">
        <f>'Wariant 1'!AT$100</f>
        <v>0</v>
      </c>
      <c r="AU86" s="1">
        <f>'Wariant 1'!AU$100</f>
        <v>0</v>
      </c>
      <c r="AV86" s="1">
        <f>'Wariant 1'!AV$100</f>
        <v>0</v>
      </c>
      <c r="AW86" s="1">
        <f>'Wariant 1'!AW$100</f>
        <v>0</v>
      </c>
      <c r="AX86" s="1">
        <f>'Wariant 1'!AX$100</f>
        <v>0</v>
      </c>
      <c r="AY86" s="1">
        <f>'Wariant 1'!AY$100</f>
        <v>0</v>
      </c>
      <c r="AZ86" s="1">
        <f>'Wariant 1'!AZ$100</f>
        <v>0</v>
      </c>
      <c r="BA86" s="1">
        <f>'Wariant 1'!BA$100</f>
        <v>0</v>
      </c>
    </row>
    <row r="87" spans="1:53" x14ac:dyDescent="0.35"/>
    <row r="88" spans="1:53" ht="15.75" customHeight="1" x14ac:dyDescent="0.35">
      <c r="A88" s="59" t="s">
        <v>134</v>
      </c>
      <c r="B88" s="59" t="s">
        <v>137</v>
      </c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>
        <f>SUM(Q88:BA88)</f>
        <v>0</v>
      </c>
      <c r="O88" s="59"/>
      <c r="P88" s="59"/>
      <c r="Q88" s="59">
        <f t="shared" ref="Q88:BA88" si="49">SUM(Q90:Q95)</f>
        <v>0</v>
      </c>
      <c r="R88" s="59">
        <f t="shared" si="49"/>
        <v>0</v>
      </c>
      <c r="S88" s="59">
        <f t="shared" si="49"/>
        <v>0</v>
      </c>
      <c r="T88" s="59">
        <f t="shared" si="49"/>
        <v>0</v>
      </c>
      <c r="U88" s="59">
        <f t="shared" si="49"/>
        <v>0</v>
      </c>
      <c r="V88" s="59">
        <f t="shared" si="49"/>
        <v>0</v>
      </c>
      <c r="W88" s="59">
        <f t="shared" si="49"/>
        <v>0</v>
      </c>
      <c r="X88" s="59">
        <f t="shared" si="49"/>
        <v>0</v>
      </c>
      <c r="Y88" s="59">
        <f t="shared" si="49"/>
        <v>0</v>
      </c>
      <c r="Z88" s="59">
        <f t="shared" si="49"/>
        <v>0</v>
      </c>
      <c r="AA88" s="59">
        <f t="shared" si="49"/>
        <v>0</v>
      </c>
      <c r="AB88" s="59">
        <f t="shared" si="49"/>
        <v>0</v>
      </c>
      <c r="AC88" s="59">
        <f t="shared" si="49"/>
        <v>0</v>
      </c>
      <c r="AD88" s="59">
        <f t="shared" si="49"/>
        <v>0</v>
      </c>
      <c r="AE88" s="59">
        <f t="shared" si="49"/>
        <v>0</v>
      </c>
      <c r="AF88" s="59">
        <f t="shared" si="49"/>
        <v>0</v>
      </c>
      <c r="AG88" s="59">
        <f t="shared" si="49"/>
        <v>0</v>
      </c>
      <c r="AH88" s="59">
        <f t="shared" si="49"/>
        <v>0</v>
      </c>
      <c r="AI88" s="59">
        <f t="shared" si="49"/>
        <v>0</v>
      </c>
      <c r="AJ88" s="59">
        <f t="shared" si="49"/>
        <v>0</v>
      </c>
      <c r="AK88" s="59">
        <f t="shared" si="49"/>
        <v>0</v>
      </c>
      <c r="AL88" s="59">
        <f t="shared" si="49"/>
        <v>0</v>
      </c>
      <c r="AM88" s="59">
        <f t="shared" si="49"/>
        <v>0</v>
      </c>
      <c r="AN88" s="59">
        <f t="shared" si="49"/>
        <v>0</v>
      </c>
      <c r="AO88" s="59">
        <f t="shared" si="49"/>
        <v>0</v>
      </c>
      <c r="AP88" s="59">
        <f t="shared" si="49"/>
        <v>0</v>
      </c>
      <c r="AQ88" s="59">
        <f t="shared" si="49"/>
        <v>0</v>
      </c>
      <c r="AR88" s="59">
        <f t="shared" si="49"/>
        <v>0</v>
      </c>
      <c r="AS88" s="59">
        <f t="shared" si="49"/>
        <v>0</v>
      </c>
      <c r="AT88" s="59">
        <f t="shared" si="49"/>
        <v>0</v>
      </c>
      <c r="AU88" s="59">
        <f t="shared" si="49"/>
        <v>0</v>
      </c>
      <c r="AV88" s="59">
        <f t="shared" si="49"/>
        <v>0</v>
      </c>
      <c r="AW88" s="59">
        <f t="shared" si="49"/>
        <v>0</v>
      </c>
      <c r="AX88" s="59">
        <f t="shared" si="49"/>
        <v>0</v>
      </c>
      <c r="AY88" s="59">
        <f t="shared" si="49"/>
        <v>0</v>
      </c>
      <c r="AZ88" s="59">
        <f t="shared" si="49"/>
        <v>0</v>
      </c>
      <c r="BA88" s="59">
        <f t="shared" si="49"/>
        <v>0</v>
      </c>
    </row>
    <row r="89" spans="1:53" x14ac:dyDescent="0.35"/>
    <row r="90" spans="1:53" ht="15.75" customHeight="1" x14ac:dyDescent="0.35">
      <c r="A90" s="5"/>
      <c r="B90" s="5"/>
      <c r="C90" s="5" t="s">
        <v>136</v>
      </c>
      <c r="E90" s="5"/>
      <c r="F90" s="5"/>
      <c r="G90" s="5"/>
      <c r="H90" s="5"/>
      <c r="I90" s="5"/>
      <c r="J90" s="5"/>
      <c r="K90" s="5"/>
      <c r="N90" s="1">
        <f t="shared" ref="N90:N95" si="50">SUM(Q90:BA90)</f>
        <v>0</v>
      </c>
      <c r="Q90" s="1">
        <f t="shared" ref="Q90:BA90" si="51">Q66</f>
        <v>0</v>
      </c>
      <c r="R90" s="1">
        <f t="shared" si="51"/>
        <v>0</v>
      </c>
      <c r="S90" s="1">
        <f t="shared" si="51"/>
        <v>0</v>
      </c>
      <c r="T90" s="1">
        <f t="shared" si="51"/>
        <v>0</v>
      </c>
      <c r="U90" s="1">
        <f t="shared" si="51"/>
        <v>0</v>
      </c>
      <c r="V90" s="1">
        <f t="shared" si="51"/>
        <v>0</v>
      </c>
      <c r="W90" s="1">
        <f t="shared" si="51"/>
        <v>0</v>
      </c>
      <c r="X90" s="1">
        <f t="shared" si="51"/>
        <v>0</v>
      </c>
      <c r="Y90" s="1">
        <f t="shared" si="51"/>
        <v>0</v>
      </c>
      <c r="Z90" s="1">
        <f t="shared" si="51"/>
        <v>0</v>
      </c>
      <c r="AA90" s="1">
        <f t="shared" si="51"/>
        <v>0</v>
      </c>
      <c r="AB90" s="1">
        <f t="shared" si="51"/>
        <v>0</v>
      </c>
      <c r="AC90" s="1">
        <f t="shared" si="51"/>
        <v>0</v>
      </c>
      <c r="AD90" s="1">
        <f t="shared" si="51"/>
        <v>0</v>
      </c>
      <c r="AE90" s="1">
        <f t="shared" si="51"/>
        <v>0</v>
      </c>
      <c r="AF90" s="1">
        <f t="shared" si="51"/>
        <v>0</v>
      </c>
      <c r="AG90" s="1">
        <f t="shared" si="51"/>
        <v>0</v>
      </c>
      <c r="AH90" s="1">
        <f t="shared" si="51"/>
        <v>0</v>
      </c>
      <c r="AI90" s="1">
        <f t="shared" si="51"/>
        <v>0</v>
      </c>
      <c r="AJ90" s="1">
        <f t="shared" si="51"/>
        <v>0</v>
      </c>
      <c r="AK90" s="1">
        <f t="shared" si="51"/>
        <v>0</v>
      </c>
      <c r="AL90" s="1">
        <f t="shared" si="51"/>
        <v>0</v>
      </c>
      <c r="AM90" s="1">
        <f t="shared" si="51"/>
        <v>0</v>
      </c>
      <c r="AN90" s="1">
        <f t="shared" si="51"/>
        <v>0</v>
      </c>
      <c r="AO90" s="1">
        <f t="shared" si="51"/>
        <v>0</v>
      </c>
      <c r="AP90" s="1">
        <f t="shared" si="51"/>
        <v>0</v>
      </c>
      <c r="AQ90" s="1">
        <f t="shared" si="51"/>
        <v>0</v>
      </c>
      <c r="AR90" s="1">
        <f t="shared" si="51"/>
        <v>0</v>
      </c>
      <c r="AS90" s="1">
        <f t="shared" si="51"/>
        <v>0</v>
      </c>
      <c r="AT90" s="1">
        <f t="shared" si="51"/>
        <v>0</v>
      </c>
      <c r="AU90" s="1">
        <f t="shared" si="51"/>
        <v>0</v>
      </c>
      <c r="AV90" s="1">
        <f t="shared" si="51"/>
        <v>0</v>
      </c>
      <c r="AW90" s="1">
        <f t="shared" si="51"/>
        <v>0</v>
      </c>
      <c r="AX90" s="1">
        <f t="shared" si="51"/>
        <v>0</v>
      </c>
      <c r="AY90" s="1">
        <f t="shared" si="51"/>
        <v>0</v>
      </c>
      <c r="AZ90" s="1">
        <f t="shared" si="51"/>
        <v>0</v>
      </c>
      <c r="BA90" s="74">
        <f t="shared" si="51"/>
        <v>0</v>
      </c>
    </row>
    <row r="91" spans="1:53" ht="15.75" customHeight="1" x14ac:dyDescent="0.35">
      <c r="A91" s="5"/>
      <c r="B91" s="5"/>
      <c r="C91" s="5" t="s">
        <v>101</v>
      </c>
      <c r="E91" s="5"/>
      <c r="F91" s="5"/>
      <c r="G91" s="5"/>
      <c r="H91" s="5"/>
      <c r="I91" s="5"/>
      <c r="J91" s="5"/>
      <c r="K91" s="5"/>
      <c r="N91" s="1">
        <f t="shared" si="50"/>
        <v>0</v>
      </c>
      <c r="Q91" s="1">
        <f>-Założenia!$K$167*OEp.w1</f>
        <v>0</v>
      </c>
      <c r="R91" s="1">
        <f>-Założenia!$K$167*OEp.w1</f>
        <v>0</v>
      </c>
      <c r="S91" s="1">
        <f>-Założenia!$K$167*OEp.w1</f>
        <v>0</v>
      </c>
      <c r="T91" s="1">
        <f>-Założenia!$K$167*OEp.w1</f>
        <v>0</v>
      </c>
      <c r="U91" s="1">
        <f>-Założenia!$K$167*OEp.w1</f>
        <v>0</v>
      </c>
      <c r="V91" s="1">
        <f>-Założenia!$K$167*OEp.w1</f>
        <v>0</v>
      </c>
      <c r="W91" s="1">
        <f>-Założenia!$K$167*OEp.w1</f>
        <v>0</v>
      </c>
      <c r="X91" s="1">
        <f>-Założenia!$K$167*OEp.w1</f>
        <v>0</v>
      </c>
      <c r="Y91" s="1">
        <f>-Założenia!$K$167*OEp.w1</f>
        <v>0</v>
      </c>
      <c r="Z91" s="1">
        <f>-Założenia!$K$167*OEp.w1</f>
        <v>0</v>
      </c>
      <c r="AA91" s="1">
        <f>-Założenia!$K$167*OEp.w1</f>
        <v>0</v>
      </c>
      <c r="AB91" s="1">
        <f>-Założenia!$K$167*OEp.w1</f>
        <v>0</v>
      </c>
      <c r="AC91" s="1">
        <f>-Założenia!$K$167*OEp.w1</f>
        <v>0</v>
      </c>
      <c r="AD91" s="1">
        <f>-Założenia!$K$167*OEp.w1</f>
        <v>0</v>
      </c>
      <c r="AE91" s="1">
        <f>-Założenia!$K$167*OEp.w1</f>
        <v>0</v>
      </c>
      <c r="AF91" s="1">
        <f>-Założenia!$K$167*OEp.w1</f>
        <v>0</v>
      </c>
      <c r="AG91" s="1">
        <f>-Założenia!$K$167*OEp.w1</f>
        <v>0</v>
      </c>
      <c r="AH91" s="1">
        <f>-Założenia!$K$167*OEp.w1</f>
        <v>0</v>
      </c>
      <c r="AI91" s="1">
        <f>-Założenia!$K$167*OEp.w1</f>
        <v>0</v>
      </c>
      <c r="AJ91" s="1">
        <f>-Założenia!$K$167*OEp.w1</f>
        <v>0</v>
      </c>
      <c r="AK91" s="1">
        <f>-Założenia!$K$167*OEp.w1</f>
        <v>0</v>
      </c>
      <c r="AL91" s="1">
        <f>-Założenia!$K$167*OEp.w1</f>
        <v>0</v>
      </c>
      <c r="AM91" s="1">
        <f>-Założenia!$K$167*OEp.w1</f>
        <v>0</v>
      </c>
      <c r="AN91" s="1">
        <f>-Założenia!$K$167*OEp.w1</f>
        <v>0</v>
      </c>
      <c r="AO91" s="1">
        <f>-Założenia!$K$167*OEp.w1</f>
        <v>0</v>
      </c>
      <c r="AP91" s="1">
        <f>-Założenia!$K$167*OEp.w1</f>
        <v>0</v>
      </c>
      <c r="AQ91" s="1">
        <f>-Założenia!$K$167*OEp.w1</f>
        <v>0</v>
      </c>
      <c r="AR91" s="1">
        <f>-Założenia!$K$167*OEp.w1</f>
        <v>0</v>
      </c>
      <c r="AS91" s="1">
        <f>-Założenia!$K$167*OEp.w1</f>
        <v>0</v>
      </c>
      <c r="AT91" s="1">
        <f>-Założenia!$K$167*OEp.w1</f>
        <v>0</v>
      </c>
      <c r="AU91" s="1">
        <f>-Założenia!$K$167*OEp.w1</f>
        <v>0</v>
      </c>
      <c r="AV91" s="1">
        <f>-Założenia!$K$167*OEp.w1</f>
        <v>0</v>
      </c>
      <c r="AW91" s="1">
        <f>-Założenia!$K$167*OEp.w1</f>
        <v>0</v>
      </c>
      <c r="AX91" s="1">
        <f>-Założenia!$K$167*OEp.w1</f>
        <v>0</v>
      </c>
      <c r="AY91" s="1">
        <f>-Założenia!$K$167*OEp.w1</f>
        <v>0</v>
      </c>
      <c r="AZ91" s="1">
        <f>-Założenia!$K$167*OEp.w1</f>
        <v>0</v>
      </c>
      <c r="BA91" s="1">
        <f>-Założenia!$K$167*OEp.w1</f>
        <v>0</v>
      </c>
    </row>
    <row r="92" spans="1:53" ht="15.75" customHeight="1" x14ac:dyDescent="0.35">
      <c r="A92" s="5"/>
      <c r="B92" s="5"/>
      <c r="C92" s="5" t="s">
        <v>102</v>
      </c>
      <c r="E92" s="5"/>
      <c r="F92" s="5"/>
      <c r="G92" s="5"/>
      <c r="H92" s="5"/>
      <c r="I92" s="5"/>
      <c r="J92" s="5"/>
      <c r="K92" s="5"/>
      <c r="N92" s="1">
        <f t="shared" si="50"/>
        <v>0</v>
      </c>
      <c r="Q92" s="1">
        <f>-Założenia!$K$168*OEp.w1</f>
        <v>0</v>
      </c>
      <c r="R92" s="1">
        <f>-Założenia!$K$168*OEp.w1</f>
        <v>0</v>
      </c>
      <c r="S92" s="1">
        <f>-Założenia!$K$168*OEp.w1</f>
        <v>0</v>
      </c>
      <c r="T92" s="1">
        <f>-Założenia!$K$168*OEp.w1</f>
        <v>0</v>
      </c>
      <c r="U92" s="1">
        <f>-Założenia!$K$168*OEp.w1</f>
        <v>0</v>
      </c>
      <c r="V92" s="1">
        <f>-Założenia!$K$168*OEp.w1</f>
        <v>0</v>
      </c>
      <c r="W92" s="1">
        <f>-Założenia!$K$168*OEp.w1</f>
        <v>0</v>
      </c>
      <c r="X92" s="1">
        <f>-Założenia!$K$168*OEp.w1</f>
        <v>0</v>
      </c>
      <c r="Y92" s="1">
        <f>-Założenia!$K$168*OEp.w1</f>
        <v>0</v>
      </c>
      <c r="Z92" s="1">
        <f>-Założenia!$K$168*OEp.w1</f>
        <v>0</v>
      </c>
      <c r="AA92" s="1">
        <f>-Założenia!$K$168*OEp.w1</f>
        <v>0</v>
      </c>
      <c r="AB92" s="1">
        <f>-Założenia!$K$168*OEp.w1</f>
        <v>0</v>
      </c>
      <c r="AC92" s="1">
        <f>-Założenia!$K$168*OEp.w1</f>
        <v>0</v>
      </c>
      <c r="AD92" s="1">
        <f>-Założenia!$K$168*OEp.w1</f>
        <v>0</v>
      </c>
      <c r="AE92" s="1">
        <f>-Założenia!$K$168*OEp.w1</f>
        <v>0</v>
      </c>
      <c r="AF92" s="1">
        <f>-Założenia!$K$168*OEp.w1</f>
        <v>0</v>
      </c>
      <c r="AG92" s="1">
        <f>-Założenia!$K$168*OEp.w1</f>
        <v>0</v>
      </c>
      <c r="AH92" s="1">
        <f>-Założenia!$K$168*OEp.w1</f>
        <v>0</v>
      </c>
      <c r="AI92" s="1">
        <f>-Założenia!$K$168*OEp.w1</f>
        <v>0</v>
      </c>
      <c r="AJ92" s="1">
        <f>-Założenia!$K$168*OEp.w1</f>
        <v>0</v>
      </c>
      <c r="AK92" s="1">
        <f>-Założenia!$K$168*OEp.w1</f>
        <v>0</v>
      </c>
      <c r="AL92" s="1">
        <f>-Założenia!$K$168*OEp.w1</f>
        <v>0</v>
      </c>
      <c r="AM92" s="1">
        <f>-Założenia!$K$168*OEp.w1</f>
        <v>0</v>
      </c>
      <c r="AN92" s="1">
        <f>-Założenia!$K$168*OEp.w1</f>
        <v>0</v>
      </c>
      <c r="AO92" s="1">
        <f>-Założenia!$K$168*OEp.w1</f>
        <v>0</v>
      </c>
      <c r="AP92" s="1">
        <f>-Założenia!$K$168*OEp.w1</f>
        <v>0</v>
      </c>
      <c r="AQ92" s="1">
        <f>-Założenia!$K$168*OEp.w1</f>
        <v>0</v>
      </c>
      <c r="AR92" s="1">
        <f>-Założenia!$K$168*OEp.w1</f>
        <v>0</v>
      </c>
      <c r="AS92" s="1">
        <f>-Założenia!$K$168*OEp.w1</f>
        <v>0</v>
      </c>
      <c r="AT92" s="1">
        <f>-Założenia!$K$168*OEp.w1</f>
        <v>0</v>
      </c>
      <c r="AU92" s="1">
        <f>-Założenia!$K$168*OEp.w1</f>
        <v>0</v>
      </c>
      <c r="AV92" s="1">
        <f>-Założenia!$K$168*OEp.w1</f>
        <v>0</v>
      </c>
      <c r="AW92" s="1">
        <f>-Założenia!$K$168*OEp.w1</f>
        <v>0</v>
      </c>
      <c r="AX92" s="1">
        <f>-Założenia!$K$168*OEp.w1</f>
        <v>0</v>
      </c>
      <c r="AY92" s="1">
        <f>-Założenia!$K$168*OEp.w1</f>
        <v>0</v>
      </c>
      <c r="AZ92" s="1">
        <f>-Założenia!$K$168*OEp.w1</f>
        <v>0</v>
      </c>
      <c r="BA92" s="1">
        <f>-Założenia!$K$168*OEp.w1</f>
        <v>0</v>
      </c>
    </row>
    <row r="93" spans="1:53" ht="15.75" customHeight="1" x14ac:dyDescent="0.35">
      <c r="A93" s="5"/>
      <c r="B93" s="5"/>
      <c r="C93" s="5" t="s">
        <v>135</v>
      </c>
      <c r="E93" s="5"/>
      <c r="F93" s="5"/>
      <c r="G93" s="5"/>
      <c r="H93" s="5"/>
      <c r="I93" s="5"/>
      <c r="J93" s="5"/>
      <c r="K93" s="5"/>
      <c r="N93" s="1">
        <f t="shared" si="50"/>
        <v>0</v>
      </c>
      <c r="Q93" s="1">
        <f>-SUM(SUM(Q83,Q78)*(Założenia!$K$172="tak")*Założenia!$K$173,'Wariant 1'!Q$169)</f>
        <v>0</v>
      </c>
      <c r="R93" s="1">
        <f>-SUM(SUM(R83,R78)*(Założenia!$K$172="tak")*Założenia!$K$173,'Wariant 1'!R$169)</f>
        <v>0</v>
      </c>
      <c r="S93" s="1">
        <f>-SUM(SUM(S83,S78)*(Założenia!$K$172="tak")*Założenia!$K$173,'Wariant 1'!S$169)</f>
        <v>0</v>
      </c>
      <c r="T93" s="1">
        <f>-SUM(SUM(T83,T78)*(Założenia!$K$172="tak")*Założenia!$K$173,'Wariant 1'!T$169)</f>
        <v>0</v>
      </c>
      <c r="U93" s="1">
        <f>-SUM(SUM(U83,U78)*(Założenia!$K$172="tak")*Założenia!$K$173,'Wariant 1'!U$169)</f>
        <v>0</v>
      </c>
      <c r="V93" s="1">
        <f>-SUM(SUM(V83,V78)*(Założenia!$K$172="tak")*Założenia!$K$173,'Wariant 1'!V$169)</f>
        <v>0</v>
      </c>
      <c r="W93" s="1">
        <f>-SUM(SUM(W83,W78)*(Założenia!$K$172="tak")*Założenia!$K$173,'Wariant 1'!W$169)</f>
        <v>0</v>
      </c>
      <c r="X93" s="1">
        <f>-SUM(SUM(X83,X78)*(Założenia!$K$172="tak")*Założenia!$K$173,'Wariant 1'!X$169)</f>
        <v>0</v>
      </c>
      <c r="Y93" s="1">
        <f>-SUM(SUM(Y83,Y78)*(Założenia!$K$172="tak")*Założenia!$K$173,'Wariant 1'!Y$169)</f>
        <v>0</v>
      </c>
      <c r="Z93" s="1">
        <f>-SUM(SUM(Z83,Z78)*(Założenia!$K$172="tak")*Założenia!$K$173,'Wariant 1'!Z$169)</f>
        <v>0</v>
      </c>
      <c r="AA93" s="1">
        <f>-SUM(SUM(AA83,AA78)*(Założenia!$K$172="tak")*Założenia!$K$173,'Wariant 1'!AA$169)</f>
        <v>0</v>
      </c>
      <c r="AB93" s="1">
        <f>-SUM(SUM(AB83,AB78)*(Założenia!$K$172="tak")*Założenia!$K$173,'Wariant 1'!AB$169)</f>
        <v>0</v>
      </c>
      <c r="AC93" s="1">
        <f>-SUM(SUM(AC83,AC78)*(Założenia!$K$172="tak")*Założenia!$K$173,'Wariant 1'!AC$169)</f>
        <v>0</v>
      </c>
      <c r="AD93" s="1">
        <f>-SUM(SUM(AD83,AD78)*(Założenia!$K$172="tak")*Założenia!$K$173,'Wariant 1'!AD$169)</f>
        <v>0</v>
      </c>
      <c r="AE93" s="1">
        <f>-SUM(SUM(AE83,AE78)*(Założenia!$K$172="tak")*Założenia!$K$173,'Wariant 1'!AE$169)</f>
        <v>0</v>
      </c>
      <c r="AF93" s="1">
        <f>-SUM(SUM(AF83,AF78)*(Założenia!$K$172="tak")*Założenia!$K$173,'Wariant 1'!AF$169)</f>
        <v>0</v>
      </c>
      <c r="AG93" s="1">
        <f>-SUM(SUM(AG83,AG78)*(Założenia!$K$172="tak")*Założenia!$K$173,'Wariant 1'!AG$169)</f>
        <v>0</v>
      </c>
      <c r="AH93" s="1">
        <f>-SUM(SUM(AH83,AH78)*(Założenia!$K$172="tak")*Założenia!$K$173,'Wariant 1'!AH$169)</f>
        <v>0</v>
      </c>
      <c r="AI93" s="1">
        <f>-SUM(SUM(AI83,AI78)*(Założenia!$K$172="tak")*Założenia!$K$173,'Wariant 1'!AI$169)</f>
        <v>0</v>
      </c>
      <c r="AJ93" s="1">
        <f>-SUM(SUM(AJ83,AJ78)*(Założenia!$K$172="tak")*Założenia!$K$173,'Wariant 1'!AJ$169)</f>
        <v>0</v>
      </c>
      <c r="AK93" s="1">
        <f>-SUM(SUM(AK83,AK78)*(Założenia!$K$172="tak")*Założenia!$K$173,'Wariant 1'!AK$169)</f>
        <v>0</v>
      </c>
      <c r="AL93" s="1">
        <f>-SUM(SUM(AL83,AL78)*(Założenia!$K$172="tak")*Założenia!$K$173,'Wariant 1'!AL$169)</f>
        <v>0</v>
      </c>
      <c r="AM93" s="1">
        <f>-SUM(SUM(AM83,AM78)*(Założenia!$K$172="tak")*Założenia!$K$173,'Wariant 1'!AM$169)</f>
        <v>0</v>
      </c>
      <c r="AN93" s="1">
        <f>-SUM(SUM(AN83,AN78)*(Założenia!$K$172="tak")*Założenia!$K$173,'Wariant 1'!AN$169)</f>
        <v>0</v>
      </c>
      <c r="AO93" s="1">
        <f>-SUM(SUM(AO83,AO78)*(Założenia!$K$172="tak")*Założenia!$K$173,'Wariant 1'!AO$169)</f>
        <v>0</v>
      </c>
      <c r="AP93" s="1">
        <f>-SUM(SUM(AP83,AP78)*(Założenia!$K$172="tak")*Założenia!$K$173,'Wariant 1'!AP$169)</f>
        <v>0</v>
      </c>
      <c r="AQ93" s="1">
        <f>-SUM(SUM(AQ83,AQ78)*(Założenia!$K$172="tak")*Założenia!$K$173,'Wariant 1'!AQ$169)</f>
        <v>0</v>
      </c>
      <c r="AR93" s="1">
        <f>-SUM(SUM(AR83,AR78)*(Założenia!$K$172="tak")*Założenia!$K$173,'Wariant 1'!AR$169)</f>
        <v>0</v>
      </c>
      <c r="AS93" s="1">
        <f>-SUM(SUM(AS83,AS78)*(Założenia!$K$172="tak")*Założenia!$K$173,'Wariant 1'!AS$169)</f>
        <v>0</v>
      </c>
      <c r="AT93" s="1">
        <f>-SUM(SUM(AT83,AT78)*(Założenia!$K$172="tak")*Założenia!$K$173,'Wariant 1'!AT$169)</f>
        <v>0</v>
      </c>
      <c r="AU93" s="1">
        <f>-SUM(SUM(AU83,AU78)*(Założenia!$K$172="tak")*Założenia!$K$173,'Wariant 1'!AU$169)</f>
        <v>0</v>
      </c>
      <c r="AV93" s="1">
        <f>-SUM(SUM(AV83,AV78)*(Założenia!$K$172="tak")*Założenia!$K$173,'Wariant 1'!AV$169)</f>
        <v>0</v>
      </c>
      <c r="AW93" s="1">
        <f>-SUM(SUM(AW83,AW78)*(Założenia!$K$172="tak")*Założenia!$K$173,'Wariant 1'!AW$169)</f>
        <v>0</v>
      </c>
      <c r="AX93" s="1">
        <f>-SUM(SUM(AX83,AX78)*(Założenia!$K$172="tak")*Założenia!$K$173,'Wariant 1'!AX$169)</f>
        <v>0</v>
      </c>
      <c r="AY93" s="1">
        <f>-SUM(SUM(AY83,AY78)*(Założenia!$K$172="tak")*Założenia!$K$173,'Wariant 1'!AY$169)</f>
        <v>0</v>
      </c>
      <c r="AZ93" s="1">
        <f>-SUM(SUM(AZ83,AZ78)*(Założenia!$K$172="tak")*Założenia!$K$173,'Wariant 1'!AZ$169)</f>
        <v>0</v>
      </c>
      <c r="BA93" s="1">
        <f>-SUM(SUM(BA83,BA78)*(Założenia!$K$172="tak")*Założenia!$K$173,'Wariant 1'!BA$169)</f>
        <v>0</v>
      </c>
    </row>
    <row r="94" spans="1:53" ht="15.75" customHeight="1" x14ac:dyDescent="0.35">
      <c r="A94" s="5"/>
      <c r="B94" s="5"/>
      <c r="C94" s="5" t="s">
        <v>144</v>
      </c>
      <c r="E94" s="5"/>
      <c r="F94" s="5"/>
      <c r="G94" s="5"/>
      <c r="H94" s="5"/>
      <c r="I94" s="5"/>
      <c r="J94" s="5"/>
      <c r="K94" s="5"/>
      <c r="N94" s="1">
        <f t="shared" si="50"/>
        <v>0</v>
      </c>
      <c r="Q94" s="1">
        <f>-ABS(INDEX(Założenia!$K$87:$K$123,MATCH(Q$1,Założenia!$J$87:$J$123,0)))*CPIc*PPPt.w1</f>
        <v>0</v>
      </c>
      <c r="R94" s="1">
        <f>-ABS(INDEX(Założenia!$K$87:$K$123,MATCH(R$1,Założenia!$J$87:$J$123,0)))*CPIc*PPPt.w1</f>
        <v>0</v>
      </c>
      <c r="S94" s="1">
        <f>-ABS(INDEX(Założenia!$K$87:$K$123,MATCH(S$1,Założenia!$J$87:$J$123,0)))*CPIc*PPPt.w1</f>
        <v>0</v>
      </c>
      <c r="T94" s="1">
        <f>-ABS(INDEX(Założenia!$K$87:$K$123,MATCH(T$1,Założenia!$J$87:$J$123,0)))*CPIc*PPPt.w1</f>
        <v>0</v>
      </c>
      <c r="U94" s="1">
        <f>-ABS(INDEX(Założenia!$K$87:$K$123,MATCH(U$1,Założenia!$J$87:$J$123,0)))*CPIc*PPPt.w1</f>
        <v>0</v>
      </c>
      <c r="V94" s="1">
        <f>-ABS(INDEX(Założenia!$K$87:$K$123,MATCH(V$1,Założenia!$J$87:$J$123,0)))*CPIc*PPPt.w1</f>
        <v>0</v>
      </c>
      <c r="W94" s="1">
        <f>-ABS(INDEX(Założenia!$K$87:$K$123,MATCH(W$1,Założenia!$J$87:$J$123,0)))*CPIc*PPPt.w1</f>
        <v>0</v>
      </c>
      <c r="X94" s="1">
        <f>-ABS(INDEX(Założenia!$K$87:$K$123,MATCH(X$1,Założenia!$J$87:$J$123,0)))*CPIc*PPPt.w1</f>
        <v>0</v>
      </c>
      <c r="Y94" s="1">
        <f>-ABS(INDEX(Założenia!$K$87:$K$123,MATCH(Y$1,Założenia!$J$87:$J$123,0)))*CPIc*PPPt.w1</f>
        <v>0</v>
      </c>
      <c r="Z94" s="1">
        <f>-ABS(INDEX(Założenia!$K$87:$K$123,MATCH(Z$1,Założenia!$J$87:$J$123,0)))*CPIc*PPPt.w1</f>
        <v>0</v>
      </c>
      <c r="AA94" s="1">
        <f>-ABS(INDEX(Założenia!$K$87:$K$123,MATCH(AA$1,Założenia!$J$87:$J$123,0)))*CPIc*PPPt.w1</f>
        <v>0</v>
      </c>
      <c r="AB94" s="1">
        <f>-ABS(INDEX(Założenia!$K$87:$K$123,MATCH(AB$1,Założenia!$J$87:$J$123,0)))*CPIc*PPPt.w1</f>
        <v>0</v>
      </c>
      <c r="AC94" s="1">
        <f>-ABS(INDEX(Założenia!$K$87:$K$123,MATCH(AC$1,Założenia!$J$87:$J$123,0)))*CPIc*PPPt.w1</f>
        <v>0</v>
      </c>
      <c r="AD94" s="1">
        <f>-ABS(INDEX(Założenia!$K$87:$K$123,MATCH(AD$1,Założenia!$J$87:$J$123,0)))*CPIc*PPPt.w1</f>
        <v>0</v>
      </c>
      <c r="AE94" s="1">
        <f>-ABS(INDEX(Założenia!$K$87:$K$123,MATCH(AE$1,Założenia!$J$87:$J$123,0)))*CPIc*PPPt.w1</f>
        <v>0</v>
      </c>
      <c r="AF94" s="1">
        <f>-ABS(INDEX(Założenia!$K$87:$K$123,MATCH(AF$1,Założenia!$J$87:$J$123,0)))*CPIc*PPPt.w1</f>
        <v>0</v>
      </c>
      <c r="AG94" s="1">
        <f>-ABS(INDEX(Założenia!$K$87:$K$123,MATCH(AG$1,Założenia!$J$87:$J$123,0)))*CPIc*PPPt.w1</f>
        <v>0</v>
      </c>
      <c r="AH94" s="1">
        <f>-ABS(INDEX(Założenia!$K$87:$K$123,MATCH(AH$1,Założenia!$J$87:$J$123,0)))*CPIc*PPPt.w1</f>
        <v>0</v>
      </c>
      <c r="AI94" s="1">
        <f>-ABS(INDEX(Założenia!$K$87:$K$123,MATCH(AI$1,Założenia!$J$87:$J$123,0)))*CPIc*PPPt.w1</f>
        <v>0</v>
      </c>
      <c r="AJ94" s="1">
        <f>-ABS(INDEX(Założenia!$K$87:$K$123,MATCH(AJ$1,Założenia!$J$87:$J$123,0)))*CPIc*PPPt.w1</f>
        <v>0</v>
      </c>
      <c r="AK94" s="1">
        <f>-ABS(INDEX(Założenia!$K$87:$K$123,MATCH(AK$1,Założenia!$J$87:$J$123,0)))*CPIc*PPPt.w1</f>
        <v>0</v>
      </c>
      <c r="AL94" s="1">
        <f>-ABS(INDEX(Założenia!$K$87:$K$123,MATCH(AL$1,Założenia!$J$87:$J$123,0)))*CPIc*PPPt.w1</f>
        <v>0</v>
      </c>
      <c r="AM94" s="1">
        <f>-ABS(INDEX(Założenia!$K$87:$K$123,MATCH(AM$1,Założenia!$J$87:$J$123,0)))*CPIc*PPPt.w1</f>
        <v>0</v>
      </c>
      <c r="AN94" s="1">
        <f>-ABS(INDEX(Założenia!$K$87:$K$123,MATCH(AN$1,Założenia!$J$87:$J$123,0)))*CPIc*PPPt.w1</f>
        <v>0</v>
      </c>
      <c r="AO94" s="1">
        <f>-ABS(INDEX(Założenia!$K$87:$K$123,MATCH(AO$1,Założenia!$J$87:$J$123,0)))*CPIc*PPPt.w1</f>
        <v>0</v>
      </c>
      <c r="AP94" s="1">
        <f>-ABS(INDEX(Założenia!$K$87:$K$123,MATCH(AP$1,Założenia!$J$87:$J$123,0)))*CPIc*PPPt.w1</f>
        <v>0</v>
      </c>
      <c r="AQ94" s="1">
        <f>-ABS(INDEX(Założenia!$K$87:$K$123,MATCH(AQ$1,Założenia!$J$87:$J$123,0)))*CPIc*PPPt.w1</f>
        <v>0</v>
      </c>
      <c r="AR94" s="1">
        <f>-ABS(INDEX(Założenia!$K$87:$K$123,MATCH(AR$1,Założenia!$J$87:$J$123,0)))*CPIc*PPPt.w1</f>
        <v>0</v>
      </c>
      <c r="AS94" s="1">
        <f>-ABS(INDEX(Założenia!$K$87:$K$123,MATCH(AS$1,Założenia!$J$87:$J$123,0)))*CPIc*PPPt.w1</f>
        <v>0</v>
      </c>
      <c r="AT94" s="1">
        <f>-ABS(INDEX(Założenia!$K$87:$K$123,MATCH(AT$1,Założenia!$J$87:$J$123,0)))*CPIc*PPPt.w1</f>
        <v>0</v>
      </c>
      <c r="AU94" s="1">
        <f>-ABS(INDEX(Założenia!$K$87:$K$123,MATCH(AU$1,Założenia!$J$87:$J$123,0)))*CPIc*PPPt.w1</f>
        <v>0</v>
      </c>
      <c r="AV94" s="1">
        <f>-ABS(INDEX(Założenia!$K$87:$K$123,MATCH(AV$1,Założenia!$J$87:$J$123,0)))*CPIc*PPPt.w1</f>
        <v>0</v>
      </c>
      <c r="AW94" s="1">
        <f>-ABS(INDEX(Założenia!$K$87:$K$123,MATCH(AW$1,Założenia!$J$87:$J$123,0)))*CPIc*PPPt.w1</f>
        <v>0</v>
      </c>
      <c r="AX94" s="1">
        <f>-ABS(INDEX(Założenia!$K$87:$K$123,MATCH(AX$1,Założenia!$J$87:$J$123,0)))*CPIc*PPPt.w1</f>
        <v>0</v>
      </c>
      <c r="AY94" s="1">
        <f>-ABS(INDEX(Założenia!$K$87:$K$123,MATCH(AY$1,Założenia!$J$87:$J$123,0)))*CPIc*PPPt.w1</f>
        <v>0</v>
      </c>
      <c r="AZ94" s="1">
        <f>-ABS(INDEX(Założenia!$K$87:$K$123,MATCH(AZ$1,Założenia!$J$87:$J$123,0)))*CPIc*PPPt.w1</f>
        <v>0</v>
      </c>
      <c r="BA94" s="1">
        <f>-ABS(INDEX(Założenia!$K$87:$K$123,MATCH(BA$1,Założenia!$J$87:$J$123,0)))*CPIc*PPPt.w1</f>
        <v>0</v>
      </c>
    </row>
    <row r="95" spans="1:53" ht="15.75" customHeight="1" x14ac:dyDescent="0.35">
      <c r="A95" s="5"/>
      <c r="B95" s="5"/>
      <c r="C95" s="5" t="s">
        <v>141</v>
      </c>
      <c r="E95" s="5"/>
      <c r="F95" s="5"/>
      <c r="G95" s="5"/>
      <c r="H95" s="5"/>
      <c r="I95" s="5"/>
      <c r="J95" s="5"/>
      <c r="K95" s="5"/>
      <c r="N95" s="1">
        <f t="shared" si="50"/>
        <v>0</v>
      </c>
      <c r="Q95" s="1">
        <f>ABS(INDEX(Założenia!$K$126:$K$162,MATCH(Q$1,Założenia!$J$126:$J$162,0)))*CPIc*PPPt.w1</f>
        <v>0</v>
      </c>
      <c r="R95" s="1">
        <f>ABS(INDEX(Założenia!$K$126:$K$162,MATCH(R$1,Założenia!$J$126:$J$162,0)))*CPIc*PPPt.w1</f>
        <v>0</v>
      </c>
      <c r="S95" s="1">
        <f>ABS(INDEX(Założenia!$K$126:$K$162,MATCH(S$1,Założenia!$J$126:$J$162,0)))*CPIc*PPPt.w1</f>
        <v>0</v>
      </c>
      <c r="T95" s="1">
        <f>ABS(INDEX(Założenia!$K$126:$K$162,MATCH(T$1,Założenia!$J$126:$J$162,0)))*CPIc*PPPt.w1</f>
        <v>0</v>
      </c>
      <c r="U95" s="1">
        <f>ABS(INDEX(Założenia!$K$126:$K$162,MATCH(U$1,Założenia!$J$126:$J$162,0)))*CPIc*PPPt.w1</f>
        <v>0</v>
      </c>
      <c r="V95" s="1">
        <f>ABS(INDEX(Założenia!$K$126:$K$162,MATCH(V$1,Założenia!$J$126:$J$162,0)))*CPIc*PPPt.w1</f>
        <v>0</v>
      </c>
      <c r="W95" s="1">
        <f>ABS(INDEX(Założenia!$K$126:$K$162,MATCH(W$1,Założenia!$J$126:$J$162,0)))*CPIc*PPPt.w1</f>
        <v>0</v>
      </c>
      <c r="X95" s="1">
        <f>ABS(INDEX(Założenia!$K$126:$K$162,MATCH(X$1,Założenia!$J$126:$J$162,0)))*CPIc*PPPt.w1</f>
        <v>0</v>
      </c>
      <c r="Y95" s="1">
        <f>ABS(INDEX(Założenia!$K$126:$K$162,MATCH(Y$1,Założenia!$J$126:$J$162,0)))*CPIc*PPPt.w1</f>
        <v>0</v>
      </c>
      <c r="Z95" s="1">
        <f>ABS(INDEX(Założenia!$K$126:$K$162,MATCH(Z$1,Założenia!$J$126:$J$162,0)))*CPIc*PPPt.w1</f>
        <v>0</v>
      </c>
      <c r="AA95" s="1">
        <f>ABS(INDEX(Założenia!$K$126:$K$162,MATCH(AA$1,Założenia!$J$126:$J$162,0)))*CPIc*PPPt.w1</f>
        <v>0</v>
      </c>
      <c r="AB95" s="1">
        <f>ABS(INDEX(Założenia!$K$126:$K$162,MATCH(AB$1,Założenia!$J$126:$J$162,0)))*CPIc*PPPt.w1</f>
        <v>0</v>
      </c>
      <c r="AC95" s="1">
        <f>ABS(INDEX(Założenia!$K$126:$K$162,MATCH(AC$1,Założenia!$J$126:$J$162,0)))*CPIc*PPPt.w1</f>
        <v>0</v>
      </c>
      <c r="AD95" s="1">
        <f>ABS(INDEX(Założenia!$K$126:$K$162,MATCH(AD$1,Założenia!$J$126:$J$162,0)))*CPIc*PPPt.w1</f>
        <v>0</v>
      </c>
      <c r="AE95" s="1">
        <f>ABS(INDEX(Założenia!$K$126:$K$162,MATCH(AE$1,Założenia!$J$126:$J$162,0)))*CPIc*PPPt.w1</f>
        <v>0</v>
      </c>
      <c r="AF95" s="1">
        <f>ABS(INDEX(Założenia!$K$126:$K$162,MATCH(AF$1,Założenia!$J$126:$J$162,0)))*CPIc*PPPt.w1</f>
        <v>0</v>
      </c>
      <c r="AG95" s="1">
        <f>ABS(INDEX(Założenia!$K$126:$K$162,MATCH(AG$1,Założenia!$J$126:$J$162,0)))*CPIc*PPPt.w1</f>
        <v>0</v>
      </c>
      <c r="AH95" s="1">
        <f>ABS(INDEX(Założenia!$K$126:$K$162,MATCH(AH$1,Założenia!$J$126:$J$162,0)))*CPIc*PPPt.w1</f>
        <v>0</v>
      </c>
      <c r="AI95" s="1">
        <f>ABS(INDEX(Założenia!$K$126:$K$162,MATCH(AI$1,Założenia!$J$126:$J$162,0)))*CPIc*PPPt.w1</f>
        <v>0</v>
      </c>
      <c r="AJ95" s="1">
        <f>ABS(INDEX(Założenia!$K$126:$K$162,MATCH(AJ$1,Założenia!$J$126:$J$162,0)))*CPIc*PPPt.w1</f>
        <v>0</v>
      </c>
      <c r="AK95" s="1">
        <f>ABS(INDEX(Założenia!$K$126:$K$162,MATCH(AK$1,Założenia!$J$126:$J$162,0)))*CPIc*PPPt.w1</f>
        <v>0</v>
      </c>
      <c r="AL95" s="1">
        <f>ABS(INDEX(Założenia!$K$126:$K$162,MATCH(AL$1,Założenia!$J$126:$J$162,0)))*CPIc*PPPt.w1</f>
        <v>0</v>
      </c>
      <c r="AM95" s="1">
        <f>ABS(INDEX(Założenia!$K$126:$K$162,MATCH(AM$1,Założenia!$J$126:$J$162,0)))*CPIc*PPPt.w1</f>
        <v>0</v>
      </c>
      <c r="AN95" s="1">
        <f>ABS(INDEX(Założenia!$K$126:$K$162,MATCH(AN$1,Założenia!$J$126:$J$162,0)))*CPIc*PPPt.w1</f>
        <v>0</v>
      </c>
      <c r="AO95" s="1">
        <f>ABS(INDEX(Założenia!$K$126:$K$162,MATCH(AO$1,Założenia!$J$126:$J$162,0)))*CPIc*PPPt.w1</f>
        <v>0</v>
      </c>
      <c r="AP95" s="1">
        <f>ABS(INDEX(Założenia!$K$126:$K$162,MATCH(AP$1,Założenia!$J$126:$J$162,0)))*CPIc*PPPt.w1</f>
        <v>0</v>
      </c>
      <c r="AQ95" s="1">
        <f>ABS(INDEX(Założenia!$K$126:$K$162,MATCH(AQ$1,Założenia!$J$126:$J$162,0)))*CPIc*PPPt.w1</f>
        <v>0</v>
      </c>
      <c r="AR95" s="1">
        <f>ABS(INDEX(Założenia!$K$126:$K$162,MATCH(AR$1,Założenia!$J$126:$J$162,0)))*CPIc*PPPt.w1</f>
        <v>0</v>
      </c>
      <c r="AS95" s="1">
        <f>ABS(INDEX(Założenia!$K$126:$K$162,MATCH(AS$1,Założenia!$J$126:$J$162,0)))*CPIc*PPPt.w1</f>
        <v>0</v>
      </c>
      <c r="AT95" s="1">
        <f>ABS(INDEX(Założenia!$K$126:$K$162,MATCH(AT$1,Założenia!$J$126:$J$162,0)))*CPIc*PPPt.w1</f>
        <v>0</v>
      </c>
      <c r="AU95" s="1">
        <f>ABS(INDEX(Założenia!$K$126:$K$162,MATCH(AU$1,Założenia!$J$126:$J$162,0)))*CPIc*PPPt.w1</f>
        <v>0</v>
      </c>
      <c r="AV95" s="1">
        <f>ABS(INDEX(Założenia!$K$126:$K$162,MATCH(AV$1,Założenia!$J$126:$J$162,0)))*CPIc*PPPt.w1</f>
        <v>0</v>
      </c>
      <c r="AW95" s="1">
        <f>ABS(INDEX(Założenia!$K$126:$K$162,MATCH(AW$1,Założenia!$J$126:$J$162,0)))*CPIc*PPPt.w1</f>
        <v>0</v>
      </c>
      <c r="AX95" s="1">
        <f>ABS(INDEX(Założenia!$K$126:$K$162,MATCH(AX$1,Założenia!$J$126:$J$162,0)))*CPIc*PPPt.w1</f>
        <v>0</v>
      </c>
      <c r="AY95" s="1">
        <f>ABS(INDEX(Założenia!$K$126:$K$162,MATCH(AY$1,Założenia!$J$126:$J$162,0)))*CPIc*PPPt.w1</f>
        <v>0</v>
      </c>
      <c r="AZ95" s="1">
        <f>ABS(INDEX(Założenia!$K$126:$K$162,MATCH(AZ$1,Założenia!$J$126:$J$162,0)))*CPIc*PPPt.w1</f>
        <v>0</v>
      </c>
      <c r="BA95" s="1">
        <f>ABS(INDEX(Założenia!$K$126:$K$162,MATCH(BA$1,Założenia!$J$126:$J$162,0)))*CPIc*PPPt.w1</f>
        <v>0</v>
      </c>
    </row>
    <row r="96" spans="1:53" x14ac:dyDescent="0.35">
      <c r="Q96" s="19"/>
      <c r="R96" s="19"/>
      <c r="S96" s="19"/>
      <c r="T96" s="19"/>
      <c r="U96" s="19"/>
    </row>
    <row r="97" spans="1:53" x14ac:dyDescent="0.35">
      <c r="A97" s="155" t="s">
        <v>265</v>
      </c>
      <c r="B97" s="155"/>
      <c r="C97" s="155"/>
      <c r="Q97" s="19"/>
      <c r="R97" s="19"/>
      <c r="S97" s="19"/>
      <c r="T97" s="19"/>
      <c r="U97" s="19"/>
    </row>
    <row r="98" spans="1:53" ht="15" thickBot="1" x14ac:dyDescent="0.4">
      <c r="A98" s="135" t="s">
        <v>206</v>
      </c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  <c r="BA98" s="58"/>
    </row>
    <row r="99" spans="1:53" ht="15" thickTop="1" x14ac:dyDescent="0.35"/>
    <row r="100" spans="1:53" ht="15.75" customHeight="1" x14ac:dyDescent="0.35">
      <c r="A100" s="59" t="s">
        <v>133</v>
      </c>
      <c r="B100" s="59" t="s">
        <v>136</v>
      </c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>
        <f>SUM(Q100:BA100)</f>
        <v>0</v>
      </c>
      <c r="O100" s="59"/>
      <c r="P100" s="59"/>
      <c r="Q100" s="59">
        <f t="shared" ref="Q100:BA100" si="52">SUM(Q102,Q114)</f>
        <v>0</v>
      </c>
      <c r="R100" s="59">
        <f t="shared" si="52"/>
        <v>0</v>
      </c>
      <c r="S100" s="59">
        <f t="shared" si="52"/>
        <v>0</v>
      </c>
      <c r="T100" s="59">
        <f t="shared" si="52"/>
        <v>0</v>
      </c>
      <c r="U100" s="59">
        <f t="shared" si="52"/>
        <v>0</v>
      </c>
      <c r="V100" s="59">
        <f t="shared" si="52"/>
        <v>0</v>
      </c>
      <c r="W100" s="59">
        <f t="shared" si="52"/>
        <v>0</v>
      </c>
      <c r="X100" s="59">
        <f t="shared" si="52"/>
        <v>0</v>
      </c>
      <c r="Y100" s="59">
        <f t="shared" si="52"/>
        <v>0</v>
      </c>
      <c r="Z100" s="59">
        <f t="shared" si="52"/>
        <v>0</v>
      </c>
      <c r="AA100" s="59">
        <f t="shared" si="52"/>
        <v>0</v>
      </c>
      <c r="AB100" s="59">
        <f t="shared" si="52"/>
        <v>0</v>
      </c>
      <c r="AC100" s="59">
        <f t="shared" si="52"/>
        <v>0</v>
      </c>
      <c r="AD100" s="59">
        <f t="shared" si="52"/>
        <v>0</v>
      </c>
      <c r="AE100" s="59">
        <f t="shared" si="52"/>
        <v>0</v>
      </c>
      <c r="AF100" s="59">
        <f t="shared" si="52"/>
        <v>0</v>
      </c>
      <c r="AG100" s="59">
        <f t="shared" si="52"/>
        <v>0</v>
      </c>
      <c r="AH100" s="59">
        <f t="shared" si="52"/>
        <v>0</v>
      </c>
      <c r="AI100" s="59">
        <f t="shared" si="52"/>
        <v>0</v>
      </c>
      <c r="AJ100" s="59">
        <f t="shared" si="52"/>
        <v>0</v>
      </c>
      <c r="AK100" s="59">
        <f t="shared" si="52"/>
        <v>0</v>
      </c>
      <c r="AL100" s="59">
        <f t="shared" si="52"/>
        <v>0</v>
      </c>
      <c r="AM100" s="59">
        <f t="shared" si="52"/>
        <v>0</v>
      </c>
      <c r="AN100" s="59">
        <f t="shared" si="52"/>
        <v>0</v>
      </c>
      <c r="AO100" s="59">
        <f t="shared" si="52"/>
        <v>0</v>
      </c>
      <c r="AP100" s="59">
        <f t="shared" si="52"/>
        <v>0</v>
      </c>
      <c r="AQ100" s="59">
        <f t="shared" si="52"/>
        <v>0</v>
      </c>
      <c r="AR100" s="59">
        <f t="shared" si="52"/>
        <v>0</v>
      </c>
      <c r="AS100" s="59">
        <f t="shared" si="52"/>
        <v>0</v>
      </c>
      <c r="AT100" s="59">
        <f t="shared" si="52"/>
        <v>0</v>
      </c>
      <c r="AU100" s="59">
        <f t="shared" si="52"/>
        <v>0</v>
      </c>
      <c r="AV100" s="59">
        <f t="shared" si="52"/>
        <v>0</v>
      </c>
      <c r="AW100" s="59">
        <f t="shared" si="52"/>
        <v>0</v>
      </c>
      <c r="AX100" s="59">
        <f t="shared" si="52"/>
        <v>0</v>
      </c>
      <c r="AY100" s="59">
        <f t="shared" si="52"/>
        <v>0</v>
      </c>
      <c r="AZ100" s="59">
        <f t="shared" si="52"/>
        <v>0</v>
      </c>
      <c r="BA100" s="59">
        <f t="shared" si="52"/>
        <v>0</v>
      </c>
    </row>
    <row r="101" spans="1:53" ht="12.75" customHeight="1" x14ac:dyDescent="0.35"/>
    <row r="102" spans="1:53" ht="15.75" customHeight="1" x14ac:dyDescent="0.35">
      <c r="A102" s="15"/>
      <c r="B102" s="16" t="s">
        <v>75</v>
      </c>
      <c r="C102" s="16"/>
      <c r="D102" s="16"/>
      <c r="E102" s="16"/>
      <c r="F102" s="16"/>
      <c r="G102" s="16"/>
      <c r="H102" s="16"/>
      <c r="I102" s="16"/>
      <c r="J102" s="16"/>
      <c r="K102" s="16"/>
      <c r="L102" s="3"/>
      <c r="M102" s="3"/>
      <c r="N102" s="4">
        <f t="shared" ref="N102:N112" si="53">SUM(Q102:BA102)</f>
        <v>0</v>
      </c>
      <c r="O102" s="3"/>
      <c r="P102" s="3"/>
      <c r="Q102" s="4">
        <f t="shared" ref="Q102" si="54">SUM(Q103,Q110)</f>
        <v>0</v>
      </c>
      <c r="R102" s="4">
        <f t="shared" ref="R102:BA102" si="55">SUM(R103,R110)</f>
        <v>0</v>
      </c>
      <c r="S102" s="4">
        <f t="shared" si="55"/>
        <v>0</v>
      </c>
      <c r="T102" s="4">
        <f t="shared" si="55"/>
        <v>0</v>
      </c>
      <c r="U102" s="4">
        <f t="shared" si="55"/>
        <v>0</v>
      </c>
      <c r="V102" s="4">
        <f t="shared" si="55"/>
        <v>0</v>
      </c>
      <c r="W102" s="4">
        <f t="shared" si="55"/>
        <v>0</v>
      </c>
      <c r="X102" s="4">
        <f t="shared" si="55"/>
        <v>0</v>
      </c>
      <c r="Y102" s="4">
        <f t="shared" si="55"/>
        <v>0</v>
      </c>
      <c r="Z102" s="4">
        <f t="shared" si="55"/>
        <v>0</v>
      </c>
      <c r="AA102" s="4">
        <f t="shared" si="55"/>
        <v>0</v>
      </c>
      <c r="AB102" s="4">
        <f t="shared" si="55"/>
        <v>0</v>
      </c>
      <c r="AC102" s="4">
        <f t="shared" si="55"/>
        <v>0</v>
      </c>
      <c r="AD102" s="4">
        <f t="shared" si="55"/>
        <v>0</v>
      </c>
      <c r="AE102" s="4">
        <f t="shared" si="55"/>
        <v>0</v>
      </c>
      <c r="AF102" s="4">
        <f t="shared" si="55"/>
        <v>0</v>
      </c>
      <c r="AG102" s="4">
        <f t="shared" si="55"/>
        <v>0</v>
      </c>
      <c r="AH102" s="4">
        <f t="shared" si="55"/>
        <v>0</v>
      </c>
      <c r="AI102" s="4">
        <f t="shared" si="55"/>
        <v>0</v>
      </c>
      <c r="AJ102" s="4">
        <f t="shared" si="55"/>
        <v>0</v>
      </c>
      <c r="AK102" s="4">
        <f t="shared" si="55"/>
        <v>0</v>
      </c>
      <c r="AL102" s="4">
        <f t="shared" si="55"/>
        <v>0</v>
      </c>
      <c r="AM102" s="4">
        <f t="shared" si="55"/>
        <v>0</v>
      </c>
      <c r="AN102" s="4">
        <f t="shared" si="55"/>
        <v>0</v>
      </c>
      <c r="AO102" s="4">
        <f t="shared" si="55"/>
        <v>0</v>
      </c>
      <c r="AP102" s="4">
        <f t="shared" si="55"/>
        <v>0</v>
      </c>
      <c r="AQ102" s="4">
        <f t="shared" si="55"/>
        <v>0</v>
      </c>
      <c r="AR102" s="4">
        <f t="shared" si="55"/>
        <v>0</v>
      </c>
      <c r="AS102" s="4">
        <f t="shared" si="55"/>
        <v>0</v>
      </c>
      <c r="AT102" s="4">
        <f t="shared" si="55"/>
        <v>0</v>
      </c>
      <c r="AU102" s="4">
        <f t="shared" si="55"/>
        <v>0</v>
      </c>
      <c r="AV102" s="4">
        <f t="shared" si="55"/>
        <v>0</v>
      </c>
      <c r="AW102" s="4">
        <f t="shared" si="55"/>
        <v>0</v>
      </c>
      <c r="AX102" s="4">
        <f t="shared" si="55"/>
        <v>0</v>
      </c>
      <c r="AY102" s="4">
        <f t="shared" si="55"/>
        <v>0</v>
      </c>
      <c r="AZ102" s="4">
        <f t="shared" si="55"/>
        <v>0</v>
      </c>
      <c r="BA102" s="73">
        <f t="shared" si="55"/>
        <v>0</v>
      </c>
    </row>
    <row r="103" spans="1:53" ht="15.75" customHeight="1" x14ac:dyDescent="0.35">
      <c r="A103" s="5"/>
      <c r="B103" s="5"/>
      <c r="C103" s="5" t="s">
        <v>156</v>
      </c>
      <c r="E103" s="5"/>
      <c r="F103" s="5"/>
      <c r="G103" s="5"/>
      <c r="H103" s="5"/>
      <c r="I103" s="5"/>
      <c r="J103" s="5"/>
      <c r="K103" s="5"/>
      <c r="N103" s="1">
        <f t="shared" si="53"/>
        <v>0</v>
      </c>
      <c r="Q103" s="1">
        <f t="shared" ref="Q103" si="56">SUM(Q104:Q109)</f>
        <v>0</v>
      </c>
      <c r="R103" s="1">
        <f t="shared" ref="R103:BA103" si="57">SUM(R104:R109)</f>
        <v>0</v>
      </c>
      <c r="S103" s="1">
        <f t="shared" si="57"/>
        <v>0</v>
      </c>
      <c r="T103" s="1">
        <f t="shared" si="57"/>
        <v>0</v>
      </c>
      <c r="U103" s="1">
        <f t="shared" si="57"/>
        <v>0</v>
      </c>
      <c r="V103" s="1">
        <f t="shared" si="57"/>
        <v>0</v>
      </c>
      <c r="W103" s="1">
        <f t="shared" si="57"/>
        <v>0</v>
      </c>
      <c r="X103" s="1">
        <f t="shared" si="57"/>
        <v>0</v>
      </c>
      <c r="Y103" s="1">
        <f t="shared" si="57"/>
        <v>0</v>
      </c>
      <c r="Z103" s="1">
        <f t="shared" si="57"/>
        <v>0</v>
      </c>
      <c r="AA103" s="1">
        <f t="shared" si="57"/>
        <v>0</v>
      </c>
      <c r="AB103" s="1">
        <f t="shared" si="57"/>
        <v>0</v>
      </c>
      <c r="AC103" s="1">
        <f t="shared" si="57"/>
        <v>0</v>
      </c>
      <c r="AD103" s="1">
        <f t="shared" si="57"/>
        <v>0</v>
      </c>
      <c r="AE103" s="1">
        <f t="shared" si="57"/>
        <v>0</v>
      </c>
      <c r="AF103" s="1">
        <f t="shared" si="57"/>
        <v>0</v>
      </c>
      <c r="AG103" s="1">
        <f t="shared" si="57"/>
        <v>0</v>
      </c>
      <c r="AH103" s="1">
        <f t="shared" si="57"/>
        <v>0</v>
      </c>
      <c r="AI103" s="1">
        <f t="shared" si="57"/>
        <v>0</v>
      </c>
      <c r="AJ103" s="1">
        <f t="shared" si="57"/>
        <v>0</v>
      </c>
      <c r="AK103" s="1">
        <f t="shared" si="57"/>
        <v>0</v>
      </c>
      <c r="AL103" s="1">
        <f t="shared" si="57"/>
        <v>0</v>
      </c>
      <c r="AM103" s="1">
        <f t="shared" si="57"/>
        <v>0</v>
      </c>
      <c r="AN103" s="1">
        <f t="shared" si="57"/>
        <v>0</v>
      </c>
      <c r="AO103" s="1">
        <f t="shared" si="57"/>
        <v>0</v>
      </c>
      <c r="AP103" s="1">
        <f t="shared" si="57"/>
        <v>0</v>
      </c>
      <c r="AQ103" s="1">
        <f t="shared" si="57"/>
        <v>0</v>
      </c>
      <c r="AR103" s="1">
        <f t="shared" si="57"/>
        <v>0</v>
      </c>
      <c r="AS103" s="1">
        <f t="shared" si="57"/>
        <v>0</v>
      </c>
      <c r="AT103" s="1">
        <f t="shared" si="57"/>
        <v>0</v>
      </c>
      <c r="AU103" s="1">
        <f t="shared" si="57"/>
        <v>0</v>
      </c>
      <c r="AV103" s="1">
        <f t="shared" si="57"/>
        <v>0</v>
      </c>
      <c r="AW103" s="1">
        <f t="shared" si="57"/>
        <v>0</v>
      </c>
      <c r="AX103" s="1">
        <f t="shared" si="57"/>
        <v>0</v>
      </c>
      <c r="AY103" s="1">
        <f t="shared" si="57"/>
        <v>0</v>
      </c>
      <c r="AZ103" s="1">
        <f t="shared" si="57"/>
        <v>0</v>
      </c>
      <c r="BA103" s="74">
        <f t="shared" si="57"/>
        <v>0</v>
      </c>
    </row>
    <row r="104" spans="1:53" ht="15.75" customHeight="1" x14ac:dyDescent="0.35">
      <c r="A104" s="5"/>
      <c r="B104" s="5"/>
      <c r="C104" s="5"/>
      <c r="D104" s="5" t="s">
        <v>99</v>
      </c>
      <c r="E104" s="5"/>
      <c r="F104" s="5"/>
      <c r="G104" s="5"/>
      <c r="H104" s="5"/>
      <c r="I104" s="5"/>
      <c r="J104" s="5"/>
      <c r="K104" s="5"/>
      <c r="N104" s="11">
        <f t="shared" si="53"/>
        <v>0</v>
      </c>
      <c r="Q104" s="11">
        <f>'Wariant 2'!Q$90</f>
        <v>0</v>
      </c>
      <c r="R104" s="11">
        <f>'Wariant 2'!R$90</f>
        <v>0</v>
      </c>
      <c r="S104" s="11">
        <f>'Wariant 2'!S$90</f>
        <v>0</v>
      </c>
      <c r="T104" s="11">
        <f>'Wariant 2'!T$90</f>
        <v>0</v>
      </c>
      <c r="U104" s="11">
        <f>'Wariant 2'!U$90</f>
        <v>0</v>
      </c>
      <c r="V104" s="11">
        <f>'Wariant 2'!V$90</f>
        <v>0</v>
      </c>
      <c r="W104" s="11">
        <f>'Wariant 2'!W$90</f>
        <v>0</v>
      </c>
      <c r="X104" s="11">
        <f>'Wariant 2'!X$90</f>
        <v>0</v>
      </c>
      <c r="Y104" s="11">
        <f>'Wariant 2'!Y$90</f>
        <v>0</v>
      </c>
      <c r="Z104" s="11">
        <f>'Wariant 2'!Z$90</f>
        <v>0</v>
      </c>
      <c r="AA104" s="11">
        <f>'Wariant 2'!AA$90</f>
        <v>0</v>
      </c>
      <c r="AB104" s="11">
        <f>'Wariant 2'!AB$90</f>
        <v>0</v>
      </c>
      <c r="AC104" s="11">
        <f>'Wariant 2'!AC$90</f>
        <v>0</v>
      </c>
      <c r="AD104" s="11">
        <f>'Wariant 2'!AD$90</f>
        <v>0</v>
      </c>
      <c r="AE104" s="11">
        <f>'Wariant 2'!AE$90</f>
        <v>0</v>
      </c>
      <c r="AF104" s="11">
        <f>'Wariant 2'!AF$90</f>
        <v>0</v>
      </c>
      <c r="AG104" s="11">
        <f>'Wariant 2'!AG$90</f>
        <v>0</v>
      </c>
      <c r="AH104" s="11">
        <f>'Wariant 2'!AH$90</f>
        <v>0</v>
      </c>
      <c r="AI104" s="11">
        <f>'Wariant 2'!AI$90</f>
        <v>0</v>
      </c>
      <c r="AJ104" s="11">
        <f>'Wariant 2'!AJ$90</f>
        <v>0</v>
      </c>
      <c r="AK104" s="11">
        <f>'Wariant 2'!AK$90</f>
        <v>0</v>
      </c>
      <c r="AL104" s="11">
        <f>'Wariant 2'!AL$90</f>
        <v>0</v>
      </c>
      <c r="AM104" s="11">
        <f>'Wariant 2'!AM$90</f>
        <v>0</v>
      </c>
      <c r="AN104" s="11">
        <f>'Wariant 2'!AN$90</f>
        <v>0</v>
      </c>
      <c r="AO104" s="11">
        <f>'Wariant 2'!AO$90</f>
        <v>0</v>
      </c>
      <c r="AP104" s="11">
        <f>'Wariant 2'!AP$90</f>
        <v>0</v>
      </c>
      <c r="AQ104" s="11">
        <f>'Wariant 2'!AQ$90</f>
        <v>0</v>
      </c>
      <c r="AR104" s="11">
        <f>'Wariant 2'!AR$90</f>
        <v>0</v>
      </c>
      <c r="AS104" s="11">
        <f>'Wariant 2'!AS$90</f>
        <v>0</v>
      </c>
      <c r="AT104" s="11">
        <f>'Wariant 2'!AT$90</f>
        <v>0</v>
      </c>
      <c r="AU104" s="11">
        <f>'Wariant 2'!AU$90</f>
        <v>0</v>
      </c>
      <c r="AV104" s="11">
        <f>'Wariant 2'!AV$90</f>
        <v>0</v>
      </c>
      <c r="AW104" s="11">
        <f>'Wariant 2'!AW$90</f>
        <v>0</v>
      </c>
      <c r="AX104" s="11">
        <f>'Wariant 2'!AX$90</f>
        <v>0</v>
      </c>
      <c r="AY104" s="11">
        <f>'Wariant 2'!AY$90</f>
        <v>0</v>
      </c>
      <c r="AZ104" s="11">
        <f>'Wariant 2'!AZ$90</f>
        <v>0</v>
      </c>
      <c r="BA104" s="11">
        <f>'Wariant 2'!BA$90</f>
        <v>0</v>
      </c>
    </row>
    <row r="105" spans="1:53" ht="15.75" customHeight="1" x14ac:dyDescent="0.35">
      <c r="A105" s="5"/>
      <c r="B105" s="5"/>
      <c r="C105" s="5"/>
      <c r="D105" s="5" t="s">
        <v>100</v>
      </c>
      <c r="E105" s="5"/>
      <c r="F105" s="5"/>
      <c r="G105" s="5"/>
      <c r="H105" s="5"/>
      <c r="I105" s="5"/>
      <c r="J105" s="5"/>
      <c r="K105" s="5"/>
      <c r="N105" s="11">
        <f t="shared" si="53"/>
        <v>0</v>
      </c>
      <c r="Q105" s="11">
        <f>'Wariant 2'!Q$91</f>
        <v>0</v>
      </c>
      <c r="R105" s="11">
        <f>'Wariant 2'!R$91</f>
        <v>0</v>
      </c>
      <c r="S105" s="11">
        <f>'Wariant 2'!S$91</f>
        <v>0</v>
      </c>
      <c r="T105" s="11">
        <f>'Wariant 2'!T$91</f>
        <v>0</v>
      </c>
      <c r="U105" s="11">
        <f>'Wariant 2'!U$91</f>
        <v>0</v>
      </c>
      <c r="V105" s="11">
        <f>'Wariant 2'!V$91</f>
        <v>0</v>
      </c>
      <c r="W105" s="11">
        <f>'Wariant 2'!W$91</f>
        <v>0</v>
      </c>
      <c r="X105" s="11">
        <f>'Wariant 2'!X$91</f>
        <v>0</v>
      </c>
      <c r="Y105" s="11">
        <f>'Wariant 2'!Y$91</f>
        <v>0</v>
      </c>
      <c r="Z105" s="11">
        <f>'Wariant 2'!Z$91</f>
        <v>0</v>
      </c>
      <c r="AA105" s="11">
        <f>'Wariant 2'!AA$91</f>
        <v>0</v>
      </c>
      <c r="AB105" s="11">
        <f>'Wariant 2'!AB$91</f>
        <v>0</v>
      </c>
      <c r="AC105" s="11">
        <f>'Wariant 2'!AC$91</f>
        <v>0</v>
      </c>
      <c r="AD105" s="11">
        <f>'Wariant 2'!AD$91</f>
        <v>0</v>
      </c>
      <c r="AE105" s="11">
        <f>'Wariant 2'!AE$91</f>
        <v>0</v>
      </c>
      <c r="AF105" s="11">
        <f>'Wariant 2'!AF$91</f>
        <v>0</v>
      </c>
      <c r="AG105" s="11">
        <f>'Wariant 2'!AG$91</f>
        <v>0</v>
      </c>
      <c r="AH105" s="11">
        <f>'Wariant 2'!AH$91</f>
        <v>0</v>
      </c>
      <c r="AI105" s="11">
        <f>'Wariant 2'!AI$91</f>
        <v>0</v>
      </c>
      <c r="AJ105" s="11">
        <f>'Wariant 2'!AJ$91</f>
        <v>0</v>
      </c>
      <c r="AK105" s="11">
        <f>'Wariant 2'!AK$91</f>
        <v>0</v>
      </c>
      <c r="AL105" s="11">
        <f>'Wariant 2'!AL$91</f>
        <v>0</v>
      </c>
      <c r="AM105" s="11">
        <f>'Wariant 2'!AM$91</f>
        <v>0</v>
      </c>
      <c r="AN105" s="11">
        <f>'Wariant 2'!AN$91</f>
        <v>0</v>
      </c>
      <c r="AO105" s="11">
        <f>'Wariant 2'!AO$91</f>
        <v>0</v>
      </c>
      <c r="AP105" s="11">
        <f>'Wariant 2'!AP$91</f>
        <v>0</v>
      </c>
      <c r="AQ105" s="11">
        <f>'Wariant 2'!AQ$91</f>
        <v>0</v>
      </c>
      <c r="AR105" s="11">
        <f>'Wariant 2'!AR$91</f>
        <v>0</v>
      </c>
      <c r="AS105" s="11">
        <f>'Wariant 2'!AS$91</f>
        <v>0</v>
      </c>
      <c r="AT105" s="11">
        <f>'Wariant 2'!AT$91</f>
        <v>0</v>
      </c>
      <c r="AU105" s="11">
        <f>'Wariant 2'!AU$91</f>
        <v>0</v>
      </c>
      <c r="AV105" s="11">
        <f>'Wariant 2'!AV$91</f>
        <v>0</v>
      </c>
      <c r="AW105" s="11">
        <f>'Wariant 2'!AW$91</f>
        <v>0</v>
      </c>
      <c r="AX105" s="11">
        <f>'Wariant 2'!AX$91</f>
        <v>0</v>
      </c>
      <c r="AY105" s="11">
        <f>'Wariant 2'!AY$91</f>
        <v>0</v>
      </c>
      <c r="AZ105" s="11">
        <f>'Wariant 2'!AZ$91</f>
        <v>0</v>
      </c>
      <c r="BA105" s="11">
        <f>'Wariant 2'!BA$91</f>
        <v>0</v>
      </c>
    </row>
    <row r="106" spans="1:53" ht="15.75" customHeight="1" x14ac:dyDescent="0.35">
      <c r="A106" s="5"/>
      <c r="B106" s="5"/>
      <c r="C106" s="5"/>
      <c r="D106" s="5" t="s">
        <v>66</v>
      </c>
      <c r="E106" s="5"/>
      <c r="F106" s="5"/>
      <c r="G106" s="5"/>
      <c r="H106" s="5"/>
      <c r="I106" s="5"/>
      <c r="J106" s="5"/>
      <c r="K106" s="5"/>
      <c r="N106" s="11">
        <f t="shared" si="53"/>
        <v>0</v>
      </c>
      <c r="Q106" s="11">
        <f>'Wariant 2'!Q$92</f>
        <v>0</v>
      </c>
      <c r="R106" s="11">
        <f>'Wariant 2'!R$92</f>
        <v>0</v>
      </c>
      <c r="S106" s="11">
        <f>'Wariant 2'!S$92</f>
        <v>0</v>
      </c>
      <c r="T106" s="11">
        <f>'Wariant 2'!T$92</f>
        <v>0</v>
      </c>
      <c r="U106" s="11">
        <f>'Wariant 2'!U$92</f>
        <v>0</v>
      </c>
      <c r="V106" s="11">
        <f>'Wariant 2'!V$92</f>
        <v>0</v>
      </c>
      <c r="W106" s="11">
        <f>'Wariant 2'!W$92</f>
        <v>0</v>
      </c>
      <c r="X106" s="11">
        <f>'Wariant 2'!X$92</f>
        <v>0</v>
      </c>
      <c r="Y106" s="11">
        <f>'Wariant 2'!Y$92</f>
        <v>0</v>
      </c>
      <c r="Z106" s="11">
        <f>'Wariant 2'!Z$92</f>
        <v>0</v>
      </c>
      <c r="AA106" s="11">
        <f>'Wariant 2'!AA$92</f>
        <v>0</v>
      </c>
      <c r="AB106" s="11">
        <f>'Wariant 2'!AB$92</f>
        <v>0</v>
      </c>
      <c r="AC106" s="11">
        <f>'Wariant 2'!AC$92</f>
        <v>0</v>
      </c>
      <c r="AD106" s="11">
        <f>'Wariant 2'!AD$92</f>
        <v>0</v>
      </c>
      <c r="AE106" s="11">
        <f>'Wariant 2'!AE$92</f>
        <v>0</v>
      </c>
      <c r="AF106" s="11">
        <f>'Wariant 2'!AF$92</f>
        <v>0</v>
      </c>
      <c r="AG106" s="11">
        <f>'Wariant 2'!AG$92</f>
        <v>0</v>
      </c>
      <c r="AH106" s="11">
        <f>'Wariant 2'!AH$92</f>
        <v>0</v>
      </c>
      <c r="AI106" s="11">
        <f>'Wariant 2'!AI$92</f>
        <v>0</v>
      </c>
      <c r="AJ106" s="11">
        <f>'Wariant 2'!AJ$92</f>
        <v>0</v>
      </c>
      <c r="AK106" s="11">
        <f>'Wariant 2'!AK$92</f>
        <v>0</v>
      </c>
      <c r="AL106" s="11">
        <f>'Wariant 2'!AL$92</f>
        <v>0</v>
      </c>
      <c r="AM106" s="11">
        <f>'Wariant 2'!AM$92</f>
        <v>0</v>
      </c>
      <c r="AN106" s="11">
        <f>'Wariant 2'!AN$92</f>
        <v>0</v>
      </c>
      <c r="AO106" s="11">
        <f>'Wariant 2'!AO$92</f>
        <v>0</v>
      </c>
      <c r="AP106" s="11">
        <f>'Wariant 2'!AP$92</f>
        <v>0</v>
      </c>
      <c r="AQ106" s="11">
        <f>'Wariant 2'!AQ$92</f>
        <v>0</v>
      </c>
      <c r="AR106" s="11">
        <f>'Wariant 2'!AR$92</f>
        <v>0</v>
      </c>
      <c r="AS106" s="11">
        <f>'Wariant 2'!AS$92</f>
        <v>0</v>
      </c>
      <c r="AT106" s="11">
        <f>'Wariant 2'!AT$92</f>
        <v>0</v>
      </c>
      <c r="AU106" s="11">
        <f>'Wariant 2'!AU$92</f>
        <v>0</v>
      </c>
      <c r="AV106" s="11">
        <f>'Wariant 2'!AV$92</f>
        <v>0</v>
      </c>
      <c r="AW106" s="11">
        <f>'Wariant 2'!AW$92</f>
        <v>0</v>
      </c>
      <c r="AX106" s="11">
        <f>'Wariant 2'!AX$92</f>
        <v>0</v>
      </c>
      <c r="AY106" s="11">
        <f>'Wariant 2'!AY$92</f>
        <v>0</v>
      </c>
      <c r="AZ106" s="11">
        <f>'Wariant 2'!AZ$92</f>
        <v>0</v>
      </c>
      <c r="BA106" s="11">
        <f>'Wariant 2'!BA$92</f>
        <v>0</v>
      </c>
    </row>
    <row r="107" spans="1:53" ht="15.75" customHeight="1" x14ac:dyDescent="0.35">
      <c r="A107" s="5"/>
      <c r="B107" s="5"/>
      <c r="C107" s="5"/>
      <c r="D107" s="5" t="s">
        <v>72</v>
      </c>
      <c r="E107" s="5"/>
      <c r="F107" s="5"/>
      <c r="G107" s="5"/>
      <c r="H107" s="5"/>
      <c r="I107" s="5"/>
      <c r="J107" s="5"/>
      <c r="K107" s="5"/>
      <c r="N107" s="11">
        <f t="shared" si="53"/>
        <v>0</v>
      </c>
      <c r="Q107" s="11">
        <f>'Wariant 2'!Q$93</f>
        <v>0</v>
      </c>
      <c r="R107" s="11">
        <f>'Wariant 2'!R$93</f>
        <v>0</v>
      </c>
      <c r="S107" s="11">
        <f>'Wariant 2'!S$93</f>
        <v>0</v>
      </c>
      <c r="T107" s="11">
        <f>'Wariant 2'!T$93</f>
        <v>0</v>
      </c>
      <c r="U107" s="11">
        <f>'Wariant 2'!U$93</f>
        <v>0</v>
      </c>
      <c r="V107" s="11">
        <f>'Wariant 2'!V$93</f>
        <v>0</v>
      </c>
      <c r="W107" s="11">
        <f>'Wariant 2'!W$93</f>
        <v>0</v>
      </c>
      <c r="X107" s="11">
        <f>'Wariant 2'!X$93</f>
        <v>0</v>
      </c>
      <c r="Y107" s="11">
        <f>'Wariant 2'!Y$93</f>
        <v>0</v>
      </c>
      <c r="Z107" s="11">
        <f>'Wariant 2'!Z$93</f>
        <v>0</v>
      </c>
      <c r="AA107" s="11">
        <f>'Wariant 2'!AA$93</f>
        <v>0</v>
      </c>
      <c r="AB107" s="11">
        <f>'Wariant 2'!AB$93</f>
        <v>0</v>
      </c>
      <c r="AC107" s="11">
        <f>'Wariant 2'!AC$93</f>
        <v>0</v>
      </c>
      <c r="AD107" s="11">
        <f>'Wariant 2'!AD$93</f>
        <v>0</v>
      </c>
      <c r="AE107" s="11">
        <f>'Wariant 2'!AE$93</f>
        <v>0</v>
      </c>
      <c r="AF107" s="11">
        <f>'Wariant 2'!AF$93</f>
        <v>0</v>
      </c>
      <c r="AG107" s="11">
        <f>'Wariant 2'!AG$93</f>
        <v>0</v>
      </c>
      <c r="AH107" s="11">
        <f>'Wariant 2'!AH$93</f>
        <v>0</v>
      </c>
      <c r="AI107" s="11">
        <f>'Wariant 2'!AI$93</f>
        <v>0</v>
      </c>
      <c r="AJ107" s="11">
        <f>'Wariant 2'!AJ$93</f>
        <v>0</v>
      </c>
      <c r="AK107" s="11">
        <f>'Wariant 2'!AK$93</f>
        <v>0</v>
      </c>
      <c r="AL107" s="11">
        <f>'Wariant 2'!AL$93</f>
        <v>0</v>
      </c>
      <c r="AM107" s="11">
        <f>'Wariant 2'!AM$93</f>
        <v>0</v>
      </c>
      <c r="AN107" s="11">
        <f>'Wariant 2'!AN$93</f>
        <v>0</v>
      </c>
      <c r="AO107" s="11">
        <f>'Wariant 2'!AO$93</f>
        <v>0</v>
      </c>
      <c r="AP107" s="11">
        <f>'Wariant 2'!AP$93</f>
        <v>0</v>
      </c>
      <c r="AQ107" s="11">
        <f>'Wariant 2'!AQ$93</f>
        <v>0</v>
      </c>
      <c r="AR107" s="11">
        <f>'Wariant 2'!AR$93</f>
        <v>0</v>
      </c>
      <c r="AS107" s="11">
        <f>'Wariant 2'!AS$93</f>
        <v>0</v>
      </c>
      <c r="AT107" s="11">
        <f>'Wariant 2'!AT$93</f>
        <v>0</v>
      </c>
      <c r="AU107" s="11">
        <f>'Wariant 2'!AU$93</f>
        <v>0</v>
      </c>
      <c r="AV107" s="11">
        <f>'Wariant 2'!AV$93</f>
        <v>0</v>
      </c>
      <c r="AW107" s="11">
        <f>'Wariant 2'!AW$93</f>
        <v>0</v>
      </c>
      <c r="AX107" s="11">
        <f>'Wariant 2'!AX$93</f>
        <v>0</v>
      </c>
      <c r="AY107" s="11">
        <f>'Wariant 2'!AY$93</f>
        <v>0</v>
      </c>
      <c r="AZ107" s="11">
        <f>'Wariant 2'!AZ$93</f>
        <v>0</v>
      </c>
      <c r="BA107" s="11">
        <f>'Wariant 2'!BA$93</f>
        <v>0</v>
      </c>
    </row>
    <row r="108" spans="1:53" ht="15.75" customHeight="1" x14ac:dyDescent="0.35">
      <c r="A108" s="5"/>
      <c r="B108" s="5"/>
      <c r="C108" s="5"/>
      <c r="D108" s="5" t="s">
        <v>50</v>
      </c>
      <c r="E108" s="5"/>
      <c r="F108" s="5"/>
      <c r="G108" s="5"/>
      <c r="H108" s="5"/>
      <c r="I108" s="5"/>
      <c r="J108" s="5"/>
      <c r="K108" s="5"/>
      <c r="N108" s="11">
        <f t="shared" si="53"/>
        <v>0</v>
      </c>
      <c r="Q108" s="11">
        <f>'Wariant 2'!Q$94</f>
        <v>0</v>
      </c>
      <c r="R108" s="11">
        <f>'Wariant 2'!R$94</f>
        <v>0</v>
      </c>
      <c r="S108" s="11">
        <f>'Wariant 2'!S$94</f>
        <v>0</v>
      </c>
      <c r="T108" s="11">
        <f>'Wariant 2'!T$94</f>
        <v>0</v>
      </c>
      <c r="U108" s="11">
        <f>'Wariant 2'!U$94</f>
        <v>0</v>
      </c>
      <c r="V108" s="11">
        <f>'Wariant 2'!V$94</f>
        <v>0</v>
      </c>
      <c r="W108" s="11">
        <f>'Wariant 2'!W$94</f>
        <v>0</v>
      </c>
      <c r="X108" s="11">
        <f>'Wariant 2'!X$94</f>
        <v>0</v>
      </c>
      <c r="Y108" s="11">
        <f>'Wariant 2'!Y$94</f>
        <v>0</v>
      </c>
      <c r="Z108" s="11">
        <f>'Wariant 2'!Z$94</f>
        <v>0</v>
      </c>
      <c r="AA108" s="11">
        <f>'Wariant 2'!AA$94</f>
        <v>0</v>
      </c>
      <c r="AB108" s="11">
        <f>'Wariant 2'!AB$94</f>
        <v>0</v>
      </c>
      <c r="AC108" s="11">
        <f>'Wariant 2'!AC$94</f>
        <v>0</v>
      </c>
      <c r="AD108" s="11">
        <f>'Wariant 2'!AD$94</f>
        <v>0</v>
      </c>
      <c r="AE108" s="11">
        <f>'Wariant 2'!AE$94</f>
        <v>0</v>
      </c>
      <c r="AF108" s="11">
        <f>'Wariant 2'!AF$94</f>
        <v>0</v>
      </c>
      <c r="AG108" s="11">
        <f>'Wariant 2'!AG$94</f>
        <v>0</v>
      </c>
      <c r="AH108" s="11">
        <f>'Wariant 2'!AH$94</f>
        <v>0</v>
      </c>
      <c r="AI108" s="11">
        <f>'Wariant 2'!AI$94</f>
        <v>0</v>
      </c>
      <c r="AJ108" s="11">
        <f>'Wariant 2'!AJ$94</f>
        <v>0</v>
      </c>
      <c r="AK108" s="11">
        <f>'Wariant 2'!AK$94</f>
        <v>0</v>
      </c>
      <c r="AL108" s="11">
        <f>'Wariant 2'!AL$94</f>
        <v>0</v>
      </c>
      <c r="AM108" s="11">
        <f>'Wariant 2'!AM$94</f>
        <v>0</v>
      </c>
      <c r="AN108" s="11">
        <f>'Wariant 2'!AN$94</f>
        <v>0</v>
      </c>
      <c r="AO108" s="11">
        <f>'Wariant 2'!AO$94</f>
        <v>0</v>
      </c>
      <c r="AP108" s="11">
        <f>'Wariant 2'!AP$94</f>
        <v>0</v>
      </c>
      <c r="AQ108" s="11">
        <f>'Wariant 2'!AQ$94</f>
        <v>0</v>
      </c>
      <c r="AR108" s="11">
        <f>'Wariant 2'!AR$94</f>
        <v>0</v>
      </c>
      <c r="AS108" s="11">
        <f>'Wariant 2'!AS$94</f>
        <v>0</v>
      </c>
      <c r="AT108" s="11">
        <f>'Wariant 2'!AT$94</f>
        <v>0</v>
      </c>
      <c r="AU108" s="11">
        <f>'Wariant 2'!AU$94</f>
        <v>0</v>
      </c>
      <c r="AV108" s="11">
        <f>'Wariant 2'!AV$94</f>
        <v>0</v>
      </c>
      <c r="AW108" s="11">
        <f>'Wariant 2'!AW$94</f>
        <v>0</v>
      </c>
      <c r="AX108" s="11">
        <f>'Wariant 2'!AX$94</f>
        <v>0</v>
      </c>
      <c r="AY108" s="11">
        <f>'Wariant 2'!AY$94</f>
        <v>0</v>
      </c>
      <c r="AZ108" s="11">
        <f>'Wariant 2'!AZ$94</f>
        <v>0</v>
      </c>
      <c r="BA108" s="11">
        <f>'Wariant 2'!BA$94</f>
        <v>0</v>
      </c>
    </row>
    <row r="109" spans="1:53" ht="15.75" customHeight="1" x14ac:dyDescent="0.35">
      <c r="A109" s="5"/>
      <c r="B109" s="5"/>
      <c r="C109" s="5"/>
      <c r="D109" s="5" t="s">
        <v>33</v>
      </c>
      <c r="E109" s="5"/>
      <c r="F109" s="5"/>
      <c r="G109" s="5"/>
      <c r="H109" s="5"/>
      <c r="I109" s="5"/>
      <c r="J109" s="5"/>
      <c r="K109" s="5"/>
      <c r="N109" s="11">
        <f t="shared" si="53"/>
        <v>0</v>
      </c>
      <c r="Q109" s="11">
        <f>'Wariant 2'!Q$102</f>
        <v>0</v>
      </c>
      <c r="R109" s="11">
        <f>'Wariant 2'!R$102</f>
        <v>0</v>
      </c>
      <c r="S109" s="11">
        <f>'Wariant 2'!S$102</f>
        <v>0</v>
      </c>
      <c r="T109" s="11">
        <f>'Wariant 2'!T$102</f>
        <v>0</v>
      </c>
      <c r="U109" s="11">
        <f>'Wariant 2'!U$102</f>
        <v>0</v>
      </c>
      <c r="V109" s="11">
        <f>'Wariant 2'!V$102</f>
        <v>0</v>
      </c>
      <c r="W109" s="11">
        <f>'Wariant 2'!W$102</f>
        <v>0</v>
      </c>
      <c r="X109" s="11">
        <f>'Wariant 2'!X$102</f>
        <v>0</v>
      </c>
      <c r="Y109" s="11">
        <f>'Wariant 2'!Y$102</f>
        <v>0</v>
      </c>
      <c r="Z109" s="11">
        <f>'Wariant 2'!Z$102</f>
        <v>0</v>
      </c>
      <c r="AA109" s="11">
        <f>'Wariant 2'!AA$102</f>
        <v>0</v>
      </c>
      <c r="AB109" s="11">
        <f>'Wariant 2'!AB$102</f>
        <v>0</v>
      </c>
      <c r="AC109" s="11">
        <f>'Wariant 2'!AC$102</f>
        <v>0</v>
      </c>
      <c r="AD109" s="11">
        <f>'Wariant 2'!AD$102</f>
        <v>0</v>
      </c>
      <c r="AE109" s="11">
        <f>'Wariant 2'!AE$102</f>
        <v>0</v>
      </c>
      <c r="AF109" s="11">
        <f>'Wariant 2'!AF$102</f>
        <v>0</v>
      </c>
      <c r="AG109" s="11">
        <f>'Wariant 2'!AG$102</f>
        <v>0</v>
      </c>
      <c r="AH109" s="11">
        <f>'Wariant 2'!AH$102</f>
        <v>0</v>
      </c>
      <c r="AI109" s="11">
        <f>'Wariant 2'!AI$102</f>
        <v>0</v>
      </c>
      <c r="AJ109" s="11">
        <f>'Wariant 2'!AJ$102</f>
        <v>0</v>
      </c>
      <c r="AK109" s="11">
        <f>'Wariant 2'!AK$102</f>
        <v>0</v>
      </c>
      <c r="AL109" s="11">
        <f>'Wariant 2'!AL$102</f>
        <v>0</v>
      </c>
      <c r="AM109" s="11">
        <f>'Wariant 2'!AM$102</f>
        <v>0</v>
      </c>
      <c r="AN109" s="11">
        <f>'Wariant 2'!AN$102</f>
        <v>0</v>
      </c>
      <c r="AO109" s="11">
        <f>'Wariant 2'!AO$102</f>
        <v>0</v>
      </c>
      <c r="AP109" s="11">
        <f>'Wariant 2'!AP$102</f>
        <v>0</v>
      </c>
      <c r="AQ109" s="11">
        <f>'Wariant 2'!AQ$102</f>
        <v>0</v>
      </c>
      <c r="AR109" s="11">
        <f>'Wariant 2'!AR$102</f>
        <v>0</v>
      </c>
      <c r="AS109" s="11">
        <f>'Wariant 2'!AS$102</f>
        <v>0</v>
      </c>
      <c r="AT109" s="11">
        <f>'Wariant 2'!AT$102</f>
        <v>0</v>
      </c>
      <c r="AU109" s="11">
        <f>'Wariant 2'!AU$102</f>
        <v>0</v>
      </c>
      <c r="AV109" s="11">
        <f>'Wariant 2'!AV$102</f>
        <v>0</v>
      </c>
      <c r="AW109" s="11">
        <f>'Wariant 2'!AW$102</f>
        <v>0</v>
      </c>
      <c r="AX109" s="11">
        <f>'Wariant 2'!AX$102</f>
        <v>0</v>
      </c>
      <c r="AY109" s="11">
        <f>'Wariant 2'!AY$102</f>
        <v>0</v>
      </c>
      <c r="AZ109" s="11">
        <f>'Wariant 2'!AZ$102</f>
        <v>0</v>
      </c>
      <c r="BA109" s="11">
        <f>'Wariant 2'!BA$102</f>
        <v>0</v>
      </c>
    </row>
    <row r="110" spans="1:53" ht="15.75" customHeight="1" x14ac:dyDescent="0.35">
      <c r="A110" s="5"/>
      <c r="B110" s="5"/>
      <c r="C110" s="5" t="s">
        <v>159</v>
      </c>
      <c r="E110" s="5"/>
      <c r="F110" s="5"/>
      <c r="G110" s="5"/>
      <c r="H110" s="5"/>
      <c r="I110" s="5"/>
      <c r="J110" s="5"/>
      <c r="K110" s="5"/>
      <c r="N110" s="1">
        <f t="shared" si="53"/>
        <v>0</v>
      </c>
      <c r="Q110" s="1">
        <f t="shared" ref="Q110" si="58">SUM(Q111:Q112)</f>
        <v>0</v>
      </c>
      <c r="R110" s="1">
        <f t="shared" ref="R110:BA110" si="59">SUM(R111:R112)</f>
        <v>0</v>
      </c>
      <c r="S110" s="1">
        <f t="shared" si="59"/>
        <v>0</v>
      </c>
      <c r="T110" s="1">
        <f t="shared" si="59"/>
        <v>0</v>
      </c>
      <c r="U110" s="1">
        <f t="shared" si="59"/>
        <v>0</v>
      </c>
      <c r="V110" s="1">
        <f t="shared" si="59"/>
        <v>0</v>
      </c>
      <c r="W110" s="1">
        <f t="shared" si="59"/>
        <v>0</v>
      </c>
      <c r="X110" s="1">
        <f t="shared" si="59"/>
        <v>0</v>
      </c>
      <c r="Y110" s="1">
        <f t="shared" si="59"/>
        <v>0</v>
      </c>
      <c r="Z110" s="1">
        <f t="shared" si="59"/>
        <v>0</v>
      </c>
      <c r="AA110" s="1">
        <f t="shared" si="59"/>
        <v>0</v>
      </c>
      <c r="AB110" s="1">
        <f t="shared" si="59"/>
        <v>0</v>
      </c>
      <c r="AC110" s="1">
        <f t="shared" si="59"/>
        <v>0</v>
      </c>
      <c r="AD110" s="1">
        <f t="shared" si="59"/>
        <v>0</v>
      </c>
      <c r="AE110" s="1">
        <f t="shared" si="59"/>
        <v>0</v>
      </c>
      <c r="AF110" s="1">
        <f t="shared" si="59"/>
        <v>0</v>
      </c>
      <c r="AG110" s="1">
        <f t="shared" si="59"/>
        <v>0</v>
      </c>
      <c r="AH110" s="1">
        <f t="shared" si="59"/>
        <v>0</v>
      </c>
      <c r="AI110" s="1">
        <f t="shared" si="59"/>
        <v>0</v>
      </c>
      <c r="AJ110" s="1">
        <f t="shared" si="59"/>
        <v>0</v>
      </c>
      <c r="AK110" s="1">
        <f t="shared" si="59"/>
        <v>0</v>
      </c>
      <c r="AL110" s="1">
        <f t="shared" si="59"/>
        <v>0</v>
      </c>
      <c r="AM110" s="1">
        <f t="shared" si="59"/>
        <v>0</v>
      </c>
      <c r="AN110" s="1">
        <f t="shared" si="59"/>
        <v>0</v>
      </c>
      <c r="AO110" s="1">
        <f t="shared" si="59"/>
        <v>0</v>
      </c>
      <c r="AP110" s="1">
        <f t="shared" si="59"/>
        <v>0</v>
      </c>
      <c r="AQ110" s="1">
        <f t="shared" si="59"/>
        <v>0</v>
      </c>
      <c r="AR110" s="1">
        <f t="shared" si="59"/>
        <v>0</v>
      </c>
      <c r="AS110" s="1">
        <f t="shared" si="59"/>
        <v>0</v>
      </c>
      <c r="AT110" s="1">
        <f t="shared" si="59"/>
        <v>0</v>
      </c>
      <c r="AU110" s="1">
        <f t="shared" si="59"/>
        <v>0</v>
      </c>
      <c r="AV110" s="1">
        <f t="shared" si="59"/>
        <v>0</v>
      </c>
      <c r="AW110" s="1">
        <f t="shared" si="59"/>
        <v>0</v>
      </c>
      <c r="AX110" s="1">
        <f t="shared" si="59"/>
        <v>0</v>
      </c>
      <c r="AY110" s="1">
        <f t="shared" si="59"/>
        <v>0</v>
      </c>
      <c r="AZ110" s="1">
        <f t="shared" si="59"/>
        <v>0</v>
      </c>
      <c r="BA110" s="74">
        <f t="shared" si="59"/>
        <v>0</v>
      </c>
    </row>
    <row r="111" spans="1:53" ht="15.75" customHeight="1" x14ac:dyDescent="0.35">
      <c r="A111" s="5"/>
      <c r="B111" s="5"/>
      <c r="C111" s="5"/>
      <c r="D111" s="5" t="s">
        <v>142</v>
      </c>
      <c r="E111" s="5"/>
      <c r="F111" s="5"/>
      <c r="G111" s="5"/>
      <c r="H111" s="5"/>
      <c r="I111" s="5"/>
      <c r="J111" s="5"/>
      <c r="K111" s="5"/>
      <c r="N111" s="11">
        <f t="shared" si="53"/>
        <v>0</v>
      </c>
      <c r="Q111" s="11">
        <f>'Wariant 2'!Q$97</f>
        <v>0</v>
      </c>
      <c r="R111" s="11">
        <f>'Wariant 2'!R$97</f>
        <v>0</v>
      </c>
      <c r="S111" s="11">
        <f>'Wariant 2'!S$97</f>
        <v>0</v>
      </c>
      <c r="T111" s="11">
        <f>'Wariant 2'!T$97</f>
        <v>0</v>
      </c>
      <c r="U111" s="11">
        <f>'Wariant 2'!U$97</f>
        <v>0</v>
      </c>
      <c r="V111" s="11">
        <f>'Wariant 2'!V$97</f>
        <v>0</v>
      </c>
      <c r="W111" s="11">
        <f>'Wariant 2'!W$97</f>
        <v>0</v>
      </c>
      <c r="X111" s="11">
        <f>'Wariant 2'!X$97</f>
        <v>0</v>
      </c>
      <c r="Y111" s="11">
        <f>'Wariant 2'!Y$97</f>
        <v>0</v>
      </c>
      <c r="Z111" s="11">
        <f>'Wariant 2'!Z$97</f>
        <v>0</v>
      </c>
      <c r="AA111" s="11">
        <f>'Wariant 2'!AA$97</f>
        <v>0</v>
      </c>
      <c r="AB111" s="11">
        <f>'Wariant 2'!AB$97</f>
        <v>0</v>
      </c>
      <c r="AC111" s="11">
        <f>'Wariant 2'!AC$97</f>
        <v>0</v>
      </c>
      <c r="AD111" s="11">
        <f>'Wariant 2'!AD$97</f>
        <v>0</v>
      </c>
      <c r="AE111" s="11">
        <f>'Wariant 2'!AE$97</f>
        <v>0</v>
      </c>
      <c r="AF111" s="11">
        <f>'Wariant 2'!AF$97</f>
        <v>0</v>
      </c>
      <c r="AG111" s="11">
        <f>'Wariant 2'!AG$97</f>
        <v>0</v>
      </c>
      <c r="AH111" s="11">
        <f>'Wariant 2'!AH$97</f>
        <v>0</v>
      </c>
      <c r="AI111" s="11">
        <f>'Wariant 2'!AI$97</f>
        <v>0</v>
      </c>
      <c r="AJ111" s="11">
        <f>'Wariant 2'!AJ$97</f>
        <v>0</v>
      </c>
      <c r="AK111" s="11">
        <f>'Wariant 2'!AK$97</f>
        <v>0</v>
      </c>
      <c r="AL111" s="11">
        <f>'Wariant 2'!AL$97</f>
        <v>0</v>
      </c>
      <c r="AM111" s="11">
        <f>'Wariant 2'!AM$97</f>
        <v>0</v>
      </c>
      <c r="AN111" s="11">
        <f>'Wariant 2'!AN$97</f>
        <v>0</v>
      </c>
      <c r="AO111" s="11">
        <f>'Wariant 2'!AO$97</f>
        <v>0</v>
      </c>
      <c r="AP111" s="11">
        <f>'Wariant 2'!AP$97</f>
        <v>0</v>
      </c>
      <c r="AQ111" s="11">
        <f>'Wariant 2'!AQ$97</f>
        <v>0</v>
      </c>
      <c r="AR111" s="11">
        <f>'Wariant 2'!AR$97</f>
        <v>0</v>
      </c>
      <c r="AS111" s="11">
        <f>'Wariant 2'!AS$97</f>
        <v>0</v>
      </c>
      <c r="AT111" s="11">
        <f>'Wariant 2'!AT$97</f>
        <v>0</v>
      </c>
      <c r="AU111" s="11">
        <f>'Wariant 2'!AU$97</f>
        <v>0</v>
      </c>
      <c r="AV111" s="11">
        <f>'Wariant 2'!AV$97</f>
        <v>0</v>
      </c>
      <c r="AW111" s="11">
        <f>'Wariant 2'!AW$97</f>
        <v>0</v>
      </c>
      <c r="AX111" s="11">
        <f>'Wariant 2'!AX$97</f>
        <v>0</v>
      </c>
      <c r="AY111" s="11">
        <f>'Wariant 2'!AY$97</f>
        <v>0</v>
      </c>
      <c r="AZ111" s="11">
        <f>'Wariant 2'!AZ$97</f>
        <v>0</v>
      </c>
      <c r="BA111" s="11">
        <f>'Wariant 2'!BA$97</f>
        <v>0</v>
      </c>
    </row>
    <row r="112" spans="1:53" ht="15.75" customHeight="1" x14ac:dyDescent="0.35">
      <c r="A112" s="5"/>
      <c r="B112" s="5"/>
      <c r="C112" s="5"/>
      <c r="D112" s="5" t="s">
        <v>33</v>
      </c>
      <c r="E112" s="5"/>
      <c r="F112" s="5"/>
      <c r="G112" s="5"/>
      <c r="H112" s="5"/>
      <c r="I112" s="5"/>
      <c r="J112" s="5"/>
      <c r="K112" s="5"/>
      <c r="N112" s="11">
        <f t="shared" si="53"/>
        <v>0</v>
      </c>
      <c r="Q112" s="11">
        <f>'Wariant 2'!Q$107</f>
        <v>0</v>
      </c>
      <c r="R112" s="11">
        <f>'Wariant 2'!R$107</f>
        <v>0</v>
      </c>
      <c r="S112" s="11">
        <f>'Wariant 2'!S$107</f>
        <v>0</v>
      </c>
      <c r="T112" s="11">
        <f>'Wariant 2'!T$107</f>
        <v>0</v>
      </c>
      <c r="U112" s="11">
        <f>'Wariant 2'!U$107</f>
        <v>0</v>
      </c>
      <c r="V112" s="11">
        <f>'Wariant 2'!V$107</f>
        <v>0</v>
      </c>
      <c r="W112" s="11">
        <f>'Wariant 2'!W$107</f>
        <v>0</v>
      </c>
      <c r="X112" s="11">
        <f>'Wariant 2'!X$107</f>
        <v>0</v>
      </c>
      <c r="Y112" s="11">
        <f>'Wariant 2'!Y$107</f>
        <v>0</v>
      </c>
      <c r="Z112" s="11">
        <f>'Wariant 2'!Z$107</f>
        <v>0</v>
      </c>
      <c r="AA112" s="11">
        <f>'Wariant 2'!AA$107</f>
        <v>0</v>
      </c>
      <c r="AB112" s="11">
        <f>'Wariant 2'!AB$107</f>
        <v>0</v>
      </c>
      <c r="AC112" s="11">
        <f>'Wariant 2'!AC$107</f>
        <v>0</v>
      </c>
      <c r="AD112" s="11">
        <f>'Wariant 2'!AD$107</f>
        <v>0</v>
      </c>
      <c r="AE112" s="11">
        <f>'Wariant 2'!AE$107</f>
        <v>0</v>
      </c>
      <c r="AF112" s="11">
        <f>'Wariant 2'!AF$107</f>
        <v>0</v>
      </c>
      <c r="AG112" s="11">
        <f>'Wariant 2'!AG$107</f>
        <v>0</v>
      </c>
      <c r="AH112" s="11">
        <f>'Wariant 2'!AH$107</f>
        <v>0</v>
      </c>
      <c r="AI112" s="11">
        <f>'Wariant 2'!AI$107</f>
        <v>0</v>
      </c>
      <c r="AJ112" s="11">
        <f>'Wariant 2'!AJ$107</f>
        <v>0</v>
      </c>
      <c r="AK112" s="11">
        <f>'Wariant 2'!AK$107</f>
        <v>0</v>
      </c>
      <c r="AL112" s="11">
        <f>'Wariant 2'!AL$107</f>
        <v>0</v>
      </c>
      <c r="AM112" s="11">
        <f>'Wariant 2'!AM$107</f>
        <v>0</v>
      </c>
      <c r="AN112" s="11">
        <f>'Wariant 2'!AN$107</f>
        <v>0</v>
      </c>
      <c r="AO112" s="11">
        <f>'Wariant 2'!AO$107</f>
        <v>0</v>
      </c>
      <c r="AP112" s="11">
        <f>'Wariant 2'!AP$107</f>
        <v>0</v>
      </c>
      <c r="AQ112" s="11">
        <f>'Wariant 2'!AQ$107</f>
        <v>0</v>
      </c>
      <c r="AR112" s="11">
        <f>'Wariant 2'!AR$107</f>
        <v>0</v>
      </c>
      <c r="AS112" s="11">
        <f>'Wariant 2'!AS$107</f>
        <v>0</v>
      </c>
      <c r="AT112" s="11">
        <f>'Wariant 2'!AT$107</f>
        <v>0</v>
      </c>
      <c r="AU112" s="11">
        <f>'Wariant 2'!AU$107</f>
        <v>0</v>
      </c>
      <c r="AV112" s="11">
        <f>'Wariant 2'!AV$107</f>
        <v>0</v>
      </c>
      <c r="AW112" s="11">
        <f>'Wariant 2'!AW$107</f>
        <v>0</v>
      </c>
      <c r="AX112" s="11">
        <f>'Wariant 2'!AX$107</f>
        <v>0</v>
      </c>
      <c r="AY112" s="11">
        <f>'Wariant 2'!AY$107</f>
        <v>0</v>
      </c>
      <c r="AZ112" s="11">
        <f>'Wariant 2'!AZ$107</f>
        <v>0</v>
      </c>
      <c r="BA112" s="11">
        <f>'Wariant 2'!BA$107</f>
        <v>0</v>
      </c>
    </row>
    <row r="113" spans="1:53" x14ac:dyDescent="0.35"/>
    <row r="114" spans="1:53" ht="15.75" customHeight="1" x14ac:dyDescent="0.35">
      <c r="A114" s="15"/>
      <c r="B114" s="16" t="s">
        <v>76</v>
      </c>
      <c r="C114" s="16"/>
      <c r="D114" s="16"/>
      <c r="E114" s="16"/>
      <c r="F114" s="16"/>
      <c r="G114" s="16"/>
      <c r="H114" s="16"/>
      <c r="I114" s="16"/>
      <c r="J114" s="16"/>
      <c r="K114" s="16"/>
      <c r="L114" s="3"/>
      <c r="M114" s="3"/>
      <c r="N114" s="4">
        <f t="shared" ref="N114:N120" si="60">SUM(Q114:BA114)</f>
        <v>0</v>
      </c>
      <c r="O114" s="3"/>
      <c r="P114" s="3"/>
      <c r="Q114" s="4">
        <f t="shared" ref="Q114" si="61">SUM(Q115,Q118)</f>
        <v>0</v>
      </c>
      <c r="R114" s="4">
        <f t="shared" ref="R114:BA114" si="62">SUM(R115,R118)</f>
        <v>0</v>
      </c>
      <c r="S114" s="4">
        <f t="shared" si="62"/>
        <v>0</v>
      </c>
      <c r="T114" s="4">
        <f t="shared" si="62"/>
        <v>0</v>
      </c>
      <c r="U114" s="4">
        <f t="shared" si="62"/>
        <v>0</v>
      </c>
      <c r="V114" s="4">
        <f t="shared" si="62"/>
        <v>0</v>
      </c>
      <c r="W114" s="4">
        <f t="shared" si="62"/>
        <v>0</v>
      </c>
      <c r="X114" s="4">
        <f t="shared" si="62"/>
        <v>0</v>
      </c>
      <c r="Y114" s="4">
        <f t="shared" si="62"/>
        <v>0</v>
      </c>
      <c r="Z114" s="4">
        <f t="shared" si="62"/>
        <v>0</v>
      </c>
      <c r="AA114" s="4">
        <f t="shared" si="62"/>
        <v>0</v>
      </c>
      <c r="AB114" s="4">
        <f t="shared" si="62"/>
        <v>0</v>
      </c>
      <c r="AC114" s="4">
        <f t="shared" si="62"/>
        <v>0</v>
      </c>
      <c r="AD114" s="4">
        <f t="shared" si="62"/>
        <v>0</v>
      </c>
      <c r="AE114" s="4">
        <f t="shared" si="62"/>
        <v>0</v>
      </c>
      <c r="AF114" s="4">
        <f t="shared" si="62"/>
        <v>0</v>
      </c>
      <c r="AG114" s="4">
        <f t="shared" si="62"/>
        <v>0</v>
      </c>
      <c r="AH114" s="4">
        <f t="shared" si="62"/>
        <v>0</v>
      </c>
      <c r="AI114" s="4">
        <f t="shared" si="62"/>
        <v>0</v>
      </c>
      <c r="AJ114" s="4">
        <f t="shared" si="62"/>
        <v>0</v>
      </c>
      <c r="AK114" s="4">
        <f t="shared" si="62"/>
        <v>0</v>
      </c>
      <c r="AL114" s="4">
        <f t="shared" si="62"/>
        <v>0</v>
      </c>
      <c r="AM114" s="4">
        <f t="shared" si="62"/>
        <v>0</v>
      </c>
      <c r="AN114" s="4">
        <f t="shared" si="62"/>
        <v>0</v>
      </c>
      <c r="AO114" s="4">
        <f t="shared" si="62"/>
        <v>0</v>
      </c>
      <c r="AP114" s="4">
        <f t="shared" si="62"/>
        <v>0</v>
      </c>
      <c r="AQ114" s="4">
        <f t="shared" si="62"/>
        <v>0</v>
      </c>
      <c r="AR114" s="4">
        <f t="shared" si="62"/>
        <v>0</v>
      </c>
      <c r="AS114" s="4">
        <f t="shared" si="62"/>
        <v>0</v>
      </c>
      <c r="AT114" s="4">
        <f t="shared" si="62"/>
        <v>0</v>
      </c>
      <c r="AU114" s="4">
        <f t="shared" si="62"/>
        <v>0</v>
      </c>
      <c r="AV114" s="4">
        <f t="shared" si="62"/>
        <v>0</v>
      </c>
      <c r="AW114" s="4">
        <f t="shared" si="62"/>
        <v>0</v>
      </c>
      <c r="AX114" s="4">
        <f t="shared" si="62"/>
        <v>0</v>
      </c>
      <c r="AY114" s="4">
        <f t="shared" si="62"/>
        <v>0</v>
      </c>
      <c r="AZ114" s="4">
        <f t="shared" si="62"/>
        <v>0</v>
      </c>
      <c r="BA114" s="73">
        <f t="shared" si="62"/>
        <v>0</v>
      </c>
    </row>
    <row r="115" spans="1:53" ht="15.75" customHeight="1" x14ac:dyDescent="0.35">
      <c r="A115" s="5"/>
      <c r="B115" s="5"/>
      <c r="C115" s="5" t="s">
        <v>160</v>
      </c>
      <c r="D115" s="5"/>
      <c r="E115" s="5"/>
      <c r="F115" s="5"/>
      <c r="G115" s="5"/>
      <c r="H115" s="5"/>
      <c r="I115" s="5"/>
      <c r="J115" s="5"/>
      <c r="K115" s="5"/>
      <c r="N115" s="1">
        <f t="shared" si="60"/>
        <v>0</v>
      </c>
      <c r="Q115" s="11">
        <f t="shared" ref="Q115" si="63">SUM(Q116:Q117)</f>
        <v>0</v>
      </c>
      <c r="R115" s="11">
        <f t="shared" ref="R115:BA115" si="64">SUM(R116:R117)</f>
        <v>0</v>
      </c>
      <c r="S115" s="11">
        <f t="shared" si="64"/>
        <v>0</v>
      </c>
      <c r="T115" s="11">
        <f t="shared" si="64"/>
        <v>0</v>
      </c>
      <c r="U115" s="11">
        <f t="shared" si="64"/>
        <v>0</v>
      </c>
      <c r="V115" s="11">
        <f t="shared" si="64"/>
        <v>0</v>
      </c>
      <c r="W115" s="11">
        <f t="shared" si="64"/>
        <v>0</v>
      </c>
      <c r="X115" s="11">
        <f t="shared" si="64"/>
        <v>0</v>
      </c>
      <c r="Y115" s="11">
        <f t="shared" si="64"/>
        <v>0</v>
      </c>
      <c r="Z115" s="11">
        <f t="shared" si="64"/>
        <v>0</v>
      </c>
      <c r="AA115" s="11">
        <f t="shared" si="64"/>
        <v>0</v>
      </c>
      <c r="AB115" s="11">
        <f t="shared" si="64"/>
        <v>0</v>
      </c>
      <c r="AC115" s="11">
        <f t="shared" si="64"/>
        <v>0</v>
      </c>
      <c r="AD115" s="11">
        <f t="shared" si="64"/>
        <v>0</v>
      </c>
      <c r="AE115" s="11">
        <f t="shared" si="64"/>
        <v>0</v>
      </c>
      <c r="AF115" s="11">
        <f t="shared" si="64"/>
        <v>0</v>
      </c>
      <c r="AG115" s="11">
        <f t="shared" si="64"/>
        <v>0</v>
      </c>
      <c r="AH115" s="11">
        <f t="shared" si="64"/>
        <v>0</v>
      </c>
      <c r="AI115" s="11">
        <f t="shared" si="64"/>
        <v>0</v>
      </c>
      <c r="AJ115" s="11">
        <f t="shared" si="64"/>
        <v>0</v>
      </c>
      <c r="AK115" s="11">
        <f t="shared" si="64"/>
        <v>0</v>
      </c>
      <c r="AL115" s="11">
        <f t="shared" si="64"/>
        <v>0</v>
      </c>
      <c r="AM115" s="11">
        <f t="shared" si="64"/>
        <v>0</v>
      </c>
      <c r="AN115" s="11">
        <f t="shared" si="64"/>
        <v>0</v>
      </c>
      <c r="AO115" s="11">
        <f t="shared" si="64"/>
        <v>0</v>
      </c>
      <c r="AP115" s="11">
        <f t="shared" si="64"/>
        <v>0</v>
      </c>
      <c r="AQ115" s="11">
        <f t="shared" si="64"/>
        <v>0</v>
      </c>
      <c r="AR115" s="11">
        <f t="shared" si="64"/>
        <v>0</v>
      </c>
      <c r="AS115" s="11">
        <f t="shared" si="64"/>
        <v>0</v>
      </c>
      <c r="AT115" s="11">
        <f t="shared" si="64"/>
        <v>0</v>
      </c>
      <c r="AU115" s="11">
        <f t="shared" si="64"/>
        <v>0</v>
      </c>
      <c r="AV115" s="11">
        <f t="shared" si="64"/>
        <v>0</v>
      </c>
      <c r="AW115" s="11">
        <f t="shared" si="64"/>
        <v>0</v>
      </c>
      <c r="AX115" s="11">
        <f t="shared" si="64"/>
        <v>0</v>
      </c>
      <c r="AY115" s="11">
        <f t="shared" si="64"/>
        <v>0</v>
      </c>
      <c r="AZ115" s="11">
        <f t="shared" si="64"/>
        <v>0</v>
      </c>
      <c r="BA115" s="75">
        <f t="shared" si="64"/>
        <v>0</v>
      </c>
    </row>
    <row r="116" spans="1:53" ht="15.75" customHeight="1" x14ac:dyDescent="0.35">
      <c r="A116" s="5"/>
      <c r="B116" s="5"/>
      <c r="C116" s="5"/>
      <c r="D116" s="5" t="s">
        <v>6</v>
      </c>
      <c r="E116" s="5"/>
      <c r="F116" s="5"/>
      <c r="G116" s="5"/>
      <c r="H116" s="5"/>
      <c r="I116" s="5"/>
      <c r="J116" s="5"/>
      <c r="K116" s="5"/>
      <c r="N116" s="1">
        <f t="shared" si="60"/>
        <v>0</v>
      </c>
      <c r="Q116" s="11">
        <f>'Wariant 2'!Q$96</f>
        <v>0</v>
      </c>
      <c r="R116" s="11">
        <f>'Wariant 2'!R$96</f>
        <v>0</v>
      </c>
      <c r="S116" s="11">
        <f>'Wariant 2'!S$96</f>
        <v>0</v>
      </c>
      <c r="T116" s="11">
        <f>'Wariant 2'!T$96</f>
        <v>0</v>
      </c>
      <c r="U116" s="11">
        <f>'Wariant 2'!U$96</f>
        <v>0</v>
      </c>
      <c r="V116" s="11">
        <f>'Wariant 2'!V$96</f>
        <v>0</v>
      </c>
      <c r="W116" s="11">
        <f>'Wariant 2'!W$96</f>
        <v>0</v>
      </c>
      <c r="X116" s="11">
        <f>'Wariant 2'!X$96</f>
        <v>0</v>
      </c>
      <c r="Y116" s="11">
        <f>'Wariant 2'!Y$96</f>
        <v>0</v>
      </c>
      <c r="Z116" s="11">
        <f>'Wariant 2'!Z$96</f>
        <v>0</v>
      </c>
      <c r="AA116" s="11">
        <f>'Wariant 2'!AA$96</f>
        <v>0</v>
      </c>
      <c r="AB116" s="11">
        <f>'Wariant 2'!AB$96</f>
        <v>0</v>
      </c>
      <c r="AC116" s="11">
        <f>'Wariant 2'!AC$96</f>
        <v>0</v>
      </c>
      <c r="AD116" s="11">
        <f>'Wariant 2'!AD$96</f>
        <v>0</v>
      </c>
      <c r="AE116" s="11">
        <f>'Wariant 2'!AE$96</f>
        <v>0</v>
      </c>
      <c r="AF116" s="11">
        <f>'Wariant 2'!AF$96</f>
        <v>0</v>
      </c>
      <c r="AG116" s="11">
        <f>'Wariant 2'!AG$96</f>
        <v>0</v>
      </c>
      <c r="AH116" s="11">
        <f>'Wariant 2'!AH$96</f>
        <v>0</v>
      </c>
      <c r="AI116" s="11">
        <f>'Wariant 2'!AI$96</f>
        <v>0</v>
      </c>
      <c r="AJ116" s="11">
        <f>'Wariant 2'!AJ$96</f>
        <v>0</v>
      </c>
      <c r="AK116" s="11">
        <f>'Wariant 2'!AK$96</f>
        <v>0</v>
      </c>
      <c r="AL116" s="11">
        <f>'Wariant 2'!AL$96</f>
        <v>0</v>
      </c>
      <c r="AM116" s="11">
        <f>'Wariant 2'!AM$96</f>
        <v>0</v>
      </c>
      <c r="AN116" s="11">
        <f>'Wariant 2'!AN$96</f>
        <v>0</v>
      </c>
      <c r="AO116" s="11">
        <f>'Wariant 2'!AO$96</f>
        <v>0</v>
      </c>
      <c r="AP116" s="11">
        <f>'Wariant 2'!AP$96</f>
        <v>0</v>
      </c>
      <c r="AQ116" s="11">
        <f>'Wariant 2'!AQ$96</f>
        <v>0</v>
      </c>
      <c r="AR116" s="11">
        <f>'Wariant 2'!AR$96</f>
        <v>0</v>
      </c>
      <c r="AS116" s="11">
        <f>'Wariant 2'!AS$96</f>
        <v>0</v>
      </c>
      <c r="AT116" s="11">
        <f>'Wariant 2'!AT$96</f>
        <v>0</v>
      </c>
      <c r="AU116" s="11">
        <f>'Wariant 2'!AU$96</f>
        <v>0</v>
      </c>
      <c r="AV116" s="11">
        <f>'Wariant 2'!AV$96</f>
        <v>0</v>
      </c>
      <c r="AW116" s="11">
        <f>'Wariant 2'!AW$96</f>
        <v>0</v>
      </c>
      <c r="AX116" s="11">
        <f>'Wariant 2'!AX$96</f>
        <v>0</v>
      </c>
      <c r="AY116" s="11">
        <f>'Wariant 2'!AY$96</f>
        <v>0</v>
      </c>
      <c r="AZ116" s="11">
        <f>'Wariant 2'!AZ$96</f>
        <v>0</v>
      </c>
      <c r="BA116" s="11">
        <f>'Wariant 2'!BA$96</f>
        <v>0</v>
      </c>
    </row>
    <row r="117" spans="1:53" ht="15.75" customHeight="1" x14ac:dyDescent="0.35">
      <c r="A117" s="5"/>
      <c r="B117" s="5"/>
      <c r="C117" s="5"/>
      <c r="D117" s="5" t="s">
        <v>33</v>
      </c>
      <c r="E117" s="5"/>
      <c r="F117" s="5"/>
      <c r="G117" s="5"/>
      <c r="H117" s="5"/>
      <c r="I117" s="5"/>
      <c r="J117" s="5"/>
      <c r="K117" s="5"/>
      <c r="N117" s="1">
        <f t="shared" si="60"/>
        <v>0</v>
      </c>
      <c r="Q117" s="11">
        <f>'Wariant 2'!Q$106</f>
        <v>0</v>
      </c>
      <c r="R117" s="11">
        <f>'Wariant 2'!R$106</f>
        <v>0</v>
      </c>
      <c r="S117" s="11">
        <f>'Wariant 2'!S$106</f>
        <v>0</v>
      </c>
      <c r="T117" s="11">
        <f>'Wariant 2'!T$106</f>
        <v>0</v>
      </c>
      <c r="U117" s="11">
        <f>'Wariant 2'!U$106</f>
        <v>0</v>
      </c>
      <c r="V117" s="11">
        <f>'Wariant 2'!V$106</f>
        <v>0</v>
      </c>
      <c r="W117" s="11">
        <f>'Wariant 2'!W$106</f>
        <v>0</v>
      </c>
      <c r="X117" s="11">
        <f>'Wariant 2'!X$106</f>
        <v>0</v>
      </c>
      <c r="Y117" s="11">
        <f>'Wariant 2'!Y$106</f>
        <v>0</v>
      </c>
      <c r="Z117" s="11">
        <f>'Wariant 2'!Z$106</f>
        <v>0</v>
      </c>
      <c r="AA117" s="11">
        <f>'Wariant 2'!AA$106</f>
        <v>0</v>
      </c>
      <c r="AB117" s="11">
        <f>'Wariant 2'!AB$106</f>
        <v>0</v>
      </c>
      <c r="AC117" s="11">
        <f>'Wariant 2'!AC$106</f>
        <v>0</v>
      </c>
      <c r="AD117" s="11">
        <f>'Wariant 2'!AD$106</f>
        <v>0</v>
      </c>
      <c r="AE117" s="11">
        <f>'Wariant 2'!AE$106</f>
        <v>0</v>
      </c>
      <c r="AF117" s="11">
        <f>'Wariant 2'!AF$106</f>
        <v>0</v>
      </c>
      <c r="AG117" s="11">
        <f>'Wariant 2'!AG$106</f>
        <v>0</v>
      </c>
      <c r="AH117" s="11">
        <f>'Wariant 2'!AH$106</f>
        <v>0</v>
      </c>
      <c r="AI117" s="11">
        <f>'Wariant 2'!AI$106</f>
        <v>0</v>
      </c>
      <c r="AJ117" s="11">
        <f>'Wariant 2'!AJ$106</f>
        <v>0</v>
      </c>
      <c r="AK117" s="11">
        <f>'Wariant 2'!AK$106</f>
        <v>0</v>
      </c>
      <c r="AL117" s="11">
        <f>'Wariant 2'!AL$106</f>
        <v>0</v>
      </c>
      <c r="AM117" s="11">
        <f>'Wariant 2'!AM$106</f>
        <v>0</v>
      </c>
      <c r="AN117" s="11">
        <f>'Wariant 2'!AN$106</f>
        <v>0</v>
      </c>
      <c r="AO117" s="11">
        <f>'Wariant 2'!AO$106</f>
        <v>0</v>
      </c>
      <c r="AP117" s="11">
        <f>'Wariant 2'!AP$106</f>
        <v>0</v>
      </c>
      <c r="AQ117" s="11">
        <f>'Wariant 2'!AQ$106</f>
        <v>0</v>
      </c>
      <c r="AR117" s="11">
        <f>'Wariant 2'!AR$106</f>
        <v>0</v>
      </c>
      <c r="AS117" s="11">
        <f>'Wariant 2'!AS$106</f>
        <v>0</v>
      </c>
      <c r="AT117" s="11">
        <f>'Wariant 2'!AT$106</f>
        <v>0</v>
      </c>
      <c r="AU117" s="11">
        <f>'Wariant 2'!AU$106</f>
        <v>0</v>
      </c>
      <c r="AV117" s="11">
        <f>'Wariant 2'!AV$106</f>
        <v>0</v>
      </c>
      <c r="AW117" s="11">
        <f>'Wariant 2'!AW$106</f>
        <v>0</v>
      </c>
      <c r="AX117" s="11">
        <f>'Wariant 2'!AX$106</f>
        <v>0</v>
      </c>
      <c r="AY117" s="11">
        <f>'Wariant 2'!AY$106</f>
        <v>0</v>
      </c>
      <c r="AZ117" s="11">
        <f>'Wariant 2'!AZ$106</f>
        <v>0</v>
      </c>
      <c r="BA117" s="11">
        <f>'Wariant 2'!BA$106</f>
        <v>0</v>
      </c>
    </row>
    <row r="118" spans="1:53" ht="15.75" customHeight="1" x14ac:dyDescent="0.35">
      <c r="A118" s="5"/>
      <c r="B118" s="5"/>
      <c r="C118" s="5" t="s">
        <v>151</v>
      </c>
      <c r="D118" s="5"/>
      <c r="E118" s="5"/>
      <c r="F118" s="5"/>
      <c r="G118" s="5"/>
      <c r="H118" s="5"/>
      <c r="I118" s="5"/>
      <c r="J118" s="5"/>
      <c r="K118" s="5"/>
      <c r="N118" s="1">
        <f t="shared" si="60"/>
        <v>0</v>
      </c>
      <c r="Q118" s="11">
        <f t="shared" ref="Q118" si="65">SUM(Q119:Q120)</f>
        <v>0</v>
      </c>
      <c r="R118" s="11">
        <f t="shared" ref="R118:BA118" si="66">SUM(R119:R120)</f>
        <v>0</v>
      </c>
      <c r="S118" s="11">
        <f t="shared" si="66"/>
        <v>0</v>
      </c>
      <c r="T118" s="11">
        <f t="shared" si="66"/>
        <v>0</v>
      </c>
      <c r="U118" s="11">
        <f t="shared" si="66"/>
        <v>0</v>
      </c>
      <c r="V118" s="11">
        <f t="shared" si="66"/>
        <v>0</v>
      </c>
      <c r="W118" s="11">
        <f t="shared" si="66"/>
        <v>0</v>
      </c>
      <c r="X118" s="11">
        <f t="shared" si="66"/>
        <v>0</v>
      </c>
      <c r="Y118" s="11">
        <f t="shared" si="66"/>
        <v>0</v>
      </c>
      <c r="Z118" s="11">
        <f t="shared" si="66"/>
        <v>0</v>
      </c>
      <c r="AA118" s="11">
        <f t="shared" si="66"/>
        <v>0</v>
      </c>
      <c r="AB118" s="11">
        <f t="shared" si="66"/>
        <v>0</v>
      </c>
      <c r="AC118" s="11">
        <f t="shared" si="66"/>
        <v>0</v>
      </c>
      <c r="AD118" s="11">
        <f t="shared" si="66"/>
        <v>0</v>
      </c>
      <c r="AE118" s="11">
        <f t="shared" si="66"/>
        <v>0</v>
      </c>
      <c r="AF118" s="11">
        <f t="shared" si="66"/>
        <v>0</v>
      </c>
      <c r="AG118" s="11">
        <f t="shared" si="66"/>
        <v>0</v>
      </c>
      <c r="AH118" s="11">
        <f t="shared" si="66"/>
        <v>0</v>
      </c>
      <c r="AI118" s="11">
        <f t="shared" si="66"/>
        <v>0</v>
      </c>
      <c r="AJ118" s="11">
        <f t="shared" si="66"/>
        <v>0</v>
      </c>
      <c r="AK118" s="11">
        <f t="shared" si="66"/>
        <v>0</v>
      </c>
      <c r="AL118" s="11">
        <f t="shared" si="66"/>
        <v>0</v>
      </c>
      <c r="AM118" s="11">
        <f t="shared" si="66"/>
        <v>0</v>
      </c>
      <c r="AN118" s="11">
        <f t="shared" si="66"/>
        <v>0</v>
      </c>
      <c r="AO118" s="11">
        <f t="shared" si="66"/>
        <v>0</v>
      </c>
      <c r="AP118" s="11">
        <f t="shared" si="66"/>
        <v>0</v>
      </c>
      <c r="AQ118" s="11">
        <f t="shared" si="66"/>
        <v>0</v>
      </c>
      <c r="AR118" s="11">
        <f t="shared" si="66"/>
        <v>0</v>
      </c>
      <c r="AS118" s="11">
        <f t="shared" si="66"/>
        <v>0</v>
      </c>
      <c r="AT118" s="11">
        <f t="shared" si="66"/>
        <v>0</v>
      </c>
      <c r="AU118" s="11">
        <f t="shared" si="66"/>
        <v>0</v>
      </c>
      <c r="AV118" s="11">
        <f t="shared" si="66"/>
        <v>0</v>
      </c>
      <c r="AW118" s="11">
        <f t="shared" si="66"/>
        <v>0</v>
      </c>
      <c r="AX118" s="11">
        <f t="shared" si="66"/>
        <v>0</v>
      </c>
      <c r="AY118" s="11">
        <f t="shared" si="66"/>
        <v>0</v>
      </c>
      <c r="AZ118" s="11">
        <f t="shared" si="66"/>
        <v>0</v>
      </c>
      <c r="BA118" s="75">
        <f t="shared" si="66"/>
        <v>0</v>
      </c>
    </row>
    <row r="119" spans="1:53" ht="15.75" customHeight="1" x14ac:dyDescent="0.35">
      <c r="A119" s="5"/>
      <c r="B119" s="5"/>
      <c r="C119" s="5"/>
      <c r="D119" s="5" t="s">
        <v>147</v>
      </c>
      <c r="E119" s="5"/>
      <c r="F119" s="5"/>
      <c r="G119" s="5"/>
      <c r="H119" s="5"/>
      <c r="I119" s="5"/>
      <c r="J119" s="5"/>
      <c r="K119" s="5"/>
      <c r="N119" s="1">
        <f t="shared" si="60"/>
        <v>0</v>
      </c>
      <c r="Q119" s="1">
        <f>'Wariant 2'!Q$99</f>
        <v>0</v>
      </c>
      <c r="R119" s="1">
        <f>'Wariant 2'!R$99</f>
        <v>0</v>
      </c>
      <c r="S119" s="1">
        <f>'Wariant 2'!S$99</f>
        <v>0</v>
      </c>
      <c r="T119" s="1">
        <f>'Wariant 2'!T$99</f>
        <v>0</v>
      </c>
      <c r="U119" s="1">
        <f>'Wariant 2'!U$99</f>
        <v>0</v>
      </c>
      <c r="V119" s="1">
        <f>'Wariant 2'!V$99</f>
        <v>0</v>
      </c>
      <c r="W119" s="1">
        <f>'Wariant 2'!W$99</f>
        <v>0</v>
      </c>
      <c r="X119" s="1">
        <f>'Wariant 2'!X$99</f>
        <v>0</v>
      </c>
      <c r="Y119" s="1">
        <f>'Wariant 2'!Y$99</f>
        <v>0</v>
      </c>
      <c r="Z119" s="1">
        <f>'Wariant 2'!Z$99</f>
        <v>0</v>
      </c>
      <c r="AA119" s="1">
        <f>'Wariant 2'!AA$99</f>
        <v>0</v>
      </c>
      <c r="AB119" s="1">
        <f>'Wariant 2'!AB$99</f>
        <v>0</v>
      </c>
      <c r="AC119" s="1">
        <f>'Wariant 2'!AC$99</f>
        <v>0</v>
      </c>
      <c r="AD119" s="1">
        <f>'Wariant 2'!AD$99</f>
        <v>0</v>
      </c>
      <c r="AE119" s="1">
        <f>'Wariant 2'!AE$99</f>
        <v>0</v>
      </c>
      <c r="AF119" s="1">
        <f>'Wariant 2'!AF$99</f>
        <v>0</v>
      </c>
      <c r="AG119" s="1">
        <f>'Wariant 2'!AG$99</f>
        <v>0</v>
      </c>
      <c r="AH119" s="1">
        <f>'Wariant 2'!AH$99</f>
        <v>0</v>
      </c>
      <c r="AI119" s="1">
        <f>'Wariant 2'!AI$99</f>
        <v>0</v>
      </c>
      <c r="AJ119" s="1">
        <f>'Wariant 2'!AJ$99</f>
        <v>0</v>
      </c>
      <c r="AK119" s="1">
        <f>'Wariant 2'!AK$99</f>
        <v>0</v>
      </c>
      <c r="AL119" s="1">
        <f>'Wariant 2'!AL$99</f>
        <v>0</v>
      </c>
      <c r="AM119" s="1">
        <f>'Wariant 2'!AM$99</f>
        <v>0</v>
      </c>
      <c r="AN119" s="1">
        <f>'Wariant 2'!AN$99</f>
        <v>0</v>
      </c>
      <c r="AO119" s="1">
        <f>'Wariant 2'!AO$99</f>
        <v>0</v>
      </c>
      <c r="AP119" s="1">
        <f>'Wariant 2'!AP$99</f>
        <v>0</v>
      </c>
      <c r="AQ119" s="1">
        <f>'Wariant 2'!AQ$99</f>
        <v>0</v>
      </c>
      <c r="AR119" s="1">
        <f>'Wariant 2'!AR$99</f>
        <v>0</v>
      </c>
      <c r="AS119" s="1">
        <f>'Wariant 2'!AS$99</f>
        <v>0</v>
      </c>
      <c r="AT119" s="1">
        <f>'Wariant 2'!AT$99</f>
        <v>0</v>
      </c>
      <c r="AU119" s="1">
        <f>'Wariant 2'!AU$99</f>
        <v>0</v>
      </c>
      <c r="AV119" s="1">
        <f>'Wariant 2'!AV$99</f>
        <v>0</v>
      </c>
      <c r="AW119" s="1">
        <f>'Wariant 2'!AW$99</f>
        <v>0</v>
      </c>
      <c r="AX119" s="1">
        <f>'Wariant 2'!AX$99</f>
        <v>0</v>
      </c>
      <c r="AY119" s="1">
        <f>'Wariant 2'!AY$99</f>
        <v>0</v>
      </c>
      <c r="AZ119" s="1">
        <f>'Wariant 2'!AZ$99</f>
        <v>0</v>
      </c>
      <c r="BA119" s="1">
        <f>'Wariant 2'!BA$99</f>
        <v>0</v>
      </c>
    </row>
    <row r="120" spans="1:53" ht="15.75" customHeight="1" x14ac:dyDescent="0.35">
      <c r="A120" s="5"/>
      <c r="B120" s="5"/>
      <c r="C120" s="5"/>
      <c r="D120" s="5" t="s">
        <v>52</v>
      </c>
      <c r="E120" s="5"/>
      <c r="F120" s="5"/>
      <c r="G120" s="5"/>
      <c r="H120" s="5"/>
      <c r="I120" s="5"/>
      <c r="J120" s="5"/>
      <c r="K120" s="5"/>
      <c r="N120" s="1">
        <f t="shared" si="60"/>
        <v>0</v>
      </c>
      <c r="Q120" s="1">
        <f>'Wariant 2'!Q$100</f>
        <v>0</v>
      </c>
      <c r="R120" s="1">
        <f>'Wariant 2'!R$100</f>
        <v>0</v>
      </c>
      <c r="S120" s="1">
        <f>'Wariant 2'!S$100</f>
        <v>0</v>
      </c>
      <c r="T120" s="1">
        <f>'Wariant 2'!T$100</f>
        <v>0</v>
      </c>
      <c r="U120" s="1">
        <f>'Wariant 2'!U$100</f>
        <v>0</v>
      </c>
      <c r="V120" s="1">
        <f>'Wariant 2'!V$100</f>
        <v>0</v>
      </c>
      <c r="W120" s="1">
        <f>'Wariant 2'!W$100</f>
        <v>0</v>
      </c>
      <c r="X120" s="1">
        <f>'Wariant 2'!X$100</f>
        <v>0</v>
      </c>
      <c r="Y120" s="1">
        <f>'Wariant 2'!Y$100</f>
        <v>0</v>
      </c>
      <c r="Z120" s="1">
        <f>'Wariant 2'!Z$100</f>
        <v>0</v>
      </c>
      <c r="AA120" s="1">
        <f>'Wariant 2'!AA$100</f>
        <v>0</v>
      </c>
      <c r="AB120" s="1">
        <f>'Wariant 2'!AB$100</f>
        <v>0</v>
      </c>
      <c r="AC120" s="1">
        <f>'Wariant 2'!AC$100</f>
        <v>0</v>
      </c>
      <c r="AD120" s="1">
        <f>'Wariant 2'!AD$100</f>
        <v>0</v>
      </c>
      <c r="AE120" s="1">
        <f>'Wariant 2'!AE$100</f>
        <v>0</v>
      </c>
      <c r="AF120" s="1">
        <f>'Wariant 2'!AF$100</f>
        <v>0</v>
      </c>
      <c r="AG120" s="1">
        <f>'Wariant 2'!AG$100</f>
        <v>0</v>
      </c>
      <c r="AH120" s="1">
        <f>'Wariant 2'!AH$100</f>
        <v>0</v>
      </c>
      <c r="AI120" s="1">
        <f>'Wariant 2'!AI$100</f>
        <v>0</v>
      </c>
      <c r="AJ120" s="1">
        <f>'Wariant 2'!AJ$100</f>
        <v>0</v>
      </c>
      <c r="AK120" s="1">
        <f>'Wariant 2'!AK$100</f>
        <v>0</v>
      </c>
      <c r="AL120" s="1">
        <f>'Wariant 2'!AL$100</f>
        <v>0</v>
      </c>
      <c r="AM120" s="1">
        <f>'Wariant 2'!AM$100</f>
        <v>0</v>
      </c>
      <c r="AN120" s="1">
        <f>'Wariant 2'!AN$100</f>
        <v>0</v>
      </c>
      <c r="AO120" s="1">
        <f>'Wariant 2'!AO$100</f>
        <v>0</v>
      </c>
      <c r="AP120" s="1">
        <f>'Wariant 2'!AP$100</f>
        <v>0</v>
      </c>
      <c r="AQ120" s="1">
        <f>'Wariant 2'!AQ$100</f>
        <v>0</v>
      </c>
      <c r="AR120" s="1">
        <f>'Wariant 2'!AR$100</f>
        <v>0</v>
      </c>
      <c r="AS120" s="1">
        <f>'Wariant 2'!AS$100</f>
        <v>0</v>
      </c>
      <c r="AT120" s="1">
        <f>'Wariant 2'!AT$100</f>
        <v>0</v>
      </c>
      <c r="AU120" s="1">
        <f>'Wariant 2'!AU$100</f>
        <v>0</v>
      </c>
      <c r="AV120" s="1">
        <f>'Wariant 2'!AV$100</f>
        <v>0</v>
      </c>
      <c r="AW120" s="1">
        <f>'Wariant 2'!AW$100</f>
        <v>0</v>
      </c>
      <c r="AX120" s="1">
        <f>'Wariant 2'!AX$100</f>
        <v>0</v>
      </c>
      <c r="AY120" s="1">
        <f>'Wariant 2'!AY$100</f>
        <v>0</v>
      </c>
      <c r="AZ120" s="1">
        <f>'Wariant 2'!AZ$100</f>
        <v>0</v>
      </c>
      <c r="BA120" s="1">
        <f>'Wariant 2'!BA$100</f>
        <v>0</v>
      </c>
    </row>
    <row r="121" spans="1:53" x14ac:dyDescent="0.35"/>
    <row r="122" spans="1:53" ht="15.75" customHeight="1" x14ac:dyDescent="0.35">
      <c r="A122" s="59" t="s">
        <v>134</v>
      </c>
      <c r="B122" s="59" t="s">
        <v>137</v>
      </c>
      <c r="C122" s="59"/>
      <c r="D122" s="59"/>
      <c r="E122" s="59"/>
      <c r="F122" s="59"/>
      <c r="G122" s="59"/>
      <c r="H122" s="59"/>
      <c r="I122" s="59"/>
      <c r="J122" s="59"/>
      <c r="K122" s="59"/>
      <c r="L122" s="59"/>
      <c r="M122" s="59"/>
      <c r="N122" s="59">
        <f>SUM(Q122:BA122)</f>
        <v>0</v>
      </c>
      <c r="O122" s="59"/>
      <c r="P122" s="59"/>
      <c r="Q122" s="59">
        <f t="shared" ref="Q122:BA122" si="67">SUM(Q124:Q129)</f>
        <v>0</v>
      </c>
      <c r="R122" s="59">
        <f t="shared" si="67"/>
        <v>0</v>
      </c>
      <c r="S122" s="59">
        <f t="shared" si="67"/>
        <v>0</v>
      </c>
      <c r="T122" s="59">
        <f t="shared" si="67"/>
        <v>0</v>
      </c>
      <c r="U122" s="59">
        <f t="shared" si="67"/>
        <v>0</v>
      </c>
      <c r="V122" s="59">
        <f t="shared" si="67"/>
        <v>0</v>
      </c>
      <c r="W122" s="59">
        <f t="shared" si="67"/>
        <v>0</v>
      </c>
      <c r="X122" s="59">
        <f t="shared" si="67"/>
        <v>0</v>
      </c>
      <c r="Y122" s="59">
        <f t="shared" si="67"/>
        <v>0</v>
      </c>
      <c r="Z122" s="59">
        <f t="shared" si="67"/>
        <v>0</v>
      </c>
      <c r="AA122" s="59">
        <f t="shared" si="67"/>
        <v>0</v>
      </c>
      <c r="AB122" s="59">
        <f t="shared" si="67"/>
        <v>0</v>
      </c>
      <c r="AC122" s="59">
        <f t="shared" si="67"/>
        <v>0</v>
      </c>
      <c r="AD122" s="59">
        <f t="shared" si="67"/>
        <v>0</v>
      </c>
      <c r="AE122" s="59">
        <f t="shared" si="67"/>
        <v>0</v>
      </c>
      <c r="AF122" s="59">
        <f t="shared" si="67"/>
        <v>0</v>
      </c>
      <c r="AG122" s="59">
        <f t="shared" si="67"/>
        <v>0</v>
      </c>
      <c r="AH122" s="59">
        <f t="shared" si="67"/>
        <v>0</v>
      </c>
      <c r="AI122" s="59">
        <f t="shared" si="67"/>
        <v>0</v>
      </c>
      <c r="AJ122" s="59">
        <f t="shared" si="67"/>
        <v>0</v>
      </c>
      <c r="AK122" s="59">
        <f t="shared" si="67"/>
        <v>0</v>
      </c>
      <c r="AL122" s="59">
        <f t="shared" si="67"/>
        <v>0</v>
      </c>
      <c r="AM122" s="59">
        <f t="shared" si="67"/>
        <v>0</v>
      </c>
      <c r="AN122" s="59">
        <f t="shared" si="67"/>
        <v>0</v>
      </c>
      <c r="AO122" s="59">
        <f t="shared" si="67"/>
        <v>0</v>
      </c>
      <c r="AP122" s="59">
        <f t="shared" si="67"/>
        <v>0</v>
      </c>
      <c r="AQ122" s="59">
        <f t="shared" si="67"/>
        <v>0</v>
      </c>
      <c r="AR122" s="59">
        <f t="shared" si="67"/>
        <v>0</v>
      </c>
      <c r="AS122" s="59">
        <f t="shared" si="67"/>
        <v>0</v>
      </c>
      <c r="AT122" s="59">
        <f t="shared" si="67"/>
        <v>0</v>
      </c>
      <c r="AU122" s="59">
        <f t="shared" si="67"/>
        <v>0</v>
      </c>
      <c r="AV122" s="59">
        <f t="shared" si="67"/>
        <v>0</v>
      </c>
      <c r="AW122" s="59">
        <f t="shared" si="67"/>
        <v>0</v>
      </c>
      <c r="AX122" s="59">
        <f t="shared" si="67"/>
        <v>0</v>
      </c>
      <c r="AY122" s="59">
        <f t="shared" si="67"/>
        <v>0</v>
      </c>
      <c r="AZ122" s="59">
        <f t="shared" si="67"/>
        <v>0</v>
      </c>
      <c r="BA122" s="59">
        <f t="shared" si="67"/>
        <v>0</v>
      </c>
    </row>
    <row r="123" spans="1:53" x14ac:dyDescent="0.35"/>
    <row r="124" spans="1:53" ht="15.75" customHeight="1" x14ac:dyDescent="0.35">
      <c r="A124" s="5"/>
      <c r="B124" s="5"/>
      <c r="C124" s="5" t="s">
        <v>136</v>
      </c>
      <c r="E124" s="5"/>
      <c r="F124" s="5"/>
      <c r="G124" s="5"/>
      <c r="H124" s="5"/>
      <c r="I124" s="5"/>
      <c r="J124" s="5"/>
      <c r="K124" s="5"/>
      <c r="N124" s="1">
        <f t="shared" ref="N124:N129" si="68">SUM(Q124:BA124)</f>
        <v>0</v>
      </c>
      <c r="Q124" s="1">
        <f t="shared" ref="Q124:BA124" si="69">Q100</f>
        <v>0</v>
      </c>
      <c r="R124" s="1">
        <f t="shared" si="69"/>
        <v>0</v>
      </c>
      <c r="S124" s="1">
        <f t="shared" si="69"/>
        <v>0</v>
      </c>
      <c r="T124" s="1">
        <f t="shared" si="69"/>
        <v>0</v>
      </c>
      <c r="U124" s="1">
        <f t="shared" si="69"/>
        <v>0</v>
      </c>
      <c r="V124" s="1">
        <f t="shared" si="69"/>
        <v>0</v>
      </c>
      <c r="W124" s="1">
        <f t="shared" si="69"/>
        <v>0</v>
      </c>
      <c r="X124" s="1">
        <f t="shared" si="69"/>
        <v>0</v>
      </c>
      <c r="Y124" s="1">
        <f t="shared" si="69"/>
        <v>0</v>
      </c>
      <c r="Z124" s="1">
        <f t="shared" si="69"/>
        <v>0</v>
      </c>
      <c r="AA124" s="1">
        <f t="shared" si="69"/>
        <v>0</v>
      </c>
      <c r="AB124" s="1">
        <f t="shared" si="69"/>
        <v>0</v>
      </c>
      <c r="AC124" s="1">
        <f t="shared" si="69"/>
        <v>0</v>
      </c>
      <c r="AD124" s="1">
        <f t="shared" si="69"/>
        <v>0</v>
      </c>
      <c r="AE124" s="1">
        <f t="shared" si="69"/>
        <v>0</v>
      </c>
      <c r="AF124" s="1">
        <f t="shared" si="69"/>
        <v>0</v>
      </c>
      <c r="AG124" s="1">
        <f t="shared" si="69"/>
        <v>0</v>
      </c>
      <c r="AH124" s="1">
        <f t="shared" si="69"/>
        <v>0</v>
      </c>
      <c r="AI124" s="1">
        <f t="shared" si="69"/>
        <v>0</v>
      </c>
      <c r="AJ124" s="1">
        <f t="shared" si="69"/>
        <v>0</v>
      </c>
      <c r="AK124" s="1">
        <f t="shared" si="69"/>
        <v>0</v>
      </c>
      <c r="AL124" s="1">
        <f t="shared" si="69"/>
        <v>0</v>
      </c>
      <c r="AM124" s="1">
        <f t="shared" si="69"/>
        <v>0</v>
      </c>
      <c r="AN124" s="1">
        <f t="shared" si="69"/>
        <v>0</v>
      </c>
      <c r="AO124" s="1">
        <f t="shared" si="69"/>
        <v>0</v>
      </c>
      <c r="AP124" s="1">
        <f t="shared" si="69"/>
        <v>0</v>
      </c>
      <c r="AQ124" s="1">
        <f t="shared" si="69"/>
        <v>0</v>
      </c>
      <c r="AR124" s="1">
        <f t="shared" si="69"/>
        <v>0</v>
      </c>
      <c r="AS124" s="1">
        <f t="shared" si="69"/>
        <v>0</v>
      </c>
      <c r="AT124" s="1">
        <f t="shared" si="69"/>
        <v>0</v>
      </c>
      <c r="AU124" s="1">
        <f t="shared" si="69"/>
        <v>0</v>
      </c>
      <c r="AV124" s="1">
        <f t="shared" si="69"/>
        <v>0</v>
      </c>
      <c r="AW124" s="1">
        <f t="shared" si="69"/>
        <v>0</v>
      </c>
      <c r="AX124" s="1">
        <f t="shared" si="69"/>
        <v>0</v>
      </c>
      <c r="AY124" s="1">
        <f t="shared" si="69"/>
        <v>0</v>
      </c>
      <c r="AZ124" s="1">
        <f t="shared" si="69"/>
        <v>0</v>
      </c>
      <c r="BA124" s="74">
        <f t="shared" si="69"/>
        <v>0</v>
      </c>
    </row>
    <row r="125" spans="1:53" ht="15.75" customHeight="1" x14ac:dyDescent="0.35">
      <c r="A125" s="5"/>
      <c r="B125" s="5"/>
      <c r="C125" s="5" t="s">
        <v>101</v>
      </c>
      <c r="E125" s="5"/>
      <c r="F125" s="5"/>
      <c r="G125" s="5"/>
      <c r="H125" s="5"/>
      <c r="I125" s="5"/>
      <c r="J125" s="5"/>
      <c r="K125" s="5"/>
      <c r="N125" s="1">
        <f t="shared" si="68"/>
        <v>0</v>
      </c>
      <c r="Q125" s="1">
        <f>-Założenia!$M$167*OEp.w2</f>
        <v>0</v>
      </c>
      <c r="R125" s="1">
        <f>-Założenia!$M$167*OEp.w2</f>
        <v>0</v>
      </c>
      <c r="S125" s="1">
        <f>-Założenia!$M$167*OEp.w2</f>
        <v>0</v>
      </c>
      <c r="T125" s="1">
        <f>-Założenia!$M$167*OEp.w2</f>
        <v>0</v>
      </c>
      <c r="U125" s="1">
        <f>-Założenia!$M$167*OEp.w2</f>
        <v>0</v>
      </c>
      <c r="V125" s="1">
        <f>-Założenia!$M$167*OEp.w2</f>
        <v>0</v>
      </c>
      <c r="W125" s="1">
        <f>-Założenia!$M$167*OEp.w2</f>
        <v>0</v>
      </c>
      <c r="X125" s="1">
        <f>-Założenia!$M$167*OEp.w2</f>
        <v>0</v>
      </c>
      <c r="Y125" s="1">
        <f>-Założenia!$M$167*OEp.w2</f>
        <v>0</v>
      </c>
      <c r="Z125" s="1">
        <f>-Założenia!$M$167*OEp.w2</f>
        <v>0</v>
      </c>
      <c r="AA125" s="1">
        <f>-Założenia!$M$167*OEp.w2</f>
        <v>0</v>
      </c>
      <c r="AB125" s="1">
        <f>-Założenia!$M$167*OEp.w2</f>
        <v>0</v>
      </c>
      <c r="AC125" s="1">
        <f>-Założenia!$M$167*OEp.w2</f>
        <v>0</v>
      </c>
      <c r="AD125" s="1">
        <f>-Założenia!$M$167*OEp.w2</f>
        <v>0</v>
      </c>
      <c r="AE125" s="1">
        <f>-Założenia!$M$167*OEp.w2</f>
        <v>0</v>
      </c>
      <c r="AF125" s="1">
        <f>-Założenia!$M$167*OEp.w2</f>
        <v>0</v>
      </c>
      <c r="AG125" s="1">
        <f>-Założenia!$M$167*OEp.w2</f>
        <v>0</v>
      </c>
      <c r="AH125" s="1">
        <f>-Założenia!$M$167*OEp.w2</f>
        <v>0</v>
      </c>
      <c r="AI125" s="1">
        <f>-Założenia!$M$167*OEp.w2</f>
        <v>0</v>
      </c>
      <c r="AJ125" s="1">
        <f>-Założenia!$M$167*OEp.w2</f>
        <v>0</v>
      </c>
      <c r="AK125" s="1">
        <f>-Założenia!$M$167*OEp.w2</f>
        <v>0</v>
      </c>
      <c r="AL125" s="1">
        <f>-Założenia!$M$167*OEp.w2</f>
        <v>0</v>
      </c>
      <c r="AM125" s="1">
        <f>-Założenia!$M$167*OEp.w2</f>
        <v>0</v>
      </c>
      <c r="AN125" s="1">
        <f>-Założenia!$M$167*OEp.w2</f>
        <v>0</v>
      </c>
      <c r="AO125" s="1">
        <f>-Założenia!$M$167*OEp.w2</f>
        <v>0</v>
      </c>
      <c r="AP125" s="1">
        <f>-Założenia!$M$167*OEp.w2</f>
        <v>0</v>
      </c>
      <c r="AQ125" s="1">
        <f>-Założenia!$M$167*OEp.w2</f>
        <v>0</v>
      </c>
      <c r="AR125" s="1">
        <f>-Założenia!$M$167*OEp.w2</f>
        <v>0</v>
      </c>
      <c r="AS125" s="1">
        <f>-Założenia!$M$167*OEp.w2</f>
        <v>0</v>
      </c>
      <c r="AT125" s="1">
        <f>-Założenia!$M$167*OEp.w2</f>
        <v>0</v>
      </c>
      <c r="AU125" s="1">
        <f>-Założenia!$M$167*OEp.w2</f>
        <v>0</v>
      </c>
      <c r="AV125" s="1">
        <f>-Założenia!$M$167*OEp.w2</f>
        <v>0</v>
      </c>
      <c r="AW125" s="1">
        <f>-Założenia!$M$167*OEp.w2</f>
        <v>0</v>
      </c>
      <c r="AX125" s="1">
        <f>-Założenia!$M$167*OEp.w2</f>
        <v>0</v>
      </c>
      <c r="AY125" s="1">
        <f>-Założenia!$M$167*OEp.w2</f>
        <v>0</v>
      </c>
      <c r="AZ125" s="1">
        <f>-Założenia!$M$167*OEp.w2</f>
        <v>0</v>
      </c>
      <c r="BA125" s="1">
        <f>-Założenia!$M$167*OEp.w2</f>
        <v>0</v>
      </c>
    </row>
    <row r="126" spans="1:53" ht="15.75" customHeight="1" x14ac:dyDescent="0.35">
      <c r="A126" s="5"/>
      <c r="B126" s="5"/>
      <c r="C126" s="5" t="s">
        <v>102</v>
      </c>
      <c r="E126" s="5"/>
      <c r="F126" s="5"/>
      <c r="G126" s="5"/>
      <c r="H126" s="5"/>
      <c r="I126" s="5"/>
      <c r="J126" s="5"/>
      <c r="K126" s="5"/>
      <c r="N126" s="1">
        <f t="shared" si="68"/>
        <v>0</v>
      </c>
      <c r="Q126" s="1">
        <f>-Założenia!$M$168*OEp.w2</f>
        <v>0</v>
      </c>
      <c r="R126" s="1">
        <f>-Założenia!$M$168*OEp.w2</f>
        <v>0</v>
      </c>
      <c r="S126" s="1">
        <f>-Założenia!$M$168*OEp.w2</f>
        <v>0</v>
      </c>
      <c r="T126" s="1">
        <f>-Założenia!$M$168*OEp.w2</f>
        <v>0</v>
      </c>
      <c r="U126" s="1">
        <f>-Założenia!$M$168*OEp.w2</f>
        <v>0</v>
      </c>
      <c r="V126" s="1">
        <f>-Założenia!$M$168*OEp.w2</f>
        <v>0</v>
      </c>
      <c r="W126" s="1">
        <f>-Założenia!$M$168*OEp.w2</f>
        <v>0</v>
      </c>
      <c r="X126" s="1">
        <f>-Założenia!$M$168*OEp.w2</f>
        <v>0</v>
      </c>
      <c r="Y126" s="1">
        <f>-Założenia!$M$168*OEp.w2</f>
        <v>0</v>
      </c>
      <c r="Z126" s="1">
        <f>-Założenia!$M$168*OEp.w2</f>
        <v>0</v>
      </c>
      <c r="AA126" s="1">
        <f>-Założenia!$M$168*OEp.w2</f>
        <v>0</v>
      </c>
      <c r="AB126" s="1">
        <f>-Założenia!$M$168*OEp.w2</f>
        <v>0</v>
      </c>
      <c r="AC126" s="1">
        <f>-Założenia!$M$168*OEp.w2</f>
        <v>0</v>
      </c>
      <c r="AD126" s="1">
        <f>-Założenia!$M$168*OEp.w2</f>
        <v>0</v>
      </c>
      <c r="AE126" s="1">
        <f>-Założenia!$M$168*OEp.w2</f>
        <v>0</v>
      </c>
      <c r="AF126" s="1">
        <f>-Założenia!$M$168*OEp.w2</f>
        <v>0</v>
      </c>
      <c r="AG126" s="1">
        <f>-Założenia!$M$168*OEp.w2</f>
        <v>0</v>
      </c>
      <c r="AH126" s="1">
        <f>-Założenia!$M$168*OEp.w2</f>
        <v>0</v>
      </c>
      <c r="AI126" s="1">
        <f>-Założenia!$M$168*OEp.w2</f>
        <v>0</v>
      </c>
      <c r="AJ126" s="1">
        <f>-Założenia!$M$168*OEp.w2</f>
        <v>0</v>
      </c>
      <c r="AK126" s="1">
        <f>-Założenia!$M$168*OEp.w2</f>
        <v>0</v>
      </c>
      <c r="AL126" s="1">
        <f>-Założenia!$M$168*OEp.w2</f>
        <v>0</v>
      </c>
      <c r="AM126" s="1">
        <f>-Założenia!$M$168*OEp.w2</f>
        <v>0</v>
      </c>
      <c r="AN126" s="1">
        <f>-Założenia!$M$168*OEp.w2</f>
        <v>0</v>
      </c>
      <c r="AO126" s="1">
        <f>-Założenia!$M$168*OEp.w2</f>
        <v>0</v>
      </c>
      <c r="AP126" s="1">
        <f>-Założenia!$M$168*OEp.w2</f>
        <v>0</v>
      </c>
      <c r="AQ126" s="1">
        <f>-Założenia!$M$168*OEp.w2</f>
        <v>0</v>
      </c>
      <c r="AR126" s="1">
        <f>-Założenia!$M$168*OEp.w2</f>
        <v>0</v>
      </c>
      <c r="AS126" s="1">
        <f>-Założenia!$M$168*OEp.w2</f>
        <v>0</v>
      </c>
      <c r="AT126" s="1">
        <f>-Założenia!$M$168*OEp.w2</f>
        <v>0</v>
      </c>
      <c r="AU126" s="1">
        <f>-Założenia!$M$168*OEp.w2</f>
        <v>0</v>
      </c>
      <c r="AV126" s="1">
        <f>-Założenia!$M$168*OEp.w2</f>
        <v>0</v>
      </c>
      <c r="AW126" s="1">
        <f>-Założenia!$M$168*OEp.w2</f>
        <v>0</v>
      </c>
      <c r="AX126" s="1">
        <f>-Założenia!$M$168*OEp.w2</f>
        <v>0</v>
      </c>
      <c r="AY126" s="1">
        <f>-Założenia!$M$168*OEp.w2</f>
        <v>0</v>
      </c>
      <c r="AZ126" s="1">
        <f>-Założenia!$M$168*OEp.w2</f>
        <v>0</v>
      </c>
      <c r="BA126" s="1">
        <f>-Założenia!$M$168*OEp.w2</f>
        <v>0</v>
      </c>
    </row>
    <row r="127" spans="1:53" ht="15.75" customHeight="1" x14ac:dyDescent="0.35">
      <c r="A127" s="5"/>
      <c r="B127" s="5"/>
      <c r="C127" s="5" t="s">
        <v>135</v>
      </c>
      <c r="E127" s="5"/>
      <c r="F127" s="5"/>
      <c r="G127" s="5"/>
      <c r="H127" s="5"/>
      <c r="I127" s="5"/>
      <c r="J127" s="5"/>
      <c r="K127" s="5"/>
      <c r="N127" s="1">
        <f t="shared" si="68"/>
        <v>0</v>
      </c>
      <c r="Q127" s="1">
        <f>-SUM(SUM(Q117,Q112)*(Założenia!$M$172="tak")*Założenia!$M$173,'Wariant 2'!Q$169)</f>
        <v>0</v>
      </c>
      <c r="R127" s="1">
        <f>-SUM(SUM(R117,R112)*(Założenia!$M$172="tak")*Założenia!$M$173,'Wariant 2'!R$169)</f>
        <v>0</v>
      </c>
      <c r="S127" s="1">
        <f>-SUM(SUM(S117,S112)*(Założenia!$M$172="tak")*Założenia!$M$173,'Wariant 2'!S$169)</f>
        <v>0</v>
      </c>
      <c r="T127" s="1">
        <f>-SUM(SUM(T117,T112)*(Założenia!$M$172="tak")*Założenia!$M$173,'Wariant 2'!T$169)</f>
        <v>0</v>
      </c>
      <c r="U127" s="1">
        <f>-SUM(SUM(U117,U112)*(Założenia!$M$172="tak")*Założenia!$M$173,'Wariant 2'!U$169)</f>
        <v>0</v>
      </c>
      <c r="V127" s="1">
        <f>-SUM(SUM(V117,V112)*(Założenia!$M$172="tak")*Założenia!$M$173,'Wariant 2'!V$169)</f>
        <v>0</v>
      </c>
      <c r="W127" s="1">
        <f>-SUM(SUM(W117,W112)*(Założenia!$M$172="tak")*Założenia!$M$173,'Wariant 2'!W$169)</f>
        <v>0</v>
      </c>
      <c r="X127" s="1">
        <f>-SUM(SUM(X117,X112)*(Założenia!$M$172="tak")*Założenia!$M$173,'Wariant 2'!X$169)</f>
        <v>0</v>
      </c>
      <c r="Y127" s="1">
        <f>-SUM(SUM(Y117,Y112)*(Założenia!$M$172="tak")*Założenia!$M$173,'Wariant 2'!Y$169)</f>
        <v>0</v>
      </c>
      <c r="Z127" s="1">
        <f>-SUM(SUM(Z117,Z112)*(Założenia!$M$172="tak")*Założenia!$M$173,'Wariant 2'!Z$169)</f>
        <v>0</v>
      </c>
      <c r="AA127" s="1">
        <f>-SUM(SUM(AA117,AA112)*(Założenia!$M$172="tak")*Założenia!$M$173,'Wariant 2'!AA$169)</f>
        <v>0</v>
      </c>
      <c r="AB127" s="1">
        <f>-SUM(SUM(AB117,AB112)*(Założenia!$M$172="tak")*Założenia!$M$173,'Wariant 2'!AB$169)</f>
        <v>0</v>
      </c>
      <c r="AC127" s="1">
        <f>-SUM(SUM(AC117,AC112)*(Założenia!$M$172="tak")*Założenia!$M$173,'Wariant 2'!AC$169)</f>
        <v>0</v>
      </c>
      <c r="AD127" s="1">
        <f>-SUM(SUM(AD117,AD112)*(Założenia!$M$172="tak")*Założenia!$M$173,'Wariant 2'!AD$169)</f>
        <v>0</v>
      </c>
      <c r="AE127" s="1">
        <f>-SUM(SUM(AE117,AE112)*(Założenia!$M$172="tak")*Założenia!$M$173,'Wariant 2'!AE$169)</f>
        <v>0</v>
      </c>
      <c r="AF127" s="1">
        <f>-SUM(SUM(AF117,AF112)*(Założenia!$M$172="tak")*Założenia!$M$173,'Wariant 2'!AF$169)</f>
        <v>0</v>
      </c>
      <c r="AG127" s="1">
        <f>-SUM(SUM(AG117,AG112)*(Założenia!$M$172="tak")*Założenia!$M$173,'Wariant 2'!AG$169)</f>
        <v>0</v>
      </c>
      <c r="AH127" s="1">
        <f>-SUM(SUM(AH117,AH112)*(Założenia!$M$172="tak")*Założenia!$M$173,'Wariant 2'!AH$169)</f>
        <v>0</v>
      </c>
      <c r="AI127" s="1">
        <f>-SUM(SUM(AI117,AI112)*(Założenia!$M$172="tak")*Założenia!$M$173,'Wariant 2'!AI$169)</f>
        <v>0</v>
      </c>
      <c r="AJ127" s="1">
        <f>-SUM(SUM(AJ117,AJ112)*(Założenia!$M$172="tak")*Założenia!$M$173,'Wariant 2'!AJ$169)</f>
        <v>0</v>
      </c>
      <c r="AK127" s="1">
        <f>-SUM(SUM(AK117,AK112)*(Założenia!$M$172="tak")*Założenia!$M$173,'Wariant 2'!AK$169)</f>
        <v>0</v>
      </c>
      <c r="AL127" s="1">
        <f>-SUM(SUM(AL117,AL112)*(Założenia!$M$172="tak")*Założenia!$M$173,'Wariant 2'!AL$169)</f>
        <v>0</v>
      </c>
      <c r="AM127" s="1">
        <f>-SUM(SUM(AM117,AM112)*(Założenia!$M$172="tak")*Założenia!$M$173,'Wariant 2'!AM$169)</f>
        <v>0</v>
      </c>
      <c r="AN127" s="1">
        <f>-SUM(SUM(AN117,AN112)*(Założenia!$M$172="tak")*Założenia!$M$173,'Wariant 2'!AN$169)</f>
        <v>0</v>
      </c>
      <c r="AO127" s="1">
        <f>-SUM(SUM(AO117,AO112)*(Założenia!$M$172="tak")*Założenia!$M$173,'Wariant 2'!AO$169)</f>
        <v>0</v>
      </c>
      <c r="AP127" s="1">
        <f>-SUM(SUM(AP117,AP112)*(Założenia!$M$172="tak")*Założenia!$M$173,'Wariant 2'!AP$169)</f>
        <v>0</v>
      </c>
      <c r="AQ127" s="1">
        <f>-SUM(SUM(AQ117,AQ112)*(Założenia!$M$172="tak")*Założenia!$M$173,'Wariant 2'!AQ$169)</f>
        <v>0</v>
      </c>
      <c r="AR127" s="1">
        <f>-SUM(SUM(AR117,AR112)*(Założenia!$M$172="tak")*Założenia!$M$173,'Wariant 2'!AR$169)</f>
        <v>0</v>
      </c>
      <c r="AS127" s="1">
        <f>-SUM(SUM(AS117,AS112)*(Założenia!$M$172="tak")*Założenia!$M$173,'Wariant 2'!AS$169)</f>
        <v>0</v>
      </c>
      <c r="AT127" s="1">
        <f>-SUM(SUM(AT117,AT112)*(Założenia!$M$172="tak")*Założenia!$M$173,'Wariant 2'!AT$169)</f>
        <v>0</v>
      </c>
      <c r="AU127" s="1">
        <f>-SUM(SUM(AU117,AU112)*(Założenia!$M$172="tak")*Założenia!$M$173,'Wariant 2'!AU$169)</f>
        <v>0</v>
      </c>
      <c r="AV127" s="1">
        <f>-SUM(SUM(AV117,AV112)*(Założenia!$M$172="tak")*Założenia!$M$173,'Wariant 2'!AV$169)</f>
        <v>0</v>
      </c>
      <c r="AW127" s="1">
        <f>-SUM(SUM(AW117,AW112)*(Założenia!$M$172="tak")*Założenia!$M$173,'Wariant 2'!AW$169)</f>
        <v>0</v>
      </c>
      <c r="AX127" s="1">
        <f>-SUM(SUM(AX117,AX112)*(Założenia!$M$172="tak")*Założenia!$M$173,'Wariant 2'!AX$169)</f>
        <v>0</v>
      </c>
      <c r="AY127" s="1">
        <f>-SUM(SUM(AY117,AY112)*(Założenia!$M$172="tak")*Założenia!$M$173,'Wariant 2'!AY$169)</f>
        <v>0</v>
      </c>
      <c r="AZ127" s="1">
        <f>-SUM(SUM(AZ117,AZ112)*(Założenia!$M$172="tak")*Założenia!$M$173,'Wariant 2'!AZ$169)</f>
        <v>0</v>
      </c>
      <c r="BA127" s="1">
        <f>-SUM(SUM(BA117,BA112)*(Założenia!$M$172="tak")*Założenia!$M$173,'Wariant 2'!BA$169)</f>
        <v>0</v>
      </c>
    </row>
    <row r="128" spans="1:53" ht="15.75" customHeight="1" x14ac:dyDescent="0.35">
      <c r="A128" s="5"/>
      <c r="B128" s="5"/>
      <c r="C128" s="5" t="s">
        <v>144</v>
      </c>
      <c r="E128" s="5"/>
      <c r="F128" s="5"/>
      <c r="G128" s="5"/>
      <c r="H128" s="5"/>
      <c r="I128" s="5"/>
      <c r="J128" s="5"/>
      <c r="K128" s="5"/>
      <c r="N128" s="1">
        <f t="shared" si="68"/>
        <v>0</v>
      </c>
      <c r="Q128" s="1">
        <f>-ABS(INDEX(Założenia!$M$87:$M$123,MATCH(Q$1,Założenia!$J$87:$J$123,0)))*CPIc*PPPt.w2</f>
        <v>0</v>
      </c>
      <c r="R128" s="1">
        <f>-ABS(INDEX(Założenia!$M$87:$M$123,MATCH(R$1,Założenia!$J$87:$J$123,0)))*CPIc*PPPt.w2</f>
        <v>0</v>
      </c>
      <c r="S128" s="1">
        <f>-ABS(INDEX(Założenia!$M$87:$M$123,MATCH(S$1,Założenia!$J$87:$J$123,0)))*CPIc*PPPt.w2</f>
        <v>0</v>
      </c>
      <c r="T128" s="1">
        <f>-ABS(INDEX(Założenia!$M$87:$M$123,MATCH(T$1,Założenia!$J$87:$J$123,0)))*CPIc*PPPt.w2</f>
        <v>0</v>
      </c>
      <c r="U128" s="1">
        <f>-ABS(INDEX(Założenia!$M$87:$M$123,MATCH(U$1,Założenia!$J$87:$J$123,0)))*CPIc*PPPt.w2</f>
        <v>0</v>
      </c>
      <c r="V128" s="1">
        <f>-ABS(INDEX(Założenia!$M$87:$M$123,MATCH(V$1,Założenia!$J$87:$J$123,0)))*CPIc*PPPt.w2</f>
        <v>0</v>
      </c>
      <c r="W128" s="1">
        <f>-ABS(INDEX(Założenia!$M$87:$M$123,MATCH(W$1,Założenia!$J$87:$J$123,0)))*CPIc*PPPt.w2</f>
        <v>0</v>
      </c>
      <c r="X128" s="1">
        <f>-ABS(INDEX(Założenia!$M$87:$M$123,MATCH(X$1,Założenia!$J$87:$J$123,0)))*CPIc*PPPt.w2</f>
        <v>0</v>
      </c>
      <c r="Y128" s="1">
        <f>-ABS(INDEX(Założenia!$M$87:$M$123,MATCH(Y$1,Założenia!$J$87:$J$123,0)))*CPIc*PPPt.w2</f>
        <v>0</v>
      </c>
      <c r="Z128" s="1">
        <f>-ABS(INDEX(Założenia!$M$87:$M$123,MATCH(Z$1,Założenia!$J$87:$J$123,0)))*CPIc*PPPt.w2</f>
        <v>0</v>
      </c>
      <c r="AA128" s="1">
        <f>-ABS(INDEX(Założenia!$M$87:$M$123,MATCH(AA$1,Założenia!$J$87:$J$123,0)))*CPIc*PPPt.w2</f>
        <v>0</v>
      </c>
      <c r="AB128" s="1">
        <f>-ABS(INDEX(Założenia!$M$87:$M$123,MATCH(AB$1,Założenia!$J$87:$J$123,0)))*CPIc*PPPt.w2</f>
        <v>0</v>
      </c>
      <c r="AC128" s="1">
        <f>-ABS(INDEX(Założenia!$M$87:$M$123,MATCH(AC$1,Założenia!$J$87:$J$123,0)))*CPIc*PPPt.w2</f>
        <v>0</v>
      </c>
      <c r="AD128" s="1">
        <f>-ABS(INDEX(Założenia!$M$87:$M$123,MATCH(AD$1,Założenia!$J$87:$J$123,0)))*CPIc*PPPt.w2</f>
        <v>0</v>
      </c>
      <c r="AE128" s="1">
        <f>-ABS(INDEX(Założenia!$M$87:$M$123,MATCH(AE$1,Założenia!$J$87:$J$123,0)))*CPIc*PPPt.w2</f>
        <v>0</v>
      </c>
      <c r="AF128" s="1">
        <f>-ABS(INDEX(Założenia!$M$87:$M$123,MATCH(AF$1,Założenia!$J$87:$J$123,0)))*CPIc*PPPt.w2</f>
        <v>0</v>
      </c>
      <c r="AG128" s="1">
        <f>-ABS(INDEX(Założenia!$M$87:$M$123,MATCH(AG$1,Założenia!$J$87:$J$123,0)))*CPIc*PPPt.w2</f>
        <v>0</v>
      </c>
      <c r="AH128" s="1">
        <f>-ABS(INDEX(Założenia!$M$87:$M$123,MATCH(AH$1,Założenia!$J$87:$J$123,0)))*CPIc*PPPt.w2</f>
        <v>0</v>
      </c>
      <c r="AI128" s="1">
        <f>-ABS(INDEX(Założenia!$M$87:$M$123,MATCH(AI$1,Założenia!$J$87:$J$123,0)))*CPIc*PPPt.w2</f>
        <v>0</v>
      </c>
      <c r="AJ128" s="1">
        <f>-ABS(INDEX(Założenia!$M$87:$M$123,MATCH(AJ$1,Założenia!$J$87:$J$123,0)))*CPIc*PPPt.w2</f>
        <v>0</v>
      </c>
      <c r="AK128" s="1">
        <f>-ABS(INDEX(Założenia!$M$87:$M$123,MATCH(AK$1,Założenia!$J$87:$J$123,0)))*CPIc*PPPt.w2</f>
        <v>0</v>
      </c>
      <c r="AL128" s="1">
        <f>-ABS(INDEX(Założenia!$M$87:$M$123,MATCH(AL$1,Założenia!$J$87:$J$123,0)))*CPIc*PPPt.w2</f>
        <v>0</v>
      </c>
      <c r="AM128" s="1">
        <f>-ABS(INDEX(Założenia!$M$87:$M$123,MATCH(AM$1,Założenia!$J$87:$J$123,0)))*CPIc*PPPt.w2</f>
        <v>0</v>
      </c>
      <c r="AN128" s="1">
        <f>-ABS(INDEX(Założenia!$M$87:$M$123,MATCH(AN$1,Założenia!$J$87:$J$123,0)))*CPIc*PPPt.w2</f>
        <v>0</v>
      </c>
      <c r="AO128" s="1">
        <f>-ABS(INDEX(Założenia!$M$87:$M$123,MATCH(AO$1,Założenia!$J$87:$J$123,0)))*CPIc*PPPt.w2</f>
        <v>0</v>
      </c>
      <c r="AP128" s="1">
        <f>-ABS(INDEX(Założenia!$M$87:$M$123,MATCH(AP$1,Założenia!$J$87:$J$123,0)))*CPIc*PPPt.w2</f>
        <v>0</v>
      </c>
      <c r="AQ128" s="1">
        <f>-ABS(INDEX(Założenia!$M$87:$M$123,MATCH(AQ$1,Założenia!$J$87:$J$123,0)))*CPIc*PPPt.w2</f>
        <v>0</v>
      </c>
      <c r="AR128" s="1">
        <f>-ABS(INDEX(Założenia!$M$87:$M$123,MATCH(AR$1,Założenia!$J$87:$J$123,0)))*CPIc*PPPt.w2</f>
        <v>0</v>
      </c>
      <c r="AS128" s="1">
        <f>-ABS(INDEX(Założenia!$M$87:$M$123,MATCH(AS$1,Założenia!$J$87:$J$123,0)))*CPIc*PPPt.w2</f>
        <v>0</v>
      </c>
      <c r="AT128" s="1">
        <f>-ABS(INDEX(Założenia!$M$87:$M$123,MATCH(AT$1,Założenia!$J$87:$J$123,0)))*CPIc*PPPt.w2</f>
        <v>0</v>
      </c>
      <c r="AU128" s="1">
        <f>-ABS(INDEX(Założenia!$M$87:$M$123,MATCH(AU$1,Założenia!$J$87:$J$123,0)))*CPIc*PPPt.w2</f>
        <v>0</v>
      </c>
      <c r="AV128" s="1">
        <f>-ABS(INDEX(Założenia!$M$87:$M$123,MATCH(AV$1,Założenia!$J$87:$J$123,0)))*CPIc*PPPt.w2</f>
        <v>0</v>
      </c>
      <c r="AW128" s="1">
        <f>-ABS(INDEX(Założenia!$M$87:$M$123,MATCH(AW$1,Założenia!$J$87:$J$123,0)))*CPIc*PPPt.w2</f>
        <v>0</v>
      </c>
      <c r="AX128" s="1">
        <f>-ABS(INDEX(Założenia!$M$87:$M$123,MATCH(AX$1,Założenia!$J$87:$J$123,0)))*CPIc*PPPt.w2</f>
        <v>0</v>
      </c>
      <c r="AY128" s="1">
        <f>-ABS(INDEX(Założenia!$M$87:$M$123,MATCH(AY$1,Założenia!$J$87:$J$123,0)))*CPIc*PPPt.w2</f>
        <v>0</v>
      </c>
      <c r="AZ128" s="1">
        <f>-ABS(INDEX(Założenia!$M$87:$M$123,MATCH(AZ$1,Założenia!$J$87:$J$123,0)))*CPIc*PPPt.w2</f>
        <v>0</v>
      </c>
      <c r="BA128" s="1">
        <f>-ABS(INDEX(Założenia!$M$87:$M$123,MATCH(BA$1,Założenia!$J$87:$J$123,0)))*CPIc*PPPt.w2</f>
        <v>0</v>
      </c>
    </row>
    <row r="129" spans="1:53" ht="15.75" customHeight="1" x14ac:dyDescent="0.35">
      <c r="A129" s="5"/>
      <c r="B129" s="5"/>
      <c r="C129" s="5" t="s">
        <v>141</v>
      </c>
      <c r="E129" s="5"/>
      <c r="F129" s="5"/>
      <c r="G129" s="5"/>
      <c r="H129" s="5"/>
      <c r="I129" s="5"/>
      <c r="J129" s="5"/>
      <c r="K129" s="5"/>
      <c r="N129" s="1">
        <f t="shared" si="68"/>
        <v>0</v>
      </c>
      <c r="Q129" s="1">
        <f>ABS(INDEX(Założenia!$M$126:$M$162,MATCH(Q$1,Założenia!$J$126:$J$162,0)))*CPIc*PPPt.w2</f>
        <v>0</v>
      </c>
      <c r="R129" s="1">
        <f>ABS(INDEX(Założenia!$M$126:$M$162,MATCH(R$1,Założenia!$J$126:$J$162,0)))*CPIc*PPPt.w2</f>
        <v>0</v>
      </c>
      <c r="S129" s="1">
        <f>ABS(INDEX(Założenia!$M$126:$M$162,MATCH(S$1,Założenia!$J$126:$J$162,0)))*CPIc*PPPt.w2</f>
        <v>0</v>
      </c>
      <c r="T129" s="1">
        <f>ABS(INDEX(Założenia!$M$126:$M$162,MATCH(T$1,Założenia!$J$126:$J$162,0)))*CPIc*PPPt.w2</f>
        <v>0</v>
      </c>
      <c r="U129" s="1">
        <f>ABS(INDEX(Założenia!$M$126:$M$162,MATCH(U$1,Założenia!$J$126:$J$162,0)))*CPIc*PPPt.w2</f>
        <v>0</v>
      </c>
      <c r="V129" s="1">
        <f>ABS(INDEX(Założenia!$M$126:$M$162,MATCH(V$1,Założenia!$J$126:$J$162,0)))*CPIc*PPPt.w2</f>
        <v>0</v>
      </c>
      <c r="W129" s="1">
        <f>ABS(INDEX(Założenia!$M$126:$M$162,MATCH(W$1,Założenia!$J$126:$J$162,0)))*CPIc*PPPt.w2</f>
        <v>0</v>
      </c>
      <c r="X129" s="1">
        <f>ABS(INDEX(Założenia!$M$126:$M$162,MATCH(X$1,Założenia!$J$126:$J$162,0)))*CPIc*PPPt.w2</f>
        <v>0</v>
      </c>
      <c r="Y129" s="1">
        <f>ABS(INDEX(Założenia!$M$126:$M$162,MATCH(Y$1,Założenia!$J$126:$J$162,0)))*CPIc*PPPt.w2</f>
        <v>0</v>
      </c>
      <c r="Z129" s="1">
        <f>ABS(INDEX(Założenia!$M$126:$M$162,MATCH(Z$1,Założenia!$J$126:$J$162,0)))*CPIc*PPPt.w2</f>
        <v>0</v>
      </c>
      <c r="AA129" s="1">
        <f>ABS(INDEX(Założenia!$M$126:$M$162,MATCH(AA$1,Założenia!$J$126:$J$162,0)))*CPIc*PPPt.w2</f>
        <v>0</v>
      </c>
      <c r="AB129" s="1">
        <f>ABS(INDEX(Założenia!$M$126:$M$162,MATCH(AB$1,Założenia!$J$126:$J$162,0)))*CPIc*PPPt.w2</f>
        <v>0</v>
      </c>
      <c r="AC129" s="1">
        <f>ABS(INDEX(Założenia!$M$126:$M$162,MATCH(AC$1,Założenia!$J$126:$J$162,0)))*CPIc*PPPt.w2</f>
        <v>0</v>
      </c>
      <c r="AD129" s="1">
        <f>ABS(INDEX(Założenia!$M$126:$M$162,MATCH(AD$1,Założenia!$J$126:$J$162,0)))*CPIc*PPPt.w2</f>
        <v>0</v>
      </c>
      <c r="AE129" s="1">
        <f>ABS(INDEX(Założenia!$M$126:$M$162,MATCH(AE$1,Założenia!$J$126:$J$162,0)))*CPIc*PPPt.w2</f>
        <v>0</v>
      </c>
      <c r="AF129" s="1">
        <f>ABS(INDEX(Założenia!$M$126:$M$162,MATCH(AF$1,Założenia!$J$126:$J$162,0)))*CPIc*PPPt.w2</f>
        <v>0</v>
      </c>
      <c r="AG129" s="1">
        <f>ABS(INDEX(Założenia!$M$126:$M$162,MATCH(AG$1,Założenia!$J$126:$J$162,0)))*CPIc*PPPt.w2</f>
        <v>0</v>
      </c>
      <c r="AH129" s="1">
        <f>ABS(INDEX(Założenia!$M$126:$M$162,MATCH(AH$1,Założenia!$J$126:$J$162,0)))*CPIc*PPPt.w2</f>
        <v>0</v>
      </c>
      <c r="AI129" s="1">
        <f>ABS(INDEX(Założenia!$M$126:$M$162,MATCH(AI$1,Założenia!$J$126:$J$162,0)))*CPIc*PPPt.w2</f>
        <v>0</v>
      </c>
      <c r="AJ129" s="1">
        <f>ABS(INDEX(Założenia!$M$126:$M$162,MATCH(AJ$1,Założenia!$J$126:$J$162,0)))*CPIc*PPPt.w2</f>
        <v>0</v>
      </c>
      <c r="AK129" s="1">
        <f>ABS(INDEX(Założenia!$M$126:$M$162,MATCH(AK$1,Założenia!$J$126:$J$162,0)))*CPIc*PPPt.w2</f>
        <v>0</v>
      </c>
      <c r="AL129" s="1">
        <f>ABS(INDEX(Założenia!$M$126:$M$162,MATCH(AL$1,Założenia!$J$126:$J$162,0)))*CPIc*PPPt.w2</f>
        <v>0</v>
      </c>
      <c r="AM129" s="1">
        <f>ABS(INDEX(Założenia!$M$126:$M$162,MATCH(AM$1,Założenia!$J$126:$J$162,0)))*CPIc*PPPt.w2</f>
        <v>0</v>
      </c>
      <c r="AN129" s="1">
        <f>ABS(INDEX(Założenia!$M$126:$M$162,MATCH(AN$1,Założenia!$J$126:$J$162,0)))*CPIc*PPPt.w2</f>
        <v>0</v>
      </c>
      <c r="AO129" s="1">
        <f>ABS(INDEX(Założenia!$M$126:$M$162,MATCH(AO$1,Założenia!$J$126:$J$162,0)))*CPIc*PPPt.w2</f>
        <v>0</v>
      </c>
      <c r="AP129" s="1">
        <f>ABS(INDEX(Założenia!$M$126:$M$162,MATCH(AP$1,Założenia!$J$126:$J$162,0)))*CPIc*PPPt.w2</f>
        <v>0</v>
      </c>
      <c r="AQ129" s="1">
        <f>ABS(INDEX(Założenia!$M$126:$M$162,MATCH(AQ$1,Założenia!$J$126:$J$162,0)))*CPIc*PPPt.w2</f>
        <v>0</v>
      </c>
      <c r="AR129" s="1">
        <f>ABS(INDEX(Założenia!$M$126:$M$162,MATCH(AR$1,Założenia!$J$126:$J$162,0)))*CPIc*PPPt.w2</f>
        <v>0</v>
      </c>
      <c r="AS129" s="1">
        <f>ABS(INDEX(Założenia!$M$126:$M$162,MATCH(AS$1,Założenia!$J$126:$J$162,0)))*CPIc*PPPt.w2</f>
        <v>0</v>
      </c>
      <c r="AT129" s="1">
        <f>ABS(INDEX(Założenia!$M$126:$M$162,MATCH(AT$1,Założenia!$J$126:$J$162,0)))*CPIc*PPPt.w2</f>
        <v>0</v>
      </c>
      <c r="AU129" s="1">
        <f>ABS(INDEX(Założenia!$M$126:$M$162,MATCH(AU$1,Założenia!$J$126:$J$162,0)))*CPIc*PPPt.w2</f>
        <v>0</v>
      </c>
      <c r="AV129" s="1">
        <f>ABS(INDEX(Założenia!$M$126:$M$162,MATCH(AV$1,Założenia!$J$126:$J$162,0)))*CPIc*PPPt.w2</f>
        <v>0</v>
      </c>
      <c r="AW129" s="1">
        <f>ABS(INDEX(Założenia!$M$126:$M$162,MATCH(AW$1,Założenia!$J$126:$J$162,0)))*CPIc*PPPt.w2</f>
        <v>0</v>
      </c>
      <c r="AX129" s="1">
        <f>ABS(INDEX(Założenia!$M$126:$M$162,MATCH(AX$1,Założenia!$J$126:$J$162,0)))*CPIc*PPPt.w2</f>
        <v>0</v>
      </c>
      <c r="AY129" s="1">
        <f>ABS(INDEX(Założenia!$M$126:$M$162,MATCH(AY$1,Założenia!$J$126:$J$162,0)))*CPIc*PPPt.w2</f>
        <v>0</v>
      </c>
      <c r="AZ129" s="1">
        <f>ABS(INDEX(Założenia!$M$126:$M$162,MATCH(AZ$1,Założenia!$J$126:$J$162,0)))*CPIc*PPPt.w2</f>
        <v>0</v>
      </c>
      <c r="BA129" s="1">
        <f>ABS(INDEX(Założenia!$M$126:$M$162,MATCH(BA$1,Założenia!$J$126:$J$162,0)))*CPIc*PPPt.w2</f>
        <v>0</v>
      </c>
    </row>
    <row r="130" spans="1:53" x14ac:dyDescent="0.35"/>
    <row r="131" spans="1:53" x14ac:dyDescent="0.35">
      <c r="A131" s="155" t="s">
        <v>265</v>
      </c>
      <c r="B131" s="155"/>
      <c r="C131" s="155"/>
    </row>
    <row r="132" spans="1:53" ht="15" thickBot="1" x14ac:dyDescent="0.4">
      <c r="A132" s="135" t="s">
        <v>207</v>
      </c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8"/>
      <c r="BA132" s="58"/>
    </row>
    <row r="133" spans="1:53" ht="15" thickTop="1" x14ac:dyDescent="0.35"/>
    <row r="134" spans="1:53" ht="15.75" customHeight="1" x14ac:dyDescent="0.35">
      <c r="A134" s="59" t="s">
        <v>133</v>
      </c>
      <c r="B134" s="59" t="s">
        <v>136</v>
      </c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>
        <f>SUM(Q134:BA134)</f>
        <v>0</v>
      </c>
      <c r="O134" s="59"/>
      <c r="P134" s="59"/>
      <c r="Q134" s="59">
        <f t="shared" ref="Q134:BA134" si="70">SUM(Q136,Q148)</f>
        <v>0</v>
      </c>
      <c r="R134" s="59">
        <f t="shared" si="70"/>
        <v>0</v>
      </c>
      <c r="S134" s="59">
        <f t="shared" si="70"/>
        <v>0</v>
      </c>
      <c r="T134" s="59">
        <f t="shared" si="70"/>
        <v>0</v>
      </c>
      <c r="U134" s="59">
        <f t="shared" si="70"/>
        <v>0</v>
      </c>
      <c r="V134" s="59">
        <f t="shared" si="70"/>
        <v>0</v>
      </c>
      <c r="W134" s="59">
        <f t="shared" si="70"/>
        <v>0</v>
      </c>
      <c r="X134" s="59">
        <f t="shared" si="70"/>
        <v>0</v>
      </c>
      <c r="Y134" s="59">
        <f t="shared" si="70"/>
        <v>0</v>
      </c>
      <c r="Z134" s="59">
        <f t="shared" si="70"/>
        <v>0</v>
      </c>
      <c r="AA134" s="59">
        <f t="shared" si="70"/>
        <v>0</v>
      </c>
      <c r="AB134" s="59">
        <f t="shared" si="70"/>
        <v>0</v>
      </c>
      <c r="AC134" s="59">
        <f t="shared" si="70"/>
        <v>0</v>
      </c>
      <c r="AD134" s="59">
        <f t="shared" si="70"/>
        <v>0</v>
      </c>
      <c r="AE134" s="59">
        <f t="shared" si="70"/>
        <v>0</v>
      </c>
      <c r="AF134" s="59">
        <f t="shared" si="70"/>
        <v>0</v>
      </c>
      <c r="AG134" s="59">
        <f t="shared" si="70"/>
        <v>0</v>
      </c>
      <c r="AH134" s="59">
        <f t="shared" si="70"/>
        <v>0</v>
      </c>
      <c r="AI134" s="59">
        <f t="shared" si="70"/>
        <v>0</v>
      </c>
      <c r="AJ134" s="59">
        <f t="shared" si="70"/>
        <v>0</v>
      </c>
      <c r="AK134" s="59">
        <f t="shared" si="70"/>
        <v>0</v>
      </c>
      <c r="AL134" s="59">
        <f t="shared" si="70"/>
        <v>0</v>
      </c>
      <c r="AM134" s="59">
        <f t="shared" si="70"/>
        <v>0</v>
      </c>
      <c r="AN134" s="59">
        <f t="shared" si="70"/>
        <v>0</v>
      </c>
      <c r="AO134" s="59">
        <f t="shared" si="70"/>
        <v>0</v>
      </c>
      <c r="AP134" s="59">
        <f t="shared" si="70"/>
        <v>0</v>
      </c>
      <c r="AQ134" s="59">
        <f t="shared" si="70"/>
        <v>0</v>
      </c>
      <c r="AR134" s="59">
        <f t="shared" si="70"/>
        <v>0</v>
      </c>
      <c r="AS134" s="59">
        <f t="shared" si="70"/>
        <v>0</v>
      </c>
      <c r="AT134" s="59">
        <f t="shared" si="70"/>
        <v>0</v>
      </c>
      <c r="AU134" s="59">
        <f t="shared" si="70"/>
        <v>0</v>
      </c>
      <c r="AV134" s="59">
        <f t="shared" si="70"/>
        <v>0</v>
      </c>
      <c r="AW134" s="59">
        <f t="shared" si="70"/>
        <v>0</v>
      </c>
      <c r="AX134" s="59">
        <f t="shared" si="70"/>
        <v>0</v>
      </c>
      <c r="AY134" s="59">
        <f t="shared" si="70"/>
        <v>0</v>
      </c>
      <c r="AZ134" s="59">
        <f t="shared" si="70"/>
        <v>0</v>
      </c>
      <c r="BA134" s="59">
        <f t="shared" si="70"/>
        <v>0</v>
      </c>
    </row>
    <row r="135" spans="1:53" ht="12.75" customHeight="1" x14ac:dyDescent="0.35"/>
    <row r="136" spans="1:53" ht="15.75" customHeight="1" x14ac:dyDescent="0.35">
      <c r="A136" s="15"/>
      <c r="B136" s="16" t="s">
        <v>75</v>
      </c>
      <c r="C136" s="16"/>
      <c r="D136" s="16"/>
      <c r="E136" s="16"/>
      <c r="F136" s="16"/>
      <c r="G136" s="16"/>
      <c r="H136" s="16"/>
      <c r="I136" s="16"/>
      <c r="J136" s="16"/>
      <c r="K136" s="16"/>
      <c r="L136" s="3"/>
      <c r="M136" s="3"/>
      <c r="N136" s="4">
        <f t="shared" ref="N136:N146" si="71">SUM(Q136:BA136)</f>
        <v>0</v>
      </c>
      <c r="O136" s="3"/>
      <c r="P136" s="3"/>
      <c r="Q136" s="4">
        <f t="shared" ref="Q136" si="72">SUM(Q137,Q144)</f>
        <v>0</v>
      </c>
      <c r="R136" s="4">
        <f t="shared" ref="R136:BA136" si="73">SUM(R137,R144)</f>
        <v>0</v>
      </c>
      <c r="S136" s="4">
        <f t="shared" si="73"/>
        <v>0</v>
      </c>
      <c r="T136" s="4">
        <f t="shared" si="73"/>
        <v>0</v>
      </c>
      <c r="U136" s="4">
        <f t="shared" si="73"/>
        <v>0</v>
      </c>
      <c r="V136" s="4">
        <f t="shared" si="73"/>
        <v>0</v>
      </c>
      <c r="W136" s="4">
        <f t="shared" si="73"/>
        <v>0</v>
      </c>
      <c r="X136" s="4">
        <f t="shared" si="73"/>
        <v>0</v>
      </c>
      <c r="Y136" s="4">
        <f t="shared" si="73"/>
        <v>0</v>
      </c>
      <c r="Z136" s="4">
        <f t="shared" si="73"/>
        <v>0</v>
      </c>
      <c r="AA136" s="4">
        <f t="shared" si="73"/>
        <v>0</v>
      </c>
      <c r="AB136" s="4">
        <f t="shared" si="73"/>
        <v>0</v>
      </c>
      <c r="AC136" s="4">
        <f t="shared" si="73"/>
        <v>0</v>
      </c>
      <c r="AD136" s="4">
        <f t="shared" si="73"/>
        <v>0</v>
      </c>
      <c r="AE136" s="4">
        <f t="shared" si="73"/>
        <v>0</v>
      </c>
      <c r="AF136" s="4">
        <f t="shared" si="73"/>
        <v>0</v>
      </c>
      <c r="AG136" s="4">
        <f t="shared" si="73"/>
        <v>0</v>
      </c>
      <c r="AH136" s="4">
        <f t="shared" si="73"/>
        <v>0</v>
      </c>
      <c r="AI136" s="4">
        <f t="shared" si="73"/>
        <v>0</v>
      </c>
      <c r="AJ136" s="4">
        <f t="shared" si="73"/>
        <v>0</v>
      </c>
      <c r="AK136" s="4">
        <f t="shared" si="73"/>
        <v>0</v>
      </c>
      <c r="AL136" s="4">
        <f t="shared" si="73"/>
        <v>0</v>
      </c>
      <c r="AM136" s="4">
        <f t="shared" si="73"/>
        <v>0</v>
      </c>
      <c r="AN136" s="4">
        <f t="shared" si="73"/>
        <v>0</v>
      </c>
      <c r="AO136" s="4">
        <f t="shared" si="73"/>
        <v>0</v>
      </c>
      <c r="AP136" s="4">
        <f t="shared" si="73"/>
        <v>0</v>
      </c>
      <c r="AQ136" s="4">
        <f t="shared" si="73"/>
        <v>0</v>
      </c>
      <c r="AR136" s="4">
        <f t="shared" si="73"/>
        <v>0</v>
      </c>
      <c r="AS136" s="4">
        <f t="shared" si="73"/>
        <v>0</v>
      </c>
      <c r="AT136" s="4">
        <f t="shared" si="73"/>
        <v>0</v>
      </c>
      <c r="AU136" s="4">
        <f t="shared" si="73"/>
        <v>0</v>
      </c>
      <c r="AV136" s="4">
        <f t="shared" si="73"/>
        <v>0</v>
      </c>
      <c r="AW136" s="4">
        <f t="shared" si="73"/>
        <v>0</v>
      </c>
      <c r="AX136" s="4">
        <f t="shared" si="73"/>
        <v>0</v>
      </c>
      <c r="AY136" s="4">
        <f t="shared" si="73"/>
        <v>0</v>
      </c>
      <c r="AZ136" s="4">
        <f t="shared" si="73"/>
        <v>0</v>
      </c>
      <c r="BA136" s="73">
        <f t="shared" si="73"/>
        <v>0</v>
      </c>
    </row>
    <row r="137" spans="1:53" ht="15.75" customHeight="1" x14ac:dyDescent="0.35">
      <c r="A137" s="5"/>
      <c r="B137" s="5"/>
      <c r="C137" s="5" t="s">
        <v>156</v>
      </c>
      <c r="E137" s="5"/>
      <c r="F137" s="5"/>
      <c r="G137" s="5"/>
      <c r="H137" s="5"/>
      <c r="I137" s="5"/>
      <c r="J137" s="5"/>
      <c r="K137" s="5"/>
      <c r="N137" s="1">
        <f t="shared" si="71"/>
        <v>0</v>
      </c>
      <c r="Q137" s="1">
        <f t="shared" ref="Q137" si="74">SUM(Q138:Q143)</f>
        <v>0</v>
      </c>
      <c r="R137" s="1">
        <f t="shared" ref="R137:BA137" si="75">SUM(R138:R143)</f>
        <v>0</v>
      </c>
      <c r="S137" s="1">
        <f t="shared" si="75"/>
        <v>0</v>
      </c>
      <c r="T137" s="1">
        <f t="shared" si="75"/>
        <v>0</v>
      </c>
      <c r="U137" s="1">
        <f t="shared" si="75"/>
        <v>0</v>
      </c>
      <c r="V137" s="1">
        <f t="shared" si="75"/>
        <v>0</v>
      </c>
      <c r="W137" s="1">
        <f t="shared" si="75"/>
        <v>0</v>
      </c>
      <c r="X137" s="1">
        <f t="shared" si="75"/>
        <v>0</v>
      </c>
      <c r="Y137" s="1">
        <f t="shared" si="75"/>
        <v>0</v>
      </c>
      <c r="Z137" s="1">
        <f t="shared" si="75"/>
        <v>0</v>
      </c>
      <c r="AA137" s="1">
        <f t="shared" si="75"/>
        <v>0</v>
      </c>
      <c r="AB137" s="1">
        <f t="shared" si="75"/>
        <v>0</v>
      </c>
      <c r="AC137" s="1">
        <f t="shared" si="75"/>
        <v>0</v>
      </c>
      <c r="AD137" s="1">
        <f t="shared" si="75"/>
        <v>0</v>
      </c>
      <c r="AE137" s="1">
        <f t="shared" si="75"/>
        <v>0</v>
      </c>
      <c r="AF137" s="1">
        <f t="shared" si="75"/>
        <v>0</v>
      </c>
      <c r="AG137" s="1">
        <f t="shared" si="75"/>
        <v>0</v>
      </c>
      <c r="AH137" s="1">
        <f t="shared" si="75"/>
        <v>0</v>
      </c>
      <c r="AI137" s="1">
        <f t="shared" si="75"/>
        <v>0</v>
      </c>
      <c r="AJ137" s="1">
        <f t="shared" si="75"/>
        <v>0</v>
      </c>
      <c r="AK137" s="1">
        <f t="shared" si="75"/>
        <v>0</v>
      </c>
      <c r="AL137" s="1">
        <f t="shared" si="75"/>
        <v>0</v>
      </c>
      <c r="AM137" s="1">
        <f t="shared" si="75"/>
        <v>0</v>
      </c>
      <c r="AN137" s="1">
        <f t="shared" si="75"/>
        <v>0</v>
      </c>
      <c r="AO137" s="1">
        <f t="shared" si="75"/>
        <v>0</v>
      </c>
      <c r="AP137" s="1">
        <f t="shared" si="75"/>
        <v>0</v>
      </c>
      <c r="AQ137" s="1">
        <f t="shared" si="75"/>
        <v>0</v>
      </c>
      <c r="AR137" s="1">
        <f t="shared" si="75"/>
        <v>0</v>
      </c>
      <c r="AS137" s="1">
        <f t="shared" si="75"/>
        <v>0</v>
      </c>
      <c r="AT137" s="1">
        <f t="shared" si="75"/>
        <v>0</v>
      </c>
      <c r="AU137" s="1">
        <f t="shared" si="75"/>
        <v>0</v>
      </c>
      <c r="AV137" s="1">
        <f t="shared" si="75"/>
        <v>0</v>
      </c>
      <c r="AW137" s="1">
        <f t="shared" si="75"/>
        <v>0</v>
      </c>
      <c r="AX137" s="1">
        <f t="shared" si="75"/>
        <v>0</v>
      </c>
      <c r="AY137" s="1">
        <f t="shared" si="75"/>
        <v>0</v>
      </c>
      <c r="AZ137" s="1">
        <f t="shared" si="75"/>
        <v>0</v>
      </c>
      <c r="BA137" s="74">
        <f t="shared" si="75"/>
        <v>0</v>
      </c>
    </row>
    <row r="138" spans="1:53" ht="15.75" customHeight="1" x14ac:dyDescent="0.35">
      <c r="A138" s="5"/>
      <c r="B138" s="5"/>
      <c r="C138" s="5"/>
      <c r="D138" s="5" t="s">
        <v>99</v>
      </c>
      <c r="E138" s="5"/>
      <c r="F138" s="5"/>
      <c r="G138" s="5"/>
      <c r="H138" s="5"/>
      <c r="I138" s="5"/>
      <c r="J138" s="5"/>
      <c r="K138" s="5"/>
      <c r="N138" s="11">
        <f t="shared" si="71"/>
        <v>0</v>
      </c>
      <c r="Q138" s="11">
        <f>'Wariant 3'!Q$90</f>
        <v>0</v>
      </c>
      <c r="R138" s="11">
        <f>'Wariant 3'!R$90</f>
        <v>0</v>
      </c>
      <c r="S138" s="11">
        <f>'Wariant 3'!S$90</f>
        <v>0</v>
      </c>
      <c r="T138" s="11">
        <f>'Wariant 3'!T$90</f>
        <v>0</v>
      </c>
      <c r="U138" s="11">
        <f>'Wariant 3'!U$90</f>
        <v>0</v>
      </c>
      <c r="V138" s="11">
        <f>'Wariant 3'!V$90</f>
        <v>0</v>
      </c>
      <c r="W138" s="11">
        <f>'Wariant 3'!W$90</f>
        <v>0</v>
      </c>
      <c r="X138" s="11">
        <f>'Wariant 3'!X$90</f>
        <v>0</v>
      </c>
      <c r="Y138" s="11">
        <f>'Wariant 3'!Y$90</f>
        <v>0</v>
      </c>
      <c r="Z138" s="11">
        <f>'Wariant 3'!Z$90</f>
        <v>0</v>
      </c>
      <c r="AA138" s="11">
        <f>'Wariant 3'!AA$90</f>
        <v>0</v>
      </c>
      <c r="AB138" s="11">
        <f>'Wariant 3'!AB$90</f>
        <v>0</v>
      </c>
      <c r="AC138" s="11">
        <f>'Wariant 3'!AC$90</f>
        <v>0</v>
      </c>
      <c r="AD138" s="11">
        <f>'Wariant 3'!AD$90</f>
        <v>0</v>
      </c>
      <c r="AE138" s="11">
        <f>'Wariant 3'!AE$90</f>
        <v>0</v>
      </c>
      <c r="AF138" s="11">
        <f>'Wariant 3'!AF$90</f>
        <v>0</v>
      </c>
      <c r="AG138" s="11">
        <f>'Wariant 3'!AG$90</f>
        <v>0</v>
      </c>
      <c r="AH138" s="11">
        <f>'Wariant 3'!AH$90</f>
        <v>0</v>
      </c>
      <c r="AI138" s="11">
        <f>'Wariant 3'!AI$90</f>
        <v>0</v>
      </c>
      <c r="AJ138" s="11">
        <f>'Wariant 3'!AJ$90</f>
        <v>0</v>
      </c>
      <c r="AK138" s="11">
        <f>'Wariant 3'!AK$90</f>
        <v>0</v>
      </c>
      <c r="AL138" s="11">
        <f>'Wariant 3'!AL$90</f>
        <v>0</v>
      </c>
      <c r="AM138" s="11">
        <f>'Wariant 3'!AM$90</f>
        <v>0</v>
      </c>
      <c r="AN138" s="11">
        <f>'Wariant 3'!AN$90</f>
        <v>0</v>
      </c>
      <c r="AO138" s="11">
        <f>'Wariant 3'!AO$90</f>
        <v>0</v>
      </c>
      <c r="AP138" s="11">
        <f>'Wariant 3'!AP$90</f>
        <v>0</v>
      </c>
      <c r="AQ138" s="11">
        <f>'Wariant 3'!AQ$90</f>
        <v>0</v>
      </c>
      <c r="AR138" s="11">
        <f>'Wariant 3'!AR$90</f>
        <v>0</v>
      </c>
      <c r="AS138" s="11">
        <f>'Wariant 3'!AS$90</f>
        <v>0</v>
      </c>
      <c r="AT138" s="11">
        <f>'Wariant 3'!AT$90</f>
        <v>0</v>
      </c>
      <c r="AU138" s="11">
        <f>'Wariant 3'!AU$90</f>
        <v>0</v>
      </c>
      <c r="AV138" s="11">
        <f>'Wariant 3'!AV$90</f>
        <v>0</v>
      </c>
      <c r="AW138" s="11">
        <f>'Wariant 3'!AW$90</f>
        <v>0</v>
      </c>
      <c r="AX138" s="11">
        <f>'Wariant 3'!AX$90</f>
        <v>0</v>
      </c>
      <c r="AY138" s="11">
        <f>'Wariant 3'!AY$90</f>
        <v>0</v>
      </c>
      <c r="AZ138" s="11">
        <f>'Wariant 3'!AZ$90</f>
        <v>0</v>
      </c>
      <c r="BA138" s="11">
        <f>'Wariant 3'!BA$90</f>
        <v>0</v>
      </c>
    </row>
    <row r="139" spans="1:53" ht="15.75" customHeight="1" x14ac:dyDescent="0.35">
      <c r="A139" s="5"/>
      <c r="B139" s="5"/>
      <c r="C139" s="5"/>
      <c r="D139" s="5" t="s">
        <v>100</v>
      </c>
      <c r="E139" s="5"/>
      <c r="F139" s="5"/>
      <c r="G139" s="5"/>
      <c r="H139" s="5"/>
      <c r="I139" s="5"/>
      <c r="J139" s="5"/>
      <c r="K139" s="5"/>
      <c r="N139" s="11">
        <f t="shared" si="71"/>
        <v>0</v>
      </c>
      <c r="Q139" s="11">
        <f>'Wariant 3'!Q$91</f>
        <v>0</v>
      </c>
      <c r="R139" s="11">
        <f>'Wariant 3'!R$91</f>
        <v>0</v>
      </c>
      <c r="S139" s="11">
        <f>'Wariant 3'!S$91</f>
        <v>0</v>
      </c>
      <c r="T139" s="11">
        <f>'Wariant 3'!T$91</f>
        <v>0</v>
      </c>
      <c r="U139" s="11">
        <f>'Wariant 3'!U$91</f>
        <v>0</v>
      </c>
      <c r="V139" s="11">
        <f>'Wariant 3'!V$91</f>
        <v>0</v>
      </c>
      <c r="W139" s="11">
        <f>'Wariant 3'!W$91</f>
        <v>0</v>
      </c>
      <c r="X139" s="11">
        <f>'Wariant 3'!X$91</f>
        <v>0</v>
      </c>
      <c r="Y139" s="11">
        <f>'Wariant 3'!Y$91</f>
        <v>0</v>
      </c>
      <c r="Z139" s="11">
        <f>'Wariant 3'!Z$91</f>
        <v>0</v>
      </c>
      <c r="AA139" s="11">
        <f>'Wariant 3'!AA$91</f>
        <v>0</v>
      </c>
      <c r="AB139" s="11">
        <f>'Wariant 3'!AB$91</f>
        <v>0</v>
      </c>
      <c r="AC139" s="11">
        <f>'Wariant 3'!AC$91</f>
        <v>0</v>
      </c>
      <c r="AD139" s="11">
        <f>'Wariant 3'!AD$91</f>
        <v>0</v>
      </c>
      <c r="AE139" s="11">
        <f>'Wariant 3'!AE$91</f>
        <v>0</v>
      </c>
      <c r="AF139" s="11">
        <f>'Wariant 3'!AF$91</f>
        <v>0</v>
      </c>
      <c r="AG139" s="11">
        <f>'Wariant 3'!AG$91</f>
        <v>0</v>
      </c>
      <c r="AH139" s="11">
        <f>'Wariant 3'!AH$91</f>
        <v>0</v>
      </c>
      <c r="AI139" s="11">
        <f>'Wariant 3'!AI$91</f>
        <v>0</v>
      </c>
      <c r="AJ139" s="11">
        <f>'Wariant 3'!AJ$91</f>
        <v>0</v>
      </c>
      <c r="AK139" s="11">
        <f>'Wariant 3'!AK$91</f>
        <v>0</v>
      </c>
      <c r="AL139" s="11">
        <f>'Wariant 3'!AL$91</f>
        <v>0</v>
      </c>
      <c r="AM139" s="11">
        <f>'Wariant 3'!AM$91</f>
        <v>0</v>
      </c>
      <c r="AN139" s="11">
        <f>'Wariant 3'!AN$91</f>
        <v>0</v>
      </c>
      <c r="AO139" s="11">
        <f>'Wariant 3'!AO$91</f>
        <v>0</v>
      </c>
      <c r="AP139" s="11">
        <f>'Wariant 3'!AP$91</f>
        <v>0</v>
      </c>
      <c r="AQ139" s="11">
        <f>'Wariant 3'!AQ$91</f>
        <v>0</v>
      </c>
      <c r="AR139" s="11">
        <f>'Wariant 3'!AR$91</f>
        <v>0</v>
      </c>
      <c r="AS139" s="11">
        <f>'Wariant 3'!AS$91</f>
        <v>0</v>
      </c>
      <c r="AT139" s="11">
        <f>'Wariant 3'!AT$91</f>
        <v>0</v>
      </c>
      <c r="AU139" s="11">
        <f>'Wariant 3'!AU$91</f>
        <v>0</v>
      </c>
      <c r="AV139" s="11">
        <f>'Wariant 3'!AV$91</f>
        <v>0</v>
      </c>
      <c r="AW139" s="11">
        <f>'Wariant 3'!AW$91</f>
        <v>0</v>
      </c>
      <c r="AX139" s="11">
        <f>'Wariant 3'!AX$91</f>
        <v>0</v>
      </c>
      <c r="AY139" s="11">
        <f>'Wariant 3'!AY$91</f>
        <v>0</v>
      </c>
      <c r="AZ139" s="11">
        <f>'Wariant 3'!AZ$91</f>
        <v>0</v>
      </c>
      <c r="BA139" s="11">
        <f>'Wariant 3'!BA$91</f>
        <v>0</v>
      </c>
    </row>
    <row r="140" spans="1:53" ht="15.75" customHeight="1" x14ac:dyDescent="0.35">
      <c r="A140" s="5"/>
      <c r="B140" s="5"/>
      <c r="C140" s="5"/>
      <c r="D140" s="5" t="s">
        <v>66</v>
      </c>
      <c r="E140" s="5"/>
      <c r="F140" s="5"/>
      <c r="G140" s="5"/>
      <c r="H140" s="5"/>
      <c r="I140" s="5"/>
      <c r="J140" s="5"/>
      <c r="K140" s="5"/>
      <c r="N140" s="11">
        <f t="shared" si="71"/>
        <v>0</v>
      </c>
      <c r="Q140" s="11">
        <f>'Wariant 3'!Q$92</f>
        <v>0</v>
      </c>
      <c r="R140" s="11">
        <f>'Wariant 3'!R$92</f>
        <v>0</v>
      </c>
      <c r="S140" s="11">
        <f>'Wariant 3'!S$92</f>
        <v>0</v>
      </c>
      <c r="T140" s="11">
        <f>'Wariant 3'!T$92</f>
        <v>0</v>
      </c>
      <c r="U140" s="11">
        <f>'Wariant 3'!U$92</f>
        <v>0</v>
      </c>
      <c r="V140" s="11">
        <f>'Wariant 3'!V$92</f>
        <v>0</v>
      </c>
      <c r="W140" s="11">
        <f>'Wariant 3'!W$92</f>
        <v>0</v>
      </c>
      <c r="X140" s="11">
        <f>'Wariant 3'!X$92</f>
        <v>0</v>
      </c>
      <c r="Y140" s="11">
        <f>'Wariant 3'!Y$92</f>
        <v>0</v>
      </c>
      <c r="Z140" s="11">
        <f>'Wariant 3'!Z$92</f>
        <v>0</v>
      </c>
      <c r="AA140" s="11">
        <f>'Wariant 3'!AA$92</f>
        <v>0</v>
      </c>
      <c r="AB140" s="11">
        <f>'Wariant 3'!AB$92</f>
        <v>0</v>
      </c>
      <c r="AC140" s="11">
        <f>'Wariant 3'!AC$92</f>
        <v>0</v>
      </c>
      <c r="AD140" s="11">
        <f>'Wariant 3'!AD$92</f>
        <v>0</v>
      </c>
      <c r="AE140" s="11">
        <f>'Wariant 3'!AE$92</f>
        <v>0</v>
      </c>
      <c r="AF140" s="11">
        <f>'Wariant 3'!AF$92</f>
        <v>0</v>
      </c>
      <c r="AG140" s="11">
        <f>'Wariant 3'!AG$92</f>
        <v>0</v>
      </c>
      <c r="AH140" s="11">
        <f>'Wariant 3'!AH$92</f>
        <v>0</v>
      </c>
      <c r="AI140" s="11">
        <f>'Wariant 3'!AI$92</f>
        <v>0</v>
      </c>
      <c r="AJ140" s="11">
        <f>'Wariant 3'!AJ$92</f>
        <v>0</v>
      </c>
      <c r="AK140" s="11">
        <f>'Wariant 3'!AK$92</f>
        <v>0</v>
      </c>
      <c r="AL140" s="11">
        <f>'Wariant 3'!AL$92</f>
        <v>0</v>
      </c>
      <c r="AM140" s="11">
        <f>'Wariant 3'!AM$92</f>
        <v>0</v>
      </c>
      <c r="AN140" s="11">
        <f>'Wariant 3'!AN$92</f>
        <v>0</v>
      </c>
      <c r="AO140" s="11">
        <f>'Wariant 3'!AO$92</f>
        <v>0</v>
      </c>
      <c r="AP140" s="11">
        <f>'Wariant 3'!AP$92</f>
        <v>0</v>
      </c>
      <c r="AQ140" s="11">
        <f>'Wariant 3'!AQ$92</f>
        <v>0</v>
      </c>
      <c r="AR140" s="11">
        <f>'Wariant 3'!AR$92</f>
        <v>0</v>
      </c>
      <c r="AS140" s="11">
        <f>'Wariant 3'!AS$92</f>
        <v>0</v>
      </c>
      <c r="AT140" s="11">
        <f>'Wariant 3'!AT$92</f>
        <v>0</v>
      </c>
      <c r="AU140" s="11">
        <f>'Wariant 3'!AU$92</f>
        <v>0</v>
      </c>
      <c r="AV140" s="11">
        <f>'Wariant 3'!AV$92</f>
        <v>0</v>
      </c>
      <c r="AW140" s="11">
        <f>'Wariant 3'!AW$92</f>
        <v>0</v>
      </c>
      <c r="AX140" s="11">
        <f>'Wariant 3'!AX$92</f>
        <v>0</v>
      </c>
      <c r="AY140" s="11">
        <f>'Wariant 3'!AY$92</f>
        <v>0</v>
      </c>
      <c r="AZ140" s="11">
        <f>'Wariant 3'!AZ$92</f>
        <v>0</v>
      </c>
      <c r="BA140" s="11">
        <f>'Wariant 3'!BA$92</f>
        <v>0</v>
      </c>
    </row>
    <row r="141" spans="1:53" ht="15.75" customHeight="1" x14ac:dyDescent="0.35">
      <c r="A141" s="5"/>
      <c r="B141" s="5"/>
      <c r="C141" s="5"/>
      <c r="D141" s="5" t="s">
        <v>72</v>
      </c>
      <c r="E141" s="5"/>
      <c r="F141" s="5"/>
      <c r="G141" s="5"/>
      <c r="H141" s="5"/>
      <c r="I141" s="5"/>
      <c r="J141" s="5"/>
      <c r="K141" s="5"/>
      <c r="N141" s="11">
        <f t="shared" si="71"/>
        <v>0</v>
      </c>
      <c r="Q141" s="11">
        <f>'Wariant 3'!Q$93</f>
        <v>0</v>
      </c>
      <c r="R141" s="11">
        <f>'Wariant 3'!R$93</f>
        <v>0</v>
      </c>
      <c r="S141" s="11">
        <f>'Wariant 3'!S$93</f>
        <v>0</v>
      </c>
      <c r="T141" s="11">
        <f>'Wariant 3'!T$93</f>
        <v>0</v>
      </c>
      <c r="U141" s="11">
        <f>'Wariant 3'!U$93</f>
        <v>0</v>
      </c>
      <c r="V141" s="11">
        <f>'Wariant 3'!V$93</f>
        <v>0</v>
      </c>
      <c r="W141" s="11">
        <f>'Wariant 3'!W$93</f>
        <v>0</v>
      </c>
      <c r="X141" s="11">
        <f>'Wariant 3'!X$93</f>
        <v>0</v>
      </c>
      <c r="Y141" s="11">
        <f>'Wariant 3'!Y$93</f>
        <v>0</v>
      </c>
      <c r="Z141" s="11">
        <f>'Wariant 3'!Z$93</f>
        <v>0</v>
      </c>
      <c r="AA141" s="11">
        <f>'Wariant 3'!AA$93</f>
        <v>0</v>
      </c>
      <c r="AB141" s="11">
        <f>'Wariant 3'!AB$93</f>
        <v>0</v>
      </c>
      <c r="AC141" s="11">
        <f>'Wariant 3'!AC$93</f>
        <v>0</v>
      </c>
      <c r="AD141" s="11">
        <f>'Wariant 3'!AD$93</f>
        <v>0</v>
      </c>
      <c r="AE141" s="11">
        <f>'Wariant 3'!AE$93</f>
        <v>0</v>
      </c>
      <c r="AF141" s="11">
        <f>'Wariant 3'!AF$93</f>
        <v>0</v>
      </c>
      <c r="AG141" s="11">
        <f>'Wariant 3'!AG$93</f>
        <v>0</v>
      </c>
      <c r="AH141" s="11">
        <f>'Wariant 3'!AH$93</f>
        <v>0</v>
      </c>
      <c r="AI141" s="11">
        <f>'Wariant 3'!AI$93</f>
        <v>0</v>
      </c>
      <c r="AJ141" s="11">
        <f>'Wariant 3'!AJ$93</f>
        <v>0</v>
      </c>
      <c r="AK141" s="11">
        <f>'Wariant 3'!AK$93</f>
        <v>0</v>
      </c>
      <c r="AL141" s="11">
        <f>'Wariant 3'!AL$93</f>
        <v>0</v>
      </c>
      <c r="AM141" s="11">
        <f>'Wariant 3'!AM$93</f>
        <v>0</v>
      </c>
      <c r="AN141" s="11">
        <f>'Wariant 3'!AN$93</f>
        <v>0</v>
      </c>
      <c r="AO141" s="11">
        <f>'Wariant 3'!AO$93</f>
        <v>0</v>
      </c>
      <c r="AP141" s="11">
        <f>'Wariant 3'!AP$93</f>
        <v>0</v>
      </c>
      <c r="AQ141" s="11">
        <f>'Wariant 3'!AQ$93</f>
        <v>0</v>
      </c>
      <c r="AR141" s="11">
        <f>'Wariant 3'!AR$93</f>
        <v>0</v>
      </c>
      <c r="AS141" s="11">
        <f>'Wariant 3'!AS$93</f>
        <v>0</v>
      </c>
      <c r="AT141" s="11">
        <f>'Wariant 3'!AT$93</f>
        <v>0</v>
      </c>
      <c r="AU141" s="11">
        <f>'Wariant 3'!AU$93</f>
        <v>0</v>
      </c>
      <c r="AV141" s="11">
        <f>'Wariant 3'!AV$93</f>
        <v>0</v>
      </c>
      <c r="AW141" s="11">
        <f>'Wariant 3'!AW$93</f>
        <v>0</v>
      </c>
      <c r="AX141" s="11">
        <f>'Wariant 3'!AX$93</f>
        <v>0</v>
      </c>
      <c r="AY141" s="11">
        <f>'Wariant 3'!AY$93</f>
        <v>0</v>
      </c>
      <c r="AZ141" s="11">
        <f>'Wariant 3'!AZ$93</f>
        <v>0</v>
      </c>
      <c r="BA141" s="11">
        <f>'Wariant 3'!BA$93</f>
        <v>0</v>
      </c>
    </row>
    <row r="142" spans="1:53" ht="15.75" customHeight="1" x14ac:dyDescent="0.35">
      <c r="A142" s="5"/>
      <c r="B142" s="5"/>
      <c r="C142" s="5"/>
      <c r="D142" s="5" t="s">
        <v>50</v>
      </c>
      <c r="E142" s="5"/>
      <c r="F142" s="5"/>
      <c r="G142" s="5"/>
      <c r="H142" s="5"/>
      <c r="I142" s="5"/>
      <c r="J142" s="5"/>
      <c r="K142" s="5"/>
      <c r="N142" s="11">
        <f t="shared" si="71"/>
        <v>0</v>
      </c>
      <c r="Q142" s="11">
        <f>'Wariant 3'!Q$94</f>
        <v>0</v>
      </c>
      <c r="R142" s="11">
        <f>'Wariant 3'!R$94</f>
        <v>0</v>
      </c>
      <c r="S142" s="11">
        <f>'Wariant 3'!S$94</f>
        <v>0</v>
      </c>
      <c r="T142" s="11">
        <f>'Wariant 3'!T$94</f>
        <v>0</v>
      </c>
      <c r="U142" s="11">
        <f>'Wariant 3'!U$94</f>
        <v>0</v>
      </c>
      <c r="V142" s="11">
        <f>'Wariant 3'!V$94</f>
        <v>0</v>
      </c>
      <c r="W142" s="11">
        <f>'Wariant 3'!W$94</f>
        <v>0</v>
      </c>
      <c r="X142" s="11">
        <f>'Wariant 3'!X$94</f>
        <v>0</v>
      </c>
      <c r="Y142" s="11">
        <f>'Wariant 3'!Y$94</f>
        <v>0</v>
      </c>
      <c r="Z142" s="11">
        <f>'Wariant 3'!Z$94</f>
        <v>0</v>
      </c>
      <c r="AA142" s="11">
        <f>'Wariant 3'!AA$94</f>
        <v>0</v>
      </c>
      <c r="AB142" s="11">
        <f>'Wariant 3'!AB$94</f>
        <v>0</v>
      </c>
      <c r="AC142" s="11">
        <f>'Wariant 3'!AC$94</f>
        <v>0</v>
      </c>
      <c r="AD142" s="11">
        <f>'Wariant 3'!AD$94</f>
        <v>0</v>
      </c>
      <c r="AE142" s="11">
        <f>'Wariant 3'!AE$94</f>
        <v>0</v>
      </c>
      <c r="AF142" s="11">
        <f>'Wariant 3'!AF$94</f>
        <v>0</v>
      </c>
      <c r="AG142" s="11">
        <f>'Wariant 3'!AG$94</f>
        <v>0</v>
      </c>
      <c r="AH142" s="11">
        <f>'Wariant 3'!AH$94</f>
        <v>0</v>
      </c>
      <c r="AI142" s="11">
        <f>'Wariant 3'!AI$94</f>
        <v>0</v>
      </c>
      <c r="AJ142" s="11">
        <f>'Wariant 3'!AJ$94</f>
        <v>0</v>
      </c>
      <c r="AK142" s="11">
        <f>'Wariant 3'!AK$94</f>
        <v>0</v>
      </c>
      <c r="AL142" s="11">
        <f>'Wariant 3'!AL$94</f>
        <v>0</v>
      </c>
      <c r="AM142" s="11">
        <f>'Wariant 3'!AM$94</f>
        <v>0</v>
      </c>
      <c r="AN142" s="11">
        <f>'Wariant 3'!AN$94</f>
        <v>0</v>
      </c>
      <c r="AO142" s="11">
        <f>'Wariant 3'!AO$94</f>
        <v>0</v>
      </c>
      <c r="AP142" s="11">
        <f>'Wariant 3'!AP$94</f>
        <v>0</v>
      </c>
      <c r="AQ142" s="11">
        <f>'Wariant 3'!AQ$94</f>
        <v>0</v>
      </c>
      <c r="AR142" s="11">
        <f>'Wariant 3'!AR$94</f>
        <v>0</v>
      </c>
      <c r="AS142" s="11">
        <f>'Wariant 3'!AS$94</f>
        <v>0</v>
      </c>
      <c r="AT142" s="11">
        <f>'Wariant 3'!AT$94</f>
        <v>0</v>
      </c>
      <c r="AU142" s="11">
        <f>'Wariant 3'!AU$94</f>
        <v>0</v>
      </c>
      <c r="AV142" s="11">
        <f>'Wariant 3'!AV$94</f>
        <v>0</v>
      </c>
      <c r="AW142" s="11">
        <f>'Wariant 3'!AW$94</f>
        <v>0</v>
      </c>
      <c r="AX142" s="11">
        <f>'Wariant 3'!AX$94</f>
        <v>0</v>
      </c>
      <c r="AY142" s="11">
        <f>'Wariant 3'!AY$94</f>
        <v>0</v>
      </c>
      <c r="AZ142" s="11">
        <f>'Wariant 3'!AZ$94</f>
        <v>0</v>
      </c>
      <c r="BA142" s="11">
        <f>'Wariant 3'!BA$94</f>
        <v>0</v>
      </c>
    </row>
    <row r="143" spans="1:53" ht="15.75" customHeight="1" x14ac:dyDescent="0.35">
      <c r="A143" s="5"/>
      <c r="B143" s="5"/>
      <c r="C143" s="5"/>
      <c r="D143" s="5" t="s">
        <v>33</v>
      </c>
      <c r="E143" s="5"/>
      <c r="F143" s="5"/>
      <c r="G143" s="5"/>
      <c r="H143" s="5"/>
      <c r="I143" s="5"/>
      <c r="J143" s="5"/>
      <c r="K143" s="5"/>
      <c r="N143" s="11">
        <f t="shared" si="71"/>
        <v>0</v>
      </c>
      <c r="Q143" s="11">
        <f>'Wariant 3'!Q$102</f>
        <v>0</v>
      </c>
      <c r="R143" s="11">
        <f>'Wariant 3'!R$102</f>
        <v>0</v>
      </c>
      <c r="S143" s="11">
        <f>'Wariant 3'!S$102</f>
        <v>0</v>
      </c>
      <c r="T143" s="11">
        <f>'Wariant 3'!T$102</f>
        <v>0</v>
      </c>
      <c r="U143" s="11">
        <f>'Wariant 3'!U$102</f>
        <v>0</v>
      </c>
      <c r="V143" s="11">
        <f>'Wariant 3'!V$102</f>
        <v>0</v>
      </c>
      <c r="W143" s="11">
        <f>'Wariant 3'!W$102</f>
        <v>0</v>
      </c>
      <c r="X143" s="11">
        <f>'Wariant 3'!X$102</f>
        <v>0</v>
      </c>
      <c r="Y143" s="11">
        <f>'Wariant 3'!Y$102</f>
        <v>0</v>
      </c>
      <c r="Z143" s="11">
        <f>'Wariant 3'!Z$102</f>
        <v>0</v>
      </c>
      <c r="AA143" s="11">
        <f>'Wariant 3'!AA$102</f>
        <v>0</v>
      </c>
      <c r="AB143" s="11">
        <f>'Wariant 3'!AB$102</f>
        <v>0</v>
      </c>
      <c r="AC143" s="11">
        <f>'Wariant 3'!AC$102</f>
        <v>0</v>
      </c>
      <c r="AD143" s="11">
        <f>'Wariant 3'!AD$102</f>
        <v>0</v>
      </c>
      <c r="AE143" s="11">
        <f>'Wariant 3'!AE$102</f>
        <v>0</v>
      </c>
      <c r="AF143" s="11">
        <f>'Wariant 3'!AF$102</f>
        <v>0</v>
      </c>
      <c r="AG143" s="11">
        <f>'Wariant 3'!AG$102</f>
        <v>0</v>
      </c>
      <c r="AH143" s="11">
        <f>'Wariant 3'!AH$102</f>
        <v>0</v>
      </c>
      <c r="AI143" s="11">
        <f>'Wariant 3'!AI$102</f>
        <v>0</v>
      </c>
      <c r="AJ143" s="11">
        <f>'Wariant 3'!AJ$102</f>
        <v>0</v>
      </c>
      <c r="AK143" s="11">
        <f>'Wariant 3'!AK$102</f>
        <v>0</v>
      </c>
      <c r="AL143" s="11">
        <f>'Wariant 3'!AL$102</f>
        <v>0</v>
      </c>
      <c r="AM143" s="11">
        <f>'Wariant 3'!AM$102</f>
        <v>0</v>
      </c>
      <c r="AN143" s="11">
        <f>'Wariant 3'!AN$102</f>
        <v>0</v>
      </c>
      <c r="AO143" s="11">
        <f>'Wariant 3'!AO$102</f>
        <v>0</v>
      </c>
      <c r="AP143" s="11">
        <f>'Wariant 3'!AP$102</f>
        <v>0</v>
      </c>
      <c r="AQ143" s="11">
        <f>'Wariant 3'!AQ$102</f>
        <v>0</v>
      </c>
      <c r="AR143" s="11">
        <f>'Wariant 3'!AR$102</f>
        <v>0</v>
      </c>
      <c r="AS143" s="11">
        <f>'Wariant 3'!AS$102</f>
        <v>0</v>
      </c>
      <c r="AT143" s="11">
        <f>'Wariant 3'!AT$102</f>
        <v>0</v>
      </c>
      <c r="AU143" s="11">
        <f>'Wariant 3'!AU$102</f>
        <v>0</v>
      </c>
      <c r="AV143" s="11">
        <f>'Wariant 3'!AV$102</f>
        <v>0</v>
      </c>
      <c r="AW143" s="11">
        <f>'Wariant 3'!AW$102</f>
        <v>0</v>
      </c>
      <c r="AX143" s="11">
        <f>'Wariant 3'!AX$102</f>
        <v>0</v>
      </c>
      <c r="AY143" s="11">
        <f>'Wariant 3'!AY$102</f>
        <v>0</v>
      </c>
      <c r="AZ143" s="11">
        <f>'Wariant 3'!AZ$102</f>
        <v>0</v>
      </c>
      <c r="BA143" s="11">
        <f>'Wariant 3'!BA$102</f>
        <v>0</v>
      </c>
    </row>
    <row r="144" spans="1:53" ht="15.75" customHeight="1" x14ac:dyDescent="0.35">
      <c r="A144" s="5"/>
      <c r="B144" s="5"/>
      <c r="C144" s="5" t="s">
        <v>159</v>
      </c>
      <c r="E144" s="5"/>
      <c r="F144" s="5"/>
      <c r="G144" s="5"/>
      <c r="H144" s="5"/>
      <c r="I144" s="5"/>
      <c r="J144" s="5"/>
      <c r="K144" s="5"/>
      <c r="N144" s="1">
        <f t="shared" si="71"/>
        <v>0</v>
      </c>
      <c r="Q144" s="1">
        <f t="shared" ref="Q144" si="76">SUM(Q145:Q146)</f>
        <v>0</v>
      </c>
      <c r="R144" s="1">
        <f t="shared" ref="R144:BA144" si="77">SUM(R145:R146)</f>
        <v>0</v>
      </c>
      <c r="S144" s="1">
        <f t="shared" si="77"/>
        <v>0</v>
      </c>
      <c r="T144" s="1">
        <f t="shared" si="77"/>
        <v>0</v>
      </c>
      <c r="U144" s="1">
        <f t="shared" si="77"/>
        <v>0</v>
      </c>
      <c r="V144" s="1">
        <f t="shared" si="77"/>
        <v>0</v>
      </c>
      <c r="W144" s="1">
        <f t="shared" si="77"/>
        <v>0</v>
      </c>
      <c r="X144" s="1">
        <f t="shared" si="77"/>
        <v>0</v>
      </c>
      <c r="Y144" s="1">
        <f t="shared" si="77"/>
        <v>0</v>
      </c>
      <c r="Z144" s="1">
        <f t="shared" si="77"/>
        <v>0</v>
      </c>
      <c r="AA144" s="1">
        <f t="shared" si="77"/>
        <v>0</v>
      </c>
      <c r="AB144" s="1">
        <f t="shared" si="77"/>
        <v>0</v>
      </c>
      <c r="AC144" s="1">
        <f t="shared" si="77"/>
        <v>0</v>
      </c>
      <c r="AD144" s="1">
        <f t="shared" si="77"/>
        <v>0</v>
      </c>
      <c r="AE144" s="1">
        <f t="shared" si="77"/>
        <v>0</v>
      </c>
      <c r="AF144" s="1">
        <f t="shared" si="77"/>
        <v>0</v>
      </c>
      <c r="AG144" s="1">
        <f t="shared" si="77"/>
        <v>0</v>
      </c>
      <c r="AH144" s="1">
        <f t="shared" si="77"/>
        <v>0</v>
      </c>
      <c r="AI144" s="1">
        <f t="shared" si="77"/>
        <v>0</v>
      </c>
      <c r="AJ144" s="1">
        <f t="shared" si="77"/>
        <v>0</v>
      </c>
      <c r="AK144" s="1">
        <f t="shared" si="77"/>
        <v>0</v>
      </c>
      <c r="AL144" s="1">
        <f t="shared" si="77"/>
        <v>0</v>
      </c>
      <c r="AM144" s="1">
        <f t="shared" si="77"/>
        <v>0</v>
      </c>
      <c r="AN144" s="1">
        <f t="shared" si="77"/>
        <v>0</v>
      </c>
      <c r="AO144" s="1">
        <f t="shared" si="77"/>
        <v>0</v>
      </c>
      <c r="AP144" s="1">
        <f t="shared" si="77"/>
        <v>0</v>
      </c>
      <c r="AQ144" s="1">
        <f t="shared" si="77"/>
        <v>0</v>
      </c>
      <c r="AR144" s="1">
        <f t="shared" si="77"/>
        <v>0</v>
      </c>
      <c r="AS144" s="1">
        <f t="shared" si="77"/>
        <v>0</v>
      </c>
      <c r="AT144" s="1">
        <f t="shared" si="77"/>
        <v>0</v>
      </c>
      <c r="AU144" s="1">
        <f t="shared" si="77"/>
        <v>0</v>
      </c>
      <c r="AV144" s="1">
        <f t="shared" si="77"/>
        <v>0</v>
      </c>
      <c r="AW144" s="1">
        <f t="shared" si="77"/>
        <v>0</v>
      </c>
      <c r="AX144" s="1">
        <f t="shared" si="77"/>
        <v>0</v>
      </c>
      <c r="AY144" s="1">
        <f t="shared" si="77"/>
        <v>0</v>
      </c>
      <c r="AZ144" s="1">
        <f t="shared" si="77"/>
        <v>0</v>
      </c>
      <c r="BA144" s="74">
        <f t="shared" si="77"/>
        <v>0</v>
      </c>
    </row>
    <row r="145" spans="1:53" ht="15.75" customHeight="1" x14ac:dyDescent="0.35">
      <c r="A145" s="5"/>
      <c r="B145" s="5"/>
      <c r="C145" s="5"/>
      <c r="D145" s="5" t="s">
        <v>142</v>
      </c>
      <c r="E145" s="5"/>
      <c r="F145" s="5"/>
      <c r="G145" s="5"/>
      <c r="H145" s="5"/>
      <c r="I145" s="5"/>
      <c r="J145" s="5"/>
      <c r="K145" s="5"/>
      <c r="N145" s="11">
        <f t="shared" si="71"/>
        <v>0</v>
      </c>
      <c r="Q145" s="11">
        <f>'Wariant 3'!Q$97</f>
        <v>0</v>
      </c>
      <c r="R145" s="11">
        <f>'Wariant 3'!R$97</f>
        <v>0</v>
      </c>
      <c r="S145" s="11">
        <f>'Wariant 3'!S$97</f>
        <v>0</v>
      </c>
      <c r="T145" s="11">
        <f>'Wariant 3'!T$97</f>
        <v>0</v>
      </c>
      <c r="U145" s="11">
        <f>'Wariant 3'!U$97</f>
        <v>0</v>
      </c>
      <c r="V145" s="11">
        <f>'Wariant 3'!V$97</f>
        <v>0</v>
      </c>
      <c r="W145" s="11">
        <f>'Wariant 3'!W$97</f>
        <v>0</v>
      </c>
      <c r="X145" s="11">
        <f>'Wariant 3'!X$97</f>
        <v>0</v>
      </c>
      <c r="Y145" s="11">
        <f>'Wariant 3'!Y$97</f>
        <v>0</v>
      </c>
      <c r="Z145" s="11">
        <f>'Wariant 3'!Z$97</f>
        <v>0</v>
      </c>
      <c r="AA145" s="11">
        <f>'Wariant 3'!AA$97</f>
        <v>0</v>
      </c>
      <c r="AB145" s="11">
        <f>'Wariant 3'!AB$97</f>
        <v>0</v>
      </c>
      <c r="AC145" s="11">
        <f>'Wariant 3'!AC$97</f>
        <v>0</v>
      </c>
      <c r="AD145" s="11">
        <f>'Wariant 3'!AD$97</f>
        <v>0</v>
      </c>
      <c r="AE145" s="11">
        <f>'Wariant 3'!AE$97</f>
        <v>0</v>
      </c>
      <c r="AF145" s="11">
        <f>'Wariant 3'!AF$97</f>
        <v>0</v>
      </c>
      <c r="AG145" s="11">
        <f>'Wariant 3'!AG$97</f>
        <v>0</v>
      </c>
      <c r="AH145" s="11">
        <f>'Wariant 3'!AH$97</f>
        <v>0</v>
      </c>
      <c r="AI145" s="11">
        <f>'Wariant 3'!AI$97</f>
        <v>0</v>
      </c>
      <c r="AJ145" s="11">
        <f>'Wariant 3'!AJ$97</f>
        <v>0</v>
      </c>
      <c r="AK145" s="11">
        <f>'Wariant 3'!AK$97</f>
        <v>0</v>
      </c>
      <c r="AL145" s="11">
        <f>'Wariant 3'!AL$97</f>
        <v>0</v>
      </c>
      <c r="AM145" s="11">
        <f>'Wariant 3'!AM$97</f>
        <v>0</v>
      </c>
      <c r="AN145" s="11">
        <f>'Wariant 3'!AN$97</f>
        <v>0</v>
      </c>
      <c r="AO145" s="11">
        <f>'Wariant 3'!AO$97</f>
        <v>0</v>
      </c>
      <c r="AP145" s="11">
        <f>'Wariant 3'!AP$97</f>
        <v>0</v>
      </c>
      <c r="AQ145" s="11">
        <f>'Wariant 3'!AQ$97</f>
        <v>0</v>
      </c>
      <c r="AR145" s="11">
        <f>'Wariant 3'!AR$97</f>
        <v>0</v>
      </c>
      <c r="AS145" s="11">
        <f>'Wariant 3'!AS$97</f>
        <v>0</v>
      </c>
      <c r="AT145" s="11">
        <f>'Wariant 3'!AT$97</f>
        <v>0</v>
      </c>
      <c r="AU145" s="11">
        <f>'Wariant 3'!AU$97</f>
        <v>0</v>
      </c>
      <c r="AV145" s="11">
        <f>'Wariant 3'!AV$97</f>
        <v>0</v>
      </c>
      <c r="AW145" s="11">
        <f>'Wariant 3'!AW$97</f>
        <v>0</v>
      </c>
      <c r="AX145" s="11">
        <f>'Wariant 3'!AX$97</f>
        <v>0</v>
      </c>
      <c r="AY145" s="11">
        <f>'Wariant 3'!AY$97</f>
        <v>0</v>
      </c>
      <c r="AZ145" s="11">
        <f>'Wariant 3'!AZ$97</f>
        <v>0</v>
      </c>
      <c r="BA145" s="11">
        <f>'Wariant 3'!BA$97</f>
        <v>0</v>
      </c>
    </row>
    <row r="146" spans="1:53" ht="15.75" customHeight="1" x14ac:dyDescent="0.35">
      <c r="A146" s="5"/>
      <c r="B146" s="5"/>
      <c r="C146" s="5"/>
      <c r="D146" s="5" t="s">
        <v>33</v>
      </c>
      <c r="E146" s="5"/>
      <c r="F146" s="5"/>
      <c r="G146" s="5"/>
      <c r="H146" s="5"/>
      <c r="I146" s="5"/>
      <c r="J146" s="5"/>
      <c r="K146" s="5"/>
      <c r="N146" s="11">
        <f t="shared" si="71"/>
        <v>0</v>
      </c>
      <c r="Q146" s="11">
        <f>'Wariant 3'!Q$107</f>
        <v>0</v>
      </c>
      <c r="R146" s="11">
        <f>'Wariant 3'!R$107</f>
        <v>0</v>
      </c>
      <c r="S146" s="11">
        <f>'Wariant 3'!S$107</f>
        <v>0</v>
      </c>
      <c r="T146" s="11">
        <f>'Wariant 3'!T$107</f>
        <v>0</v>
      </c>
      <c r="U146" s="11">
        <f>'Wariant 3'!U$107</f>
        <v>0</v>
      </c>
      <c r="V146" s="11">
        <f>'Wariant 3'!V$107</f>
        <v>0</v>
      </c>
      <c r="W146" s="11">
        <f>'Wariant 3'!W$107</f>
        <v>0</v>
      </c>
      <c r="X146" s="11">
        <f>'Wariant 3'!X$107</f>
        <v>0</v>
      </c>
      <c r="Y146" s="11">
        <f>'Wariant 3'!Y$107</f>
        <v>0</v>
      </c>
      <c r="Z146" s="11">
        <f>'Wariant 3'!Z$107</f>
        <v>0</v>
      </c>
      <c r="AA146" s="11">
        <f>'Wariant 3'!AA$107</f>
        <v>0</v>
      </c>
      <c r="AB146" s="11">
        <f>'Wariant 3'!AB$107</f>
        <v>0</v>
      </c>
      <c r="AC146" s="11">
        <f>'Wariant 3'!AC$107</f>
        <v>0</v>
      </c>
      <c r="AD146" s="11">
        <f>'Wariant 3'!AD$107</f>
        <v>0</v>
      </c>
      <c r="AE146" s="11">
        <f>'Wariant 3'!AE$107</f>
        <v>0</v>
      </c>
      <c r="AF146" s="11">
        <f>'Wariant 3'!AF$107</f>
        <v>0</v>
      </c>
      <c r="AG146" s="11">
        <f>'Wariant 3'!AG$107</f>
        <v>0</v>
      </c>
      <c r="AH146" s="11">
        <f>'Wariant 3'!AH$107</f>
        <v>0</v>
      </c>
      <c r="AI146" s="11">
        <f>'Wariant 3'!AI$107</f>
        <v>0</v>
      </c>
      <c r="AJ146" s="11">
        <f>'Wariant 3'!AJ$107</f>
        <v>0</v>
      </c>
      <c r="AK146" s="11">
        <f>'Wariant 3'!AK$107</f>
        <v>0</v>
      </c>
      <c r="AL146" s="11">
        <f>'Wariant 3'!AL$107</f>
        <v>0</v>
      </c>
      <c r="AM146" s="11">
        <f>'Wariant 3'!AM$107</f>
        <v>0</v>
      </c>
      <c r="AN146" s="11">
        <f>'Wariant 3'!AN$107</f>
        <v>0</v>
      </c>
      <c r="AO146" s="11">
        <f>'Wariant 3'!AO$107</f>
        <v>0</v>
      </c>
      <c r="AP146" s="11">
        <f>'Wariant 3'!AP$107</f>
        <v>0</v>
      </c>
      <c r="AQ146" s="11">
        <f>'Wariant 3'!AQ$107</f>
        <v>0</v>
      </c>
      <c r="AR146" s="11">
        <f>'Wariant 3'!AR$107</f>
        <v>0</v>
      </c>
      <c r="AS146" s="11">
        <f>'Wariant 3'!AS$107</f>
        <v>0</v>
      </c>
      <c r="AT146" s="11">
        <f>'Wariant 3'!AT$107</f>
        <v>0</v>
      </c>
      <c r="AU146" s="11">
        <f>'Wariant 3'!AU$107</f>
        <v>0</v>
      </c>
      <c r="AV146" s="11">
        <f>'Wariant 3'!AV$107</f>
        <v>0</v>
      </c>
      <c r="AW146" s="11">
        <f>'Wariant 3'!AW$107</f>
        <v>0</v>
      </c>
      <c r="AX146" s="11">
        <f>'Wariant 3'!AX$107</f>
        <v>0</v>
      </c>
      <c r="AY146" s="11">
        <f>'Wariant 3'!AY$107</f>
        <v>0</v>
      </c>
      <c r="AZ146" s="11">
        <f>'Wariant 3'!AZ$107</f>
        <v>0</v>
      </c>
      <c r="BA146" s="11">
        <f>'Wariant 3'!BA$107</f>
        <v>0</v>
      </c>
    </row>
    <row r="147" spans="1:53" x14ac:dyDescent="0.35"/>
    <row r="148" spans="1:53" ht="15.75" customHeight="1" x14ac:dyDescent="0.35">
      <c r="A148" s="15"/>
      <c r="B148" s="16" t="s">
        <v>76</v>
      </c>
      <c r="C148" s="16"/>
      <c r="D148" s="16"/>
      <c r="E148" s="16"/>
      <c r="F148" s="16"/>
      <c r="G148" s="16"/>
      <c r="H148" s="16"/>
      <c r="I148" s="16"/>
      <c r="J148" s="16"/>
      <c r="K148" s="16"/>
      <c r="L148" s="3"/>
      <c r="M148" s="3"/>
      <c r="N148" s="4">
        <f t="shared" ref="N148:N154" si="78">SUM(Q148:BA148)</f>
        <v>0</v>
      </c>
      <c r="O148" s="3"/>
      <c r="P148" s="3"/>
      <c r="Q148" s="4">
        <f t="shared" ref="Q148" si="79">SUM(Q149,Q152)</f>
        <v>0</v>
      </c>
      <c r="R148" s="4">
        <f t="shared" ref="R148:BA148" si="80">SUM(R149,R152)</f>
        <v>0</v>
      </c>
      <c r="S148" s="4">
        <f t="shared" si="80"/>
        <v>0</v>
      </c>
      <c r="T148" s="4">
        <f t="shared" si="80"/>
        <v>0</v>
      </c>
      <c r="U148" s="4">
        <f t="shared" si="80"/>
        <v>0</v>
      </c>
      <c r="V148" s="4">
        <f t="shared" si="80"/>
        <v>0</v>
      </c>
      <c r="W148" s="4">
        <f t="shared" si="80"/>
        <v>0</v>
      </c>
      <c r="X148" s="4">
        <f t="shared" si="80"/>
        <v>0</v>
      </c>
      <c r="Y148" s="4">
        <f t="shared" si="80"/>
        <v>0</v>
      </c>
      <c r="Z148" s="4">
        <f t="shared" si="80"/>
        <v>0</v>
      </c>
      <c r="AA148" s="4">
        <f t="shared" si="80"/>
        <v>0</v>
      </c>
      <c r="AB148" s="4">
        <f t="shared" si="80"/>
        <v>0</v>
      </c>
      <c r="AC148" s="4">
        <f t="shared" si="80"/>
        <v>0</v>
      </c>
      <c r="AD148" s="4">
        <f t="shared" si="80"/>
        <v>0</v>
      </c>
      <c r="AE148" s="4">
        <f t="shared" si="80"/>
        <v>0</v>
      </c>
      <c r="AF148" s="4">
        <f t="shared" si="80"/>
        <v>0</v>
      </c>
      <c r="AG148" s="4">
        <f t="shared" si="80"/>
        <v>0</v>
      </c>
      <c r="AH148" s="4">
        <f t="shared" si="80"/>
        <v>0</v>
      </c>
      <c r="AI148" s="4">
        <f t="shared" si="80"/>
        <v>0</v>
      </c>
      <c r="AJ148" s="4">
        <f t="shared" si="80"/>
        <v>0</v>
      </c>
      <c r="AK148" s="4">
        <f t="shared" si="80"/>
        <v>0</v>
      </c>
      <c r="AL148" s="4">
        <f t="shared" si="80"/>
        <v>0</v>
      </c>
      <c r="AM148" s="4">
        <f t="shared" si="80"/>
        <v>0</v>
      </c>
      <c r="AN148" s="4">
        <f t="shared" si="80"/>
        <v>0</v>
      </c>
      <c r="AO148" s="4">
        <f t="shared" si="80"/>
        <v>0</v>
      </c>
      <c r="AP148" s="4">
        <f t="shared" si="80"/>
        <v>0</v>
      </c>
      <c r="AQ148" s="4">
        <f t="shared" si="80"/>
        <v>0</v>
      </c>
      <c r="AR148" s="4">
        <f t="shared" si="80"/>
        <v>0</v>
      </c>
      <c r="AS148" s="4">
        <f t="shared" si="80"/>
        <v>0</v>
      </c>
      <c r="AT148" s="4">
        <f t="shared" si="80"/>
        <v>0</v>
      </c>
      <c r="AU148" s="4">
        <f t="shared" si="80"/>
        <v>0</v>
      </c>
      <c r="AV148" s="4">
        <f t="shared" si="80"/>
        <v>0</v>
      </c>
      <c r="AW148" s="4">
        <f t="shared" si="80"/>
        <v>0</v>
      </c>
      <c r="AX148" s="4">
        <f t="shared" si="80"/>
        <v>0</v>
      </c>
      <c r="AY148" s="4">
        <f t="shared" si="80"/>
        <v>0</v>
      </c>
      <c r="AZ148" s="4">
        <f t="shared" si="80"/>
        <v>0</v>
      </c>
      <c r="BA148" s="73">
        <f t="shared" si="80"/>
        <v>0</v>
      </c>
    </row>
    <row r="149" spans="1:53" ht="15.75" customHeight="1" x14ac:dyDescent="0.35">
      <c r="A149" s="5"/>
      <c r="B149" s="5"/>
      <c r="C149" s="5" t="s">
        <v>160</v>
      </c>
      <c r="D149" s="5"/>
      <c r="E149" s="5"/>
      <c r="F149" s="5"/>
      <c r="G149" s="5"/>
      <c r="H149" s="5"/>
      <c r="I149" s="5"/>
      <c r="J149" s="5"/>
      <c r="K149" s="5"/>
      <c r="N149" s="1">
        <f t="shared" si="78"/>
        <v>0</v>
      </c>
      <c r="Q149" s="11">
        <f t="shared" ref="Q149" si="81">SUM(Q150:Q151)</f>
        <v>0</v>
      </c>
      <c r="R149" s="11">
        <f t="shared" ref="R149:BA149" si="82">SUM(R150:R151)</f>
        <v>0</v>
      </c>
      <c r="S149" s="11">
        <f t="shared" si="82"/>
        <v>0</v>
      </c>
      <c r="T149" s="11">
        <f t="shared" si="82"/>
        <v>0</v>
      </c>
      <c r="U149" s="11">
        <f t="shared" si="82"/>
        <v>0</v>
      </c>
      <c r="V149" s="11">
        <f t="shared" si="82"/>
        <v>0</v>
      </c>
      <c r="W149" s="11">
        <f t="shared" si="82"/>
        <v>0</v>
      </c>
      <c r="X149" s="11">
        <f t="shared" si="82"/>
        <v>0</v>
      </c>
      <c r="Y149" s="11">
        <f t="shared" si="82"/>
        <v>0</v>
      </c>
      <c r="Z149" s="11">
        <f t="shared" si="82"/>
        <v>0</v>
      </c>
      <c r="AA149" s="11">
        <f t="shared" si="82"/>
        <v>0</v>
      </c>
      <c r="AB149" s="11">
        <f t="shared" si="82"/>
        <v>0</v>
      </c>
      <c r="AC149" s="11">
        <f t="shared" si="82"/>
        <v>0</v>
      </c>
      <c r="AD149" s="11">
        <f t="shared" si="82"/>
        <v>0</v>
      </c>
      <c r="AE149" s="11">
        <f t="shared" si="82"/>
        <v>0</v>
      </c>
      <c r="AF149" s="11">
        <f t="shared" si="82"/>
        <v>0</v>
      </c>
      <c r="AG149" s="11">
        <f t="shared" si="82"/>
        <v>0</v>
      </c>
      <c r="AH149" s="11">
        <f t="shared" si="82"/>
        <v>0</v>
      </c>
      <c r="AI149" s="11">
        <f t="shared" si="82"/>
        <v>0</v>
      </c>
      <c r="AJ149" s="11">
        <f t="shared" si="82"/>
        <v>0</v>
      </c>
      <c r="AK149" s="11">
        <f t="shared" si="82"/>
        <v>0</v>
      </c>
      <c r="AL149" s="11">
        <f t="shared" si="82"/>
        <v>0</v>
      </c>
      <c r="AM149" s="11">
        <f t="shared" si="82"/>
        <v>0</v>
      </c>
      <c r="AN149" s="11">
        <f t="shared" si="82"/>
        <v>0</v>
      </c>
      <c r="AO149" s="11">
        <f t="shared" si="82"/>
        <v>0</v>
      </c>
      <c r="AP149" s="11">
        <f t="shared" si="82"/>
        <v>0</v>
      </c>
      <c r="AQ149" s="11">
        <f t="shared" si="82"/>
        <v>0</v>
      </c>
      <c r="AR149" s="11">
        <f t="shared" si="82"/>
        <v>0</v>
      </c>
      <c r="AS149" s="11">
        <f t="shared" si="82"/>
        <v>0</v>
      </c>
      <c r="AT149" s="11">
        <f t="shared" si="82"/>
        <v>0</v>
      </c>
      <c r="AU149" s="11">
        <f t="shared" si="82"/>
        <v>0</v>
      </c>
      <c r="AV149" s="11">
        <f t="shared" si="82"/>
        <v>0</v>
      </c>
      <c r="AW149" s="11">
        <f t="shared" si="82"/>
        <v>0</v>
      </c>
      <c r="AX149" s="11">
        <f t="shared" si="82"/>
        <v>0</v>
      </c>
      <c r="AY149" s="11">
        <f t="shared" si="82"/>
        <v>0</v>
      </c>
      <c r="AZ149" s="11">
        <f t="shared" si="82"/>
        <v>0</v>
      </c>
      <c r="BA149" s="75">
        <f t="shared" si="82"/>
        <v>0</v>
      </c>
    </row>
    <row r="150" spans="1:53" ht="15.75" customHeight="1" x14ac:dyDescent="0.35">
      <c r="A150" s="5"/>
      <c r="B150" s="5"/>
      <c r="C150" s="5"/>
      <c r="D150" s="5" t="s">
        <v>6</v>
      </c>
      <c r="E150" s="5"/>
      <c r="F150" s="5"/>
      <c r="G150" s="5"/>
      <c r="H150" s="5"/>
      <c r="I150" s="5"/>
      <c r="J150" s="5"/>
      <c r="K150" s="5"/>
      <c r="N150" s="1">
        <f t="shared" si="78"/>
        <v>0</v>
      </c>
      <c r="Q150" s="11">
        <f>'Wariant 3'!Q$96</f>
        <v>0</v>
      </c>
      <c r="R150" s="11">
        <f>'Wariant 3'!R$96</f>
        <v>0</v>
      </c>
      <c r="S150" s="11">
        <f>'Wariant 3'!S$96</f>
        <v>0</v>
      </c>
      <c r="T150" s="11">
        <f>'Wariant 3'!T$96</f>
        <v>0</v>
      </c>
      <c r="U150" s="11">
        <f>'Wariant 3'!U$96</f>
        <v>0</v>
      </c>
      <c r="V150" s="11">
        <f>'Wariant 3'!V$96</f>
        <v>0</v>
      </c>
      <c r="W150" s="11">
        <f>'Wariant 3'!W$96</f>
        <v>0</v>
      </c>
      <c r="X150" s="11">
        <f>'Wariant 3'!X$96</f>
        <v>0</v>
      </c>
      <c r="Y150" s="11">
        <f>'Wariant 3'!Y$96</f>
        <v>0</v>
      </c>
      <c r="Z150" s="11">
        <f>'Wariant 3'!Z$96</f>
        <v>0</v>
      </c>
      <c r="AA150" s="11">
        <f>'Wariant 3'!AA$96</f>
        <v>0</v>
      </c>
      <c r="AB150" s="11">
        <f>'Wariant 3'!AB$96</f>
        <v>0</v>
      </c>
      <c r="AC150" s="11">
        <f>'Wariant 3'!AC$96</f>
        <v>0</v>
      </c>
      <c r="AD150" s="11">
        <f>'Wariant 3'!AD$96</f>
        <v>0</v>
      </c>
      <c r="AE150" s="11">
        <f>'Wariant 3'!AE$96</f>
        <v>0</v>
      </c>
      <c r="AF150" s="11">
        <f>'Wariant 3'!AF$96</f>
        <v>0</v>
      </c>
      <c r="AG150" s="11">
        <f>'Wariant 3'!AG$96</f>
        <v>0</v>
      </c>
      <c r="AH150" s="11">
        <f>'Wariant 3'!AH$96</f>
        <v>0</v>
      </c>
      <c r="AI150" s="11">
        <f>'Wariant 3'!AI$96</f>
        <v>0</v>
      </c>
      <c r="AJ150" s="11">
        <f>'Wariant 3'!AJ$96</f>
        <v>0</v>
      </c>
      <c r="AK150" s="11">
        <f>'Wariant 3'!AK$96</f>
        <v>0</v>
      </c>
      <c r="AL150" s="11">
        <f>'Wariant 3'!AL$96</f>
        <v>0</v>
      </c>
      <c r="AM150" s="11">
        <f>'Wariant 3'!AM$96</f>
        <v>0</v>
      </c>
      <c r="AN150" s="11">
        <f>'Wariant 3'!AN$96</f>
        <v>0</v>
      </c>
      <c r="AO150" s="11">
        <f>'Wariant 3'!AO$96</f>
        <v>0</v>
      </c>
      <c r="AP150" s="11">
        <f>'Wariant 3'!AP$96</f>
        <v>0</v>
      </c>
      <c r="AQ150" s="11">
        <f>'Wariant 3'!AQ$96</f>
        <v>0</v>
      </c>
      <c r="AR150" s="11">
        <f>'Wariant 3'!AR$96</f>
        <v>0</v>
      </c>
      <c r="AS150" s="11">
        <f>'Wariant 3'!AS$96</f>
        <v>0</v>
      </c>
      <c r="AT150" s="11">
        <f>'Wariant 3'!AT$96</f>
        <v>0</v>
      </c>
      <c r="AU150" s="11">
        <f>'Wariant 3'!AU$96</f>
        <v>0</v>
      </c>
      <c r="AV150" s="11">
        <f>'Wariant 3'!AV$96</f>
        <v>0</v>
      </c>
      <c r="AW150" s="11">
        <f>'Wariant 3'!AW$96</f>
        <v>0</v>
      </c>
      <c r="AX150" s="11">
        <f>'Wariant 3'!AX$96</f>
        <v>0</v>
      </c>
      <c r="AY150" s="11">
        <f>'Wariant 3'!AY$96</f>
        <v>0</v>
      </c>
      <c r="AZ150" s="11">
        <f>'Wariant 3'!AZ$96</f>
        <v>0</v>
      </c>
      <c r="BA150" s="11">
        <f>'Wariant 3'!BA$96</f>
        <v>0</v>
      </c>
    </row>
    <row r="151" spans="1:53" ht="15.75" customHeight="1" x14ac:dyDescent="0.35">
      <c r="A151" s="5"/>
      <c r="B151" s="5"/>
      <c r="C151" s="5"/>
      <c r="D151" s="5" t="s">
        <v>33</v>
      </c>
      <c r="E151" s="5"/>
      <c r="F151" s="5"/>
      <c r="G151" s="5"/>
      <c r="H151" s="5"/>
      <c r="I151" s="5"/>
      <c r="J151" s="5"/>
      <c r="K151" s="5"/>
      <c r="N151" s="1">
        <f t="shared" si="78"/>
        <v>0</v>
      </c>
      <c r="Q151" s="11">
        <f>'Wariant 3'!Q$106</f>
        <v>0</v>
      </c>
      <c r="R151" s="11">
        <f>'Wariant 3'!R$106</f>
        <v>0</v>
      </c>
      <c r="S151" s="11">
        <f>'Wariant 3'!S$106</f>
        <v>0</v>
      </c>
      <c r="T151" s="11">
        <f>'Wariant 3'!T$106</f>
        <v>0</v>
      </c>
      <c r="U151" s="11">
        <f>'Wariant 3'!U$106</f>
        <v>0</v>
      </c>
      <c r="V151" s="11">
        <f>'Wariant 3'!V$106</f>
        <v>0</v>
      </c>
      <c r="W151" s="11">
        <f>'Wariant 3'!W$106</f>
        <v>0</v>
      </c>
      <c r="X151" s="11">
        <f>'Wariant 3'!X$106</f>
        <v>0</v>
      </c>
      <c r="Y151" s="11">
        <f>'Wariant 3'!Y$106</f>
        <v>0</v>
      </c>
      <c r="Z151" s="11">
        <f>'Wariant 3'!Z$106</f>
        <v>0</v>
      </c>
      <c r="AA151" s="11">
        <f>'Wariant 3'!AA$106</f>
        <v>0</v>
      </c>
      <c r="AB151" s="11">
        <f>'Wariant 3'!AB$106</f>
        <v>0</v>
      </c>
      <c r="AC151" s="11">
        <f>'Wariant 3'!AC$106</f>
        <v>0</v>
      </c>
      <c r="AD151" s="11">
        <f>'Wariant 3'!AD$106</f>
        <v>0</v>
      </c>
      <c r="AE151" s="11">
        <f>'Wariant 3'!AE$106</f>
        <v>0</v>
      </c>
      <c r="AF151" s="11">
        <f>'Wariant 3'!AF$106</f>
        <v>0</v>
      </c>
      <c r="AG151" s="11">
        <f>'Wariant 3'!AG$106</f>
        <v>0</v>
      </c>
      <c r="AH151" s="11">
        <f>'Wariant 3'!AH$106</f>
        <v>0</v>
      </c>
      <c r="AI151" s="11">
        <f>'Wariant 3'!AI$106</f>
        <v>0</v>
      </c>
      <c r="AJ151" s="11">
        <f>'Wariant 3'!AJ$106</f>
        <v>0</v>
      </c>
      <c r="AK151" s="11">
        <f>'Wariant 3'!AK$106</f>
        <v>0</v>
      </c>
      <c r="AL151" s="11">
        <f>'Wariant 3'!AL$106</f>
        <v>0</v>
      </c>
      <c r="AM151" s="11">
        <f>'Wariant 3'!AM$106</f>
        <v>0</v>
      </c>
      <c r="AN151" s="11">
        <f>'Wariant 3'!AN$106</f>
        <v>0</v>
      </c>
      <c r="AO151" s="11">
        <f>'Wariant 3'!AO$106</f>
        <v>0</v>
      </c>
      <c r="AP151" s="11">
        <f>'Wariant 3'!AP$106</f>
        <v>0</v>
      </c>
      <c r="AQ151" s="11">
        <f>'Wariant 3'!AQ$106</f>
        <v>0</v>
      </c>
      <c r="AR151" s="11">
        <f>'Wariant 3'!AR$106</f>
        <v>0</v>
      </c>
      <c r="AS151" s="11">
        <f>'Wariant 3'!AS$106</f>
        <v>0</v>
      </c>
      <c r="AT151" s="11">
        <f>'Wariant 3'!AT$106</f>
        <v>0</v>
      </c>
      <c r="AU151" s="11">
        <f>'Wariant 3'!AU$106</f>
        <v>0</v>
      </c>
      <c r="AV151" s="11">
        <f>'Wariant 3'!AV$106</f>
        <v>0</v>
      </c>
      <c r="AW151" s="11">
        <f>'Wariant 3'!AW$106</f>
        <v>0</v>
      </c>
      <c r="AX151" s="11">
        <f>'Wariant 3'!AX$106</f>
        <v>0</v>
      </c>
      <c r="AY151" s="11">
        <f>'Wariant 3'!AY$106</f>
        <v>0</v>
      </c>
      <c r="AZ151" s="11">
        <f>'Wariant 3'!AZ$106</f>
        <v>0</v>
      </c>
      <c r="BA151" s="11">
        <f>'Wariant 3'!BA$106</f>
        <v>0</v>
      </c>
    </row>
    <row r="152" spans="1:53" ht="15.75" customHeight="1" x14ac:dyDescent="0.35">
      <c r="A152" s="5"/>
      <c r="B152" s="5"/>
      <c r="C152" s="5" t="s">
        <v>151</v>
      </c>
      <c r="D152" s="5"/>
      <c r="E152" s="5"/>
      <c r="F152" s="5"/>
      <c r="G152" s="5"/>
      <c r="H152" s="5"/>
      <c r="I152" s="5"/>
      <c r="J152" s="5"/>
      <c r="K152" s="5"/>
      <c r="N152" s="1">
        <f t="shared" si="78"/>
        <v>0</v>
      </c>
      <c r="Q152" s="11">
        <f t="shared" ref="Q152" si="83">SUM(Q153:Q154)</f>
        <v>0</v>
      </c>
      <c r="R152" s="11">
        <f t="shared" ref="R152:BA152" si="84">SUM(R153:R154)</f>
        <v>0</v>
      </c>
      <c r="S152" s="11">
        <f t="shared" si="84"/>
        <v>0</v>
      </c>
      <c r="T152" s="11">
        <f t="shared" si="84"/>
        <v>0</v>
      </c>
      <c r="U152" s="11">
        <f t="shared" si="84"/>
        <v>0</v>
      </c>
      <c r="V152" s="11">
        <f t="shared" si="84"/>
        <v>0</v>
      </c>
      <c r="W152" s="11">
        <f t="shared" si="84"/>
        <v>0</v>
      </c>
      <c r="X152" s="11">
        <f t="shared" si="84"/>
        <v>0</v>
      </c>
      <c r="Y152" s="11">
        <f t="shared" si="84"/>
        <v>0</v>
      </c>
      <c r="Z152" s="11">
        <f t="shared" si="84"/>
        <v>0</v>
      </c>
      <c r="AA152" s="11">
        <f t="shared" si="84"/>
        <v>0</v>
      </c>
      <c r="AB152" s="11">
        <f t="shared" si="84"/>
        <v>0</v>
      </c>
      <c r="AC152" s="11">
        <f t="shared" si="84"/>
        <v>0</v>
      </c>
      <c r="AD152" s="11">
        <f t="shared" si="84"/>
        <v>0</v>
      </c>
      <c r="AE152" s="11">
        <f t="shared" si="84"/>
        <v>0</v>
      </c>
      <c r="AF152" s="11">
        <f t="shared" si="84"/>
        <v>0</v>
      </c>
      <c r="AG152" s="11">
        <f t="shared" si="84"/>
        <v>0</v>
      </c>
      <c r="AH152" s="11">
        <f t="shared" si="84"/>
        <v>0</v>
      </c>
      <c r="AI152" s="11">
        <f t="shared" si="84"/>
        <v>0</v>
      </c>
      <c r="AJ152" s="11">
        <f t="shared" si="84"/>
        <v>0</v>
      </c>
      <c r="AK152" s="11">
        <f t="shared" si="84"/>
        <v>0</v>
      </c>
      <c r="AL152" s="11">
        <f t="shared" si="84"/>
        <v>0</v>
      </c>
      <c r="AM152" s="11">
        <f t="shared" si="84"/>
        <v>0</v>
      </c>
      <c r="AN152" s="11">
        <f t="shared" si="84"/>
        <v>0</v>
      </c>
      <c r="AO152" s="11">
        <f t="shared" si="84"/>
        <v>0</v>
      </c>
      <c r="AP152" s="11">
        <f t="shared" si="84"/>
        <v>0</v>
      </c>
      <c r="AQ152" s="11">
        <f t="shared" si="84"/>
        <v>0</v>
      </c>
      <c r="AR152" s="11">
        <f t="shared" si="84"/>
        <v>0</v>
      </c>
      <c r="AS152" s="11">
        <f t="shared" si="84"/>
        <v>0</v>
      </c>
      <c r="AT152" s="11">
        <f t="shared" si="84"/>
        <v>0</v>
      </c>
      <c r="AU152" s="11">
        <f t="shared" si="84"/>
        <v>0</v>
      </c>
      <c r="AV152" s="11">
        <f t="shared" si="84"/>
        <v>0</v>
      </c>
      <c r="AW152" s="11">
        <f t="shared" si="84"/>
        <v>0</v>
      </c>
      <c r="AX152" s="11">
        <f t="shared" si="84"/>
        <v>0</v>
      </c>
      <c r="AY152" s="11">
        <f t="shared" si="84"/>
        <v>0</v>
      </c>
      <c r="AZ152" s="11">
        <f t="shared" si="84"/>
        <v>0</v>
      </c>
      <c r="BA152" s="75">
        <f t="shared" si="84"/>
        <v>0</v>
      </c>
    </row>
    <row r="153" spans="1:53" ht="15.75" customHeight="1" x14ac:dyDescent="0.35">
      <c r="A153" s="5"/>
      <c r="B153" s="5"/>
      <c r="C153" s="5"/>
      <c r="D153" s="5" t="s">
        <v>147</v>
      </c>
      <c r="E153" s="5"/>
      <c r="F153" s="5"/>
      <c r="G153" s="5"/>
      <c r="H153" s="5"/>
      <c r="I153" s="5"/>
      <c r="J153" s="5"/>
      <c r="K153" s="5"/>
      <c r="N153" s="1">
        <f t="shared" si="78"/>
        <v>0</v>
      </c>
      <c r="Q153" s="1">
        <f>'Wariant 3'!Q$99</f>
        <v>0</v>
      </c>
      <c r="R153" s="1">
        <f>'Wariant 3'!R$99</f>
        <v>0</v>
      </c>
      <c r="S153" s="1">
        <f>'Wariant 3'!S$99</f>
        <v>0</v>
      </c>
      <c r="T153" s="1">
        <f>'Wariant 3'!T$99</f>
        <v>0</v>
      </c>
      <c r="U153" s="1">
        <f>'Wariant 3'!U$99</f>
        <v>0</v>
      </c>
      <c r="V153" s="1">
        <f>'Wariant 3'!V$99</f>
        <v>0</v>
      </c>
      <c r="W153" s="1">
        <f>'Wariant 3'!W$99</f>
        <v>0</v>
      </c>
      <c r="X153" s="1">
        <f>'Wariant 3'!X$99</f>
        <v>0</v>
      </c>
      <c r="Y153" s="1">
        <f>'Wariant 3'!Y$99</f>
        <v>0</v>
      </c>
      <c r="Z153" s="1">
        <f>'Wariant 3'!Z$99</f>
        <v>0</v>
      </c>
      <c r="AA153" s="1">
        <f>'Wariant 3'!AA$99</f>
        <v>0</v>
      </c>
      <c r="AB153" s="1">
        <f>'Wariant 3'!AB$99</f>
        <v>0</v>
      </c>
      <c r="AC153" s="1">
        <f>'Wariant 3'!AC$99</f>
        <v>0</v>
      </c>
      <c r="AD153" s="1">
        <f>'Wariant 3'!AD$99</f>
        <v>0</v>
      </c>
      <c r="AE153" s="1">
        <f>'Wariant 3'!AE$99</f>
        <v>0</v>
      </c>
      <c r="AF153" s="1">
        <f>'Wariant 3'!AF$99</f>
        <v>0</v>
      </c>
      <c r="AG153" s="1">
        <f>'Wariant 3'!AG$99</f>
        <v>0</v>
      </c>
      <c r="AH153" s="1">
        <f>'Wariant 3'!AH$99</f>
        <v>0</v>
      </c>
      <c r="AI153" s="1">
        <f>'Wariant 3'!AI$99</f>
        <v>0</v>
      </c>
      <c r="AJ153" s="1">
        <f>'Wariant 3'!AJ$99</f>
        <v>0</v>
      </c>
      <c r="AK153" s="1">
        <f>'Wariant 3'!AK$99</f>
        <v>0</v>
      </c>
      <c r="AL153" s="1">
        <f>'Wariant 3'!AL$99</f>
        <v>0</v>
      </c>
      <c r="AM153" s="1">
        <f>'Wariant 3'!AM$99</f>
        <v>0</v>
      </c>
      <c r="AN153" s="1">
        <f>'Wariant 3'!AN$99</f>
        <v>0</v>
      </c>
      <c r="AO153" s="1">
        <f>'Wariant 3'!AO$99</f>
        <v>0</v>
      </c>
      <c r="AP153" s="1">
        <f>'Wariant 3'!AP$99</f>
        <v>0</v>
      </c>
      <c r="AQ153" s="1">
        <f>'Wariant 3'!AQ$99</f>
        <v>0</v>
      </c>
      <c r="AR153" s="1">
        <f>'Wariant 3'!AR$99</f>
        <v>0</v>
      </c>
      <c r="AS153" s="1">
        <f>'Wariant 3'!AS$99</f>
        <v>0</v>
      </c>
      <c r="AT153" s="1">
        <f>'Wariant 3'!AT$99</f>
        <v>0</v>
      </c>
      <c r="AU153" s="1">
        <f>'Wariant 3'!AU$99</f>
        <v>0</v>
      </c>
      <c r="AV153" s="1">
        <f>'Wariant 3'!AV$99</f>
        <v>0</v>
      </c>
      <c r="AW153" s="1">
        <f>'Wariant 3'!AW$99</f>
        <v>0</v>
      </c>
      <c r="AX153" s="1">
        <f>'Wariant 3'!AX$99</f>
        <v>0</v>
      </c>
      <c r="AY153" s="1">
        <f>'Wariant 3'!AY$99</f>
        <v>0</v>
      </c>
      <c r="AZ153" s="1">
        <f>'Wariant 3'!AZ$99</f>
        <v>0</v>
      </c>
      <c r="BA153" s="1">
        <f>'Wariant 3'!BA$99</f>
        <v>0</v>
      </c>
    </row>
    <row r="154" spans="1:53" ht="15.75" customHeight="1" x14ac:dyDescent="0.35">
      <c r="A154" s="5"/>
      <c r="B154" s="5"/>
      <c r="C154" s="5"/>
      <c r="D154" s="5" t="s">
        <v>52</v>
      </c>
      <c r="E154" s="5"/>
      <c r="F154" s="5"/>
      <c r="G154" s="5"/>
      <c r="H154" s="5"/>
      <c r="I154" s="5"/>
      <c r="J154" s="5"/>
      <c r="K154" s="5"/>
      <c r="N154" s="1">
        <f t="shared" si="78"/>
        <v>0</v>
      </c>
      <c r="Q154" s="1">
        <f>'Wariant 3'!Q$100</f>
        <v>0</v>
      </c>
      <c r="R154" s="1">
        <f>'Wariant 3'!R$100</f>
        <v>0</v>
      </c>
      <c r="S154" s="1">
        <f>'Wariant 3'!S$100</f>
        <v>0</v>
      </c>
      <c r="T154" s="1">
        <f>'Wariant 3'!T$100</f>
        <v>0</v>
      </c>
      <c r="U154" s="1">
        <f>'Wariant 3'!U$100</f>
        <v>0</v>
      </c>
      <c r="V154" s="1">
        <f>'Wariant 3'!V$100</f>
        <v>0</v>
      </c>
      <c r="W154" s="1">
        <f>'Wariant 3'!W$100</f>
        <v>0</v>
      </c>
      <c r="X154" s="1">
        <f>'Wariant 3'!X$100</f>
        <v>0</v>
      </c>
      <c r="Y154" s="1">
        <f>'Wariant 3'!Y$100</f>
        <v>0</v>
      </c>
      <c r="Z154" s="1">
        <f>'Wariant 3'!Z$100</f>
        <v>0</v>
      </c>
      <c r="AA154" s="1">
        <f>'Wariant 3'!AA$100</f>
        <v>0</v>
      </c>
      <c r="AB154" s="1">
        <f>'Wariant 3'!AB$100</f>
        <v>0</v>
      </c>
      <c r="AC154" s="1">
        <f>'Wariant 3'!AC$100</f>
        <v>0</v>
      </c>
      <c r="AD154" s="1">
        <f>'Wariant 3'!AD$100</f>
        <v>0</v>
      </c>
      <c r="AE154" s="1">
        <f>'Wariant 3'!AE$100</f>
        <v>0</v>
      </c>
      <c r="AF154" s="1">
        <f>'Wariant 3'!AF$100</f>
        <v>0</v>
      </c>
      <c r="AG154" s="1">
        <f>'Wariant 3'!AG$100</f>
        <v>0</v>
      </c>
      <c r="AH154" s="1">
        <f>'Wariant 3'!AH$100</f>
        <v>0</v>
      </c>
      <c r="AI154" s="1">
        <f>'Wariant 3'!AI$100</f>
        <v>0</v>
      </c>
      <c r="AJ154" s="1">
        <f>'Wariant 3'!AJ$100</f>
        <v>0</v>
      </c>
      <c r="AK154" s="1">
        <f>'Wariant 3'!AK$100</f>
        <v>0</v>
      </c>
      <c r="AL154" s="1">
        <f>'Wariant 3'!AL$100</f>
        <v>0</v>
      </c>
      <c r="AM154" s="1">
        <f>'Wariant 3'!AM$100</f>
        <v>0</v>
      </c>
      <c r="AN154" s="1">
        <f>'Wariant 3'!AN$100</f>
        <v>0</v>
      </c>
      <c r="AO154" s="1">
        <f>'Wariant 3'!AO$100</f>
        <v>0</v>
      </c>
      <c r="AP154" s="1">
        <f>'Wariant 3'!AP$100</f>
        <v>0</v>
      </c>
      <c r="AQ154" s="1">
        <f>'Wariant 3'!AQ$100</f>
        <v>0</v>
      </c>
      <c r="AR154" s="1">
        <f>'Wariant 3'!AR$100</f>
        <v>0</v>
      </c>
      <c r="AS154" s="1">
        <f>'Wariant 3'!AS$100</f>
        <v>0</v>
      </c>
      <c r="AT154" s="1">
        <f>'Wariant 3'!AT$100</f>
        <v>0</v>
      </c>
      <c r="AU154" s="1">
        <f>'Wariant 3'!AU$100</f>
        <v>0</v>
      </c>
      <c r="AV154" s="1">
        <f>'Wariant 3'!AV$100</f>
        <v>0</v>
      </c>
      <c r="AW154" s="1">
        <f>'Wariant 3'!AW$100</f>
        <v>0</v>
      </c>
      <c r="AX154" s="1">
        <f>'Wariant 3'!AX$100</f>
        <v>0</v>
      </c>
      <c r="AY154" s="1">
        <f>'Wariant 3'!AY$100</f>
        <v>0</v>
      </c>
      <c r="AZ154" s="1">
        <f>'Wariant 3'!AZ$100</f>
        <v>0</v>
      </c>
      <c r="BA154" s="1">
        <f>'Wariant 3'!BA$100</f>
        <v>0</v>
      </c>
    </row>
    <row r="155" spans="1:53" x14ac:dyDescent="0.35"/>
    <row r="156" spans="1:53" ht="15.75" customHeight="1" x14ac:dyDescent="0.35">
      <c r="A156" s="59" t="s">
        <v>134</v>
      </c>
      <c r="B156" s="59" t="s">
        <v>137</v>
      </c>
      <c r="C156" s="59"/>
      <c r="D156" s="59"/>
      <c r="E156" s="59"/>
      <c r="F156" s="59"/>
      <c r="G156" s="59"/>
      <c r="H156" s="59"/>
      <c r="I156" s="59"/>
      <c r="J156" s="59"/>
      <c r="K156" s="59"/>
      <c r="L156" s="59"/>
      <c r="M156" s="59"/>
      <c r="N156" s="59">
        <f>SUM(Q156:BA156)</f>
        <v>0</v>
      </c>
      <c r="O156" s="59"/>
      <c r="P156" s="59"/>
      <c r="Q156" s="59">
        <f t="shared" ref="Q156:BA156" si="85">SUM(Q158:Q163)</f>
        <v>0</v>
      </c>
      <c r="R156" s="59">
        <f t="shared" si="85"/>
        <v>0</v>
      </c>
      <c r="S156" s="59">
        <f t="shared" si="85"/>
        <v>0</v>
      </c>
      <c r="T156" s="59">
        <f t="shared" si="85"/>
        <v>0</v>
      </c>
      <c r="U156" s="59">
        <f t="shared" si="85"/>
        <v>0</v>
      </c>
      <c r="V156" s="59">
        <f t="shared" si="85"/>
        <v>0</v>
      </c>
      <c r="W156" s="59">
        <f t="shared" si="85"/>
        <v>0</v>
      </c>
      <c r="X156" s="59">
        <f t="shared" si="85"/>
        <v>0</v>
      </c>
      <c r="Y156" s="59">
        <f t="shared" si="85"/>
        <v>0</v>
      </c>
      <c r="Z156" s="59">
        <f t="shared" si="85"/>
        <v>0</v>
      </c>
      <c r="AA156" s="59">
        <f t="shared" si="85"/>
        <v>0</v>
      </c>
      <c r="AB156" s="59">
        <f t="shared" si="85"/>
        <v>0</v>
      </c>
      <c r="AC156" s="59">
        <f t="shared" si="85"/>
        <v>0</v>
      </c>
      <c r="AD156" s="59">
        <f t="shared" si="85"/>
        <v>0</v>
      </c>
      <c r="AE156" s="59">
        <f t="shared" si="85"/>
        <v>0</v>
      </c>
      <c r="AF156" s="59">
        <f t="shared" si="85"/>
        <v>0</v>
      </c>
      <c r="AG156" s="59">
        <f t="shared" si="85"/>
        <v>0</v>
      </c>
      <c r="AH156" s="59">
        <f t="shared" si="85"/>
        <v>0</v>
      </c>
      <c r="AI156" s="59">
        <f t="shared" si="85"/>
        <v>0</v>
      </c>
      <c r="AJ156" s="59">
        <f t="shared" si="85"/>
        <v>0</v>
      </c>
      <c r="AK156" s="59">
        <f t="shared" si="85"/>
        <v>0</v>
      </c>
      <c r="AL156" s="59">
        <f t="shared" si="85"/>
        <v>0</v>
      </c>
      <c r="AM156" s="59">
        <f t="shared" si="85"/>
        <v>0</v>
      </c>
      <c r="AN156" s="59">
        <f t="shared" si="85"/>
        <v>0</v>
      </c>
      <c r="AO156" s="59">
        <f t="shared" si="85"/>
        <v>0</v>
      </c>
      <c r="AP156" s="59">
        <f t="shared" si="85"/>
        <v>0</v>
      </c>
      <c r="AQ156" s="59">
        <f t="shared" si="85"/>
        <v>0</v>
      </c>
      <c r="AR156" s="59">
        <f t="shared" si="85"/>
        <v>0</v>
      </c>
      <c r="AS156" s="59">
        <f t="shared" si="85"/>
        <v>0</v>
      </c>
      <c r="AT156" s="59">
        <f t="shared" si="85"/>
        <v>0</v>
      </c>
      <c r="AU156" s="59">
        <f t="shared" si="85"/>
        <v>0</v>
      </c>
      <c r="AV156" s="59">
        <f t="shared" si="85"/>
        <v>0</v>
      </c>
      <c r="AW156" s="59">
        <f t="shared" si="85"/>
        <v>0</v>
      </c>
      <c r="AX156" s="59">
        <f t="shared" si="85"/>
        <v>0</v>
      </c>
      <c r="AY156" s="59">
        <f t="shared" si="85"/>
        <v>0</v>
      </c>
      <c r="AZ156" s="59">
        <f t="shared" si="85"/>
        <v>0</v>
      </c>
      <c r="BA156" s="59">
        <f t="shared" si="85"/>
        <v>0</v>
      </c>
    </row>
    <row r="157" spans="1:53" x14ac:dyDescent="0.35"/>
    <row r="158" spans="1:53" ht="15.75" customHeight="1" x14ac:dyDescent="0.35">
      <c r="A158" s="5"/>
      <c r="B158" s="5"/>
      <c r="C158" s="5" t="s">
        <v>136</v>
      </c>
      <c r="E158" s="5"/>
      <c r="F158" s="5"/>
      <c r="G158" s="5"/>
      <c r="H158" s="5"/>
      <c r="I158" s="5"/>
      <c r="J158" s="5"/>
      <c r="K158" s="5"/>
      <c r="N158" s="1">
        <f t="shared" ref="N158:N163" si="86">SUM(Q158:BA158)</f>
        <v>0</v>
      </c>
      <c r="Q158" s="1">
        <f t="shared" ref="Q158:BA158" si="87">Q134</f>
        <v>0</v>
      </c>
      <c r="R158" s="1">
        <f t="shared" si="87"/>
        <v>0</v>
      </c>
      <c r="S158" s="1">
        <f t="shared" si="87"/>
        <v>0</v>
      </c>
      <c r="T158" s="1">
        <f t="shared" si="87"/>
        <v>0</v>
      </c>
      <c r="U158" s="1">
        <f t="shared" si="87"/>
        <v>0</v>
      </c>
      <c r="V158" s="1">
        <f t="shared" si="87"/>
        <v>0</v>
      </c>
      <c r="W158" s="1">
        <f t="shared" si="87"/>
        <v>0</v>
      </c>
      <c r="X158" s="1">
        <f t="shared" si="87"/>
        <v>0</v>
      </c>
      <c r="Y158" s="1">
        <f t="shared" si="87"/>
        <v>0</v>
      </c>
      <c r="Z158" s="1">
        <f t="shared" si="87"/>
        <v>0</v>
      </c>
      <c r="AA158" s="1">
        <f t="shared" si="87"/>
        <v>0</v>
      </c>
      <c r="AB158" s="1">
        <f t="shared" si="87"/>
        <v>0</v>
      </c>
      <c r="AC158" s="1">
        <f t="shared" si="87"/>
        <v>0</v>
      </c>
      <c r="AD158" s="1">
        <f t="shared" si="87"/>
        <v>0</v>
      </c>
      <c r="AE158" s="1">
        <f t="shared" si="87"/>
        <v>0</v>
      </c>
      <c r="AF158" s="1">
        <f t="shared" si="87"/>
        <v>0</v>
      </c>
      <c r="AG158" s="1">
        <f t="shared" si="87"/>
        <v>0</v>
      </c>
      <c r="AH158" s="1">
        <f t="shared" si="87"/>
        <v>0</v>
      </c>
      <c r="AI158" s="1">
        <f t="shared" si="87"/>
        <v>0</v>
      </c>
      <c r="AJ158" s="1">
        <f t="shared" si="87"/>
        <v>0</v>
      </c>
      <c r="AK158" s="1">
        <f t="shared" si="87"/>
        <v>0</v>
      </c>
      <c r="AL158" s="1">
        <f t="shared" si="87"/>
        <v>0</v>
      </c>
      <c r="AM158" s="1">
        <f t="shared" si="87"/>
        <v>0</v>
      </c>
      <c r="AN158" s="1">
        <f t="shared" si="87"/>
        <v>0</v>
      </c>
      <c r="AO158" s="1">
        <f t="shared" si="87"/>
        <v>0</v>
      </c>
      <c r="AP158" s="1">
        <f t="shared" si="87"/>
        <v>0</v>
      </c>
      <c r="AQ158" s="1">
        <f t="shared" si="87"/>
        <v>0</v>
      </c>
      <c r="AR158" s="1">
        <f t="shared" si="87"/>
        <v>0</v>
      </c>
      <c r="AS158" s="1">
        <f t="shared" si="87"/>
        <v>0</v>
      </c>
      <c r="AT158" s="1">
        <f t="shared" si="87"/>
        <v>0</v>
      </c>
      <c r="AU158" s="1">
        <f t="shared" si="87"/>
        <v>0</v>
      </c>
      <c r="AV158" s="1">
        <f t="shared" si="87"/>
        <v>0</v>
      </c>
      <c r="AW158" s="1">
        <f t="shared" si="87"/>
        <v>0</v>
      </c>
      <c r="AX158" s="1">
        <f t="shared" si="87"/>
        <v>0</v>
      </c>
      <c r="AY158" s="1">
        <f t="shared" si="87"/>
        <v>0</v>
      </c>
      <c r="AZ158" s="1">
        <f t="shared" si="87"/>
        <v>0</v>
      </c>
      <c r="BA158" s="74">
        <f t="shared" si="87"/>
        <v>0</v>
      </c>
    </row>
    <row r="159" spans="1:53" ht="15.75" customHeight="1" x14ac:dyDescent="0.35">
      <c r="A159" s="5"/>
      <c r="B159" s="5"/>
      <c r="C159" s="5" t="s">
        <v>101</v>
      </c>
      <c r="E159" s="5"/>
      <c r="F159" s="5"/>
      <c r="G159" s="5"/>
      <c r="H159" s="5"/>
      <c r="I159" s="5"/>
      <c r="J159" s="5"/>
      <c r="K159" s="5"/>
      <c r="N159" s="1">
        <f t="shared" si="86"/>
        <v>0</v>
      </c>
      <c r="Q159" s="1">
        <f>-Założenia!$O$167*OEp.w3</f>
        <v>0</v>
      </c>
      <c r="R159" s="1">
        <f>-Założenia!$O$167*OEp.w3</f>
        <v>0</v>
      </c>
      <c r="S159" s="1">
        <f>-Założenia!$O$167*OEp.w3</f>
        <v>0</v>
      </c>
      <c r="T159" s="1">
        <f>-Założenia!$O$167*OEp.w3</f>
        <v>0</v>
      </c>
      <c r="U159" s="1">
        <f>-Założenia!$O$167*OEp.w3</f>
        <v>0</v>
      </c>
      <c r="V159" s="1">
        <f>-Założenia!$O$167*OEp.w3</f>
        <v>0</v>
      </c>
      <c r="W159" s="1">
        <f>-Założenia!$O$167*OEp.w3</f>
        <v>0</v>
      </c>
      <c r="X159" s="1">
        <f>-Założenia!$O$167*OEp.w3</f>
        <v>0</v>
      </c>
      <c r="Y159" s="1">
        <f>-Założenia!$O$167*OEp.w3</f>
        <v>0</v>
      </c>
      <c r="Z159" s="1">
        <f>-Założenia!$O$167*OEp.w3</f>
        <v>0</v>
      </c>
      <c r="AA159" s="1">
        <f>-Założenia!$O$167*OEp.w3</f>
        <v>0</v>
      </c>
      <c r="AB159" s="1">
        <f>-Założenia!$O$167*OEp.w3</f>
        <v>0</v>
      </c>
      <c r="AC159" s="1">
        <f>-Założenia!$O$167*OEp.w3</f>
        <v>0</v>
      </c>
      <c r="AD159" s="1">
        <f>-Założenia!$O$167*OEp.w3</f>
        <v>0</v>
      </c>
      <c r="AE159" s="1">
        <f>-Założenia!$O$167*OEp.w3</f>
        <v>0</v>
      </c>
      <c r="AF159" s="1">
        <f>-Założenia!$O$167*OEp.w3</f>
        <v>0</v>
      </c>
      <c r="AG159" s="1">
        <f>-Założenia!$O$167*OEp.w3</f>
        <v>0</v>
      </c>
      <c r="AH159" s="1">
        <f>-Założenia!$O$167*OEp.w3</f>
        <v>0</v>
      </c>
      <c r="AI159" s="1">
        <f>-Założenia!$O$167*OEp.w3</f>
        <v>0</v>
      </c>
      <c r="AJ159" s="1">
        <f>-Założenia!$O$167*OEp.w3</f>
        <v>0</v>
      </c>
      <c r="AK159" s="1">
        <f>-Założenia!$O$167*OEp.w3</f>
        <v>0</v>
      </c>
      <c r="AL159" s="1">
        <f>-Założenia!$O$167*OEp.w3</f>
        <v>0</v>
      </c>
      <c r="AM159" s="1">
        <f>-Założenia!$O$167*OEp.w3</f>
        <v>0</v>
      </c>
      <c r="AN159" s="1">
        <f>-Założenia!$O$167*OEp.w3</f>
        <v>0</v>
      </c>
      <c r="AO159" s="1">
        <f>-Założenia!$O$167*OEp.w3</f>
        <v>0</v>
      </c>
      <c r="AP159" s="1">
        <f>-Założenia!$O$167*OEp.w3</f>
        <v>0</v>
      </c>
      <c r="AQ159" s="1">
        <f>-Założenia!$O$167*OEp.w3</f>
        <v>0</v>
      </c>
      <c r="AR159" s="1">
        <f>-Założenia!$O$167*OEp.w3</f>
        <v>0</v>
      </c>
      <c r="AS159" s="1">
        <f>-Założenia!$O$167*OEp.w3</f>
        <v>0</v>
      </c>
      <c r="AT159" s="1">
        <f>-Założenia!$O$167*OEp.w3</f>
        <v>0</v>
      </c>
      <c r="AU159" s="1">
        <f>-Założenia!$O$167*OEp.w3</f>
        <v>0</v>
      </c>
      <c r="AV159" s="1">
        <f>-Założenia!$O$167*OEp.w3</f>
        <v>0</v>
      </c>
      <c r="AW159" s="1">
        <f>-Założenia!$O$167*OEp.w3</f>
        <v>0</v>
      </c>
      <c r="AX159" s="1">
        <f>-Założenia!$O$167*OEp.w3</f>
        <v>0</v>
      </c>
      <c r="AY159" s="1">
        <f>-Założenia!$O$167*OEp.w3</f>
        <v>0</v>
      </c>
      <c r="AZ159" s="1">
        <f>-Założenia!$O$167*OEp.w3</f>
        <v>0</v>
      </c>
      <c r="BA159" s="1">
        <f>-Założenia!$O$167*OEp.w3</f>
        <v>0</v>
      </c>
    </row>
    <row r="160" spans="1:53" ht="15.75" customHeight="1" x14ac:dyDescent="0.35">
      <c r="A160" s="5"/>
      <c r="B160" s="5"/>
      <c r="C160" s="5" t="s">
        <v>102</v>
      </c>
      <c r="E160" s="5"/>
      <c r="F160" s="5"/>
      <c r="G160" s="5"/>
      <c r="H160" s="5"/>
      <c r="I160" s="5"/>
      <c r="J160" s="5"/>
      <c r="K160" s="5"/>
      <c r="N160" s="1">
        <f t="shared" si="86"/>
        <v>0</v>
      </c>
      <c r="Q160" s="1">
        <f>-Założenia!$O$168*OEp.w3</f>
        <v>0</v>
      </c>
      <c r="R160" s="1">
        <f>-Założenia!$O$168*OEp.w3</f>
        <v>0</v>
      </c>
      <c r="S160" s="1">
        <f>-Założenia!$O$168*OEp.w3</f>
        <v>0</v>
      </c>
      <c r="T160" s="1">
        <f>-Założenia!$O$168*OEp.w3</f>
        <v>0</v>
      </c>
      <c r="U160" s="1">
        <f>-Założenia!$O$168*OEp.w3</f>
        <v>0</v>
      </c>
      <c r="V160" s="1">
        <f>-Założenia!$O$168*OEp.w3</f>
        <v>0</v>
      </c>
      <c r="W160" s="1">
        <f>-Założenia!$O$168*OEp.w3</f>
        <v>0</v>
      </c>
      <c r="X160" s="1">
        <f>-Założenia!$O$168*OEp.w3</f>
        <v>0</v>
      </c>
      <c r="Y160" s="1">
        <f>-Założenia!$O$168*OEp.w3</f>
        <v>0</v>
      </c>
      <c r="Z160" s="1">
        <f>-Założenia!$O$168*OEp.w3</f>
        <v>0</v>
      </c>
      <c r="AA160" s="1">
        <f>-Założenia!$O$168*OEp.w3</f>
        <v>0</v>
      </c>
      <c r="AB160" s="1">
        <f>-Założenia!$O$168*OEp.w3</f>
        <v>0</v>
      </c>
      <c r="AC160" s="1">
        <f>-Założenia!$O$168*OEp.w3</f>
        <v>0</v>
      </c>
      <c r="AD160" s="1">
        <f>-Założenia!$O$168*OEp.w3</f>
        <v>0</v>
      </c>
      <c r="AE160" s="1">
        <f>-Założenia!$O$168*OEp.w3</f>
        <v>0</v>
      </c>
      <c r="AF160" s="1">
        <f>-Założenia!$O$168*OEp.w3</f>
        <v>0</v>
      </c>
      <c r="AG160" s="1">
        <f>-Założenia!$O$168*OEp.w3</f>
        <v>0</v>
      </c>
      <c r="AH160" s="1">
        <f>-Założenia!$O$168*OEp.w3</f>
        <v>0</v>
      </c>
      <c r="AI160" s="1">
        <f>-Założenia!$O$168*OEp.w3</f>
        <v>0</v>
      </c>
      <c r="AJ160" s="1">
        <f>-Założenia!$O$168*OEp.w3</f>
        <v>0</v>
      </c>
      <c r="AK160" s="1">
        <f>-Założenia!$O$168*OEp.w3</f>
        <v>0</v>
      </c>
      <c r="AL160" s="1">
        <f>-Założenia!$O$168*OEp.w3</f>
        <v>0</v>
      </c>
      <c r="AM160" s="1">
        <f>-Założenia!$O$168*OEp.w3</f>
        <v>0</v>
      </c>
      <c r="AN160" s="1">
        <f>-Założenia!$O$168*OEp.w3</f>
        <v>0</v>
      </c>
      <c r="AO160" s="1">
        <f>-Założenia!$O$168*OEp.w3</f>
        <v>0</v>
      </c>
      <c r="AP160" s="1">
        <f>-Założenia!$O$168*OEp.w3</f>
        <v>0</v>
      </c>
      <c r="AQ160" s="1">
        <f>-Założenia!$O$168*OEp.w3</f>
        <v>0</v>
      </c>
      <c r="AR160" s="1">
        <f>-Założenia!$O$168*OEp.w3</f>
        <v>0</v>
      </c>
      <c r="AS160" s="1">
        <f>-Założenia!$O$168*OEp.w3</f>
        <v>0</v>
      </c>
      <c r="AT160" s="1">
        <f>-Założenia!$O$168*OEp.w3</f>
        <v>0</v>
      </c>
      <c r="AU160" s="1">
        <f>-Założenia!$O$168*OEp.w3</f>
        <v>0</v>
      </c>
      <c r="AV160" s="1">
        <f>-Założenia!$O$168*OEp.w3</f>
        <v>0</v>
      </c>
      <c r="AW160" s="1">
        <f>-Założenia!$O$168*OEp.w3</f>
        <v>0</v>
      </c>
      <c r="AX160" s="1">
        <f>-Założenia!$O$168*OEp.w3</f>
        <v>0</v>
      </c>
      <c r="AY160" s="1">
        <f>-Założenia!$O$168*OEp.w3</f>
        <v>0</v>
      </c>
      <c r="AZ160" s="1">
        <f>-Założenia!$O$168*OEp.w3</f>
        <v>0</v>
      </c>
      <c r="BA160" s="1">
        <f>-Założenia!$O$168*OEp.w3</f>
        <v>0</v>
      </c>
    </row>
    <row r="161" spans="1:53" ht="15.75" customHeight="1" x14ac:dyDescent="0.35">
      <c r="A161" s="5"/>
      <c r="B161" s="5"/>
      <c r="C161" s="5" t="s">
        <v>135</v>
      </c>
      <c r="E161" s="5"/>
      <c r="F161" s="5"/>
      <c r="G161" s="5"/>
      <c r="H161" s="5"/>
      <c r="I161" s="5"/>
      <c r="J161" s="5"/>
      <c r="K161" s="5"/>
      <c r="N161" s="1">
        <f t="shared" si="86"/>
        <v>0</v>
      </c>
      <c r="Q161" s="1">
        <f>-SUM(SUM(Q151,Q146)*(Założenia!$O$172="tak")*Założenia!$O$173,'Wariant 3'!Q$169)</f>
        <v>0</v>
      </c>
      <c r="R161" s="1">
        <f>-SUM(SUM(R151,R146)*(Założenia!$O$172="tak")*Założenia!$O$173,'Wariant 3'!R$169)</f>
        <v>0</v>
      </c>
      <c r="S161" s="1">
        <f>-SUM(SUM(S151,S146)*(Założenia!$O$172="tak")*Założenia!$O$173,'Wariant 3'!S$169)</f>
        <v>0</v>
      </c>
      <c r="T161" s="1">
        <f>-SUM(SUM(T151,T146)*(Założenia!$O$172="tak")*Założenia!$O$173,'Wariant 3'!T$169)</f>
        <v>0</v>
      </c>
      <c r="U161" s="1">
        <f>-SUM(SUM(U151,U146)*(Założenia!$O$172="tak")*Założenia!$O$173,'Wariant 3'!U$169)</f>
        <v>0</v>
      </c>
      <c r="V161" s="1">
        <f>-SUM(SUM(V151,V146)*(Założenia!$O$172="tak")*Założenia!$O$173,'Wariant 3'!V$169)</f>
        <v>0</v>
      </c>
      <c r="W161" s="1">
        <f>-SUM(SUM(W151,W146)*(Założenia!$O$172="tak")*Założenia!$O$173,'Wariant 3'!W$169)</f>
        <v>0</v>
      </c>
      <c r="X161" s="1">
        <f>-SUM(SUM(X151,X146)*(Założenia!$O$172="tak")*Założenia!$O$173,'Wariant 3'!X$169)</f>
        <v>0</v>
      </c>
      <c r="Y161" s="1">
        <f>-SUM(SUM(Y151,Y146)*(Założenia!$O$172="tak")*Założenia!$O$173,'Wariant 3'!Y$169)</f>
        <v>0</v>
      </c>
      <c r="Z161" s="1">
        <f>-SUM(SUM(Z151,Z146)*(Założenia!$O$172="tak")*Założenia!$O$173,'Wariant 3'!Z$169)</f>
        <v>0</v>
      </c>
      <c r="AA161" s="1">
        <f>-SUM(SUM(AA151,AA146)*(Założenia!$O$172="tak")*Założenia!$O$173,'Wariant 3'!AA$169)</f>
        <v>0</v>
      </c>
      <c r="AB161" s="1">
        <f>-SUM(SUM(AB151,AB146)*(Założenia!$O$172="tak")*Założenia!$O$173,'Wariant 3'!AB$169)</f>
        <v>0</v>
      </c>
      <c r="AC161" s="1">
        <f>-SUM(SUM(AC151,AC146)*(Założenia!$O$172="tak")*Założenia!$O$173,'Wariant 3'!AC$169)</f>
        <v>0</v>
      </c>
      <c r="AD161" s="1">
        <f>-SUM(SUM(AD151,AD146)*(Założenia!$O$172="tak")*Założenia!$O$173,'Wariant 3'!AD$169)</f>
        <v>0</v>
      </c>
      <c r="AE161" s="1">
        <f>-SUM(SUM(AE151,AE146)*(Założenia!$O$172="tak")*Założenia!$O$173,'Wariant 3'!AE$169)</f>
        <v>0</v>
      </c>
      <c r="AF161" s="1">
        <f>-SUM(SUM(AF151,AF146)*(Założenia!$O$172="tak")*Założenia!$O$173,'Wariant 3'!AF$169)</f>
        <v>0</v>
      </c>
      <c r="AG161" s="1">
        <f>-SUM(SUM(AG151,AG146)*(Założenia!$O$172="tak")*Założenia!$O$173,'Wariant 3'!AG$169)</f>
        <v>0</v>
      </c>
      <c r="AH161" s="1">
        <f>-SUM(SUM(AH151,AH146)*(Założenia!$O$172="tak")*Założenia!$O$173,'Wariant 3'!AH$169)</f>
        <v>0</v>
      </c>
      <c r="AI161" s="1">
        <f>-SUM(SUM(AI151,AI146)*(Założenia!$O$172="tak")*Założenia!$O$173,'Wariant 3'!AI$169)</f>
        <v>0</v>
      </c>
      <c r="AJ161" s="1">
        <f>-SUM(SUM(AJ151,AJ146)*(Założenia!$O$172="tak")*Założenia!$O$173,'Wariant 3'!AJ$169)</f>
        <v>0</v>
      </c>
      <c r="AK161" s="1">
        <f>-SUM(SUM(AK151,AK146)*(Założenia!$O$172="tak")*Założenia!$O$173,'Wariant 3'!AK$169)</f>
        <v>0</v>
      </c>
      <c r="AL161" s="1">
        <f>-SUM(SUM(AL151,AL146)*(Założenia!$O$172="tak")*Założenia!$O$173,'Wariant 3'!AL$169)</f>
        <v>0</v>
      </c>
      <c r="AM161" s="1">
        <f>-SUM(SUM(AM151,AM146)*(Założenia!$O$172="tak")*Założenia!$O$173,'Wariant 3'!AM$169)</f>
        <v>0</v>
      </c>
      <c r="AN161" s="1">
        <f>-SUM(SUM(AN151,AN146)*(Założenia!$O$172="tak")*Założenia!$O$173,'Wariant 3'!AN$169)</f>
        <v>0</v>
      </c>
      <c r="AO161" s="1">
        <f>-SUM(SUM(AO151,AO146)*(Założenia!$O$172="tak")*Założenia!$O$173,'Wariant 3'!AO$169)</f>
        <v>0</v>
      </c>
      <c r="AP161" s="1">
        <f>-SUM(SUM(AP151,AP146)*(Założenia!$O$172="tak")*Założenia!$O$173,'Wariant 3'!AP$169)</f>
        <v>0</v>
      </c>
      <c r="AQ161" s="1">
        <f>-SUM(SUM(AQ151,AQ146)*(Założenia!$O$172="tak")*Założenia!$O$173,'Wariant 3'!AQ$169)</f>
        <v>0</v>
      </c>
      <c r="AR161" s="1">
        <f>-SUM(SUM(AR151,AR146)*(Założenia!$O$172="tak")*Założenia!$O$173,'Wariant 3'!AR$169)</f>
        <v>0</v>
      </c>
      <c r="AS161" s="1">
        <f>-SUM(SUM(AS151,AS146)*(Założenia!$O$172="tak")*Założenia!$O$173,'Wariant 3'!AS$169)</f>
        <v>0</v>
      </c>
      <c r="AT161" s="1">
        <f>-SUM(SUM(AT151,AT146)*(Założenia!$O$172="tak")*Założenia!$O$173,'Wariant 3'!AT$169)</f>
        <v>0</v>
      </c>
      <c r="AU161" s="1">
        <f>-SUM(SUM(AU151,AU146)*(Założenia!$O$172="tak")*Założenia!$O$173,'Wariant 3'!AU$169)</f>
        <v>0</v>
      </c>
      <c r="AV161" s="1">
        <f>-SUM(SUM(AV151,AV146)*(Założenia!$O$172="tak")*Założenia!$O$173,'Wariant 3'!AV$169)</f>
        <v>0</v>
      </c>
      <c r="AW161" s="1">
        <f>-SUM(SUM(AW151,AW146)*(Założenia!$O$172="tak")*Założenia!$O$173,'Wariant 3'!AW$169)</f>
        <v>0</v>
      </c>
      <c r="AX161" s="1">
        <f>-SUM(SUM(AX151,AX146)*(Założenia!$O$172="tak")*Założenia!$O$173,'Wariant 3'!AX$169)</f>
        <v>0</v>
      </c>
      <c r="AY161" s="1">
        <f>-SUM(SUM(AY151,AY146)*(Założenia!$O$172="tak")*Założenia!$O$173,'Wariant 3'!AY$169)</f>
        <v>0</v>
      </c>
      <c r="AZ161" s="1">
        <f>-SUM(SUM(AZ151,AZ146)*(Założenia!$O$172="tak")*Założenia!$O$173,'Wariant 3'!AZ$169)</f>
        <v>0</v>
      </c>
      <c r="BA161" s="1">
        <f>-SUM(SUM(BA151,BA146)*(Założenia!$O$172="tak")*Założenia!$O$173,'Wariant 3'!BA$169)</f>
        <v>0</v>
      </c>
    </row>
    <row r="162" spans="1:53" ht="15.75" customHeight="1" x14ac:dyDescent="0.35">
      <c r="A162" s="5"/>
      <c r="B162" s="5"/>
      <c r="C162" s="5" t="s">
        <v>144</v>
      </c>
      <c r="E162" s="5"/>
      <c r="F162" s="5"/>
      <c r="G162" s="5"/>
      <c r="H162" s="5"/>
      <c r="I162" s="5"/>
      <c r="J162" s="5"/>
      <c r="K162" s="5"/>
      <c r="N162" s="1">
        <f t="shared" si="86"/>
        <v>0</v>
      </c>
      <c r="Q162" s="1">
        <f>-ABS(INDEX(Założenia!$O$87:$O$123,MATCH(Q$1,Założenia!$J$87:$J$123,0)))*CPIc*PPPt.w3</f>
        <v>0</v>
      </c>
      <c r="R162" s="1">
        <f>-ABS(INDEX(Założenia!$O$87:$O$123,MATCH(R$1,Założenia!$J$87:$J$123,0)))*CPIc*PPPt.w3</f>
        <v>0</v>
      </c>
      <c r="S162" s="1">
        <f>-ABS(INDEX(Założenia!$O$87:$O$123,MATCH(S$1,Założenia!$J$87:$J$123,0)))*CPIc*PPPt.w3</f>
        <v>0</v>
      </c>
      <c r="T162" s="1">
        <f>-ABS(INDEX(Założenia!$O$87:$O$123,MATCH(T$1,Założenia!$J$87:$J$123,0)))*CPIc*PPPt.w3</f>
        <v>0</v>
      </c>
      <c r="U162" s="1">
        <f>-ABS(INDEX(Założenia!$O$87:$O$123,MATCH(U$1,Założenia!$J$87:$J$123,0)))*CPIc*PPPt.w3</f>
        <v>0</v>
      </c>
      <c r="V162" s="1">
        <f>-ABS(INDEX(Założenia!$O$87:$O$123,MATCH(V$1,Założenia!$J$87:$J$123,0)))*CPIc*PPPt.w3</f>
        <v>0</v>
      </c>
      <c r="W162" s="1">
        <f>-ABS(INDEX(Założenia!$O$87:$O$123,MATCH(W$1,Założenia!$J$87:$J$123,0)))*CPIc*PPPt.w3</f>
        <v>0</v>
      </c>
      <c r="X162" s="1">
        <f>-ABS(INDEX(Założenia!$O$87:$O$123,MATCH(X$1,Założenia!$J$87:$J$123,0)))*CPIc*PPPt.w3</f>
        <v>0</v>
      </c>
      <c r="Y162" s="1">
        <f>-ABS(INDEX(Założenia!$O$87:$O$123,MATCH(Y$1,Założenia!$J$87:$J$123,0)))*CPIc*PPPt.w3</f>
        <v>0</v>
      </c>
      <c r="Z162" s="1">
        <f>-ABS(INDEX(Założenia!$O$87:$O$123,MATCH(Z$1,Założenia!$J$87:$J$123,0)))*CPIc*PPPt.w3</f>
        <v>0</v>
      </c>
      <c r="AA162" s="1">
        <f>-ABS(INDEX(Założenia!$O$87:$O$123,MATCH(AA$1,Założenia!$J$87:$J$123,0)))*CPIc*PPPt.w3</f>
        <v>0</v>
      </c>
      <c r="AB162" s="1">
        <f>-ABS(INDEX(Założenia!$O$87:$O$123,MATCH(AB$1,Założenia!$J$87:$J$123,0)))*CPIc*PPPt.w3</f>
        <v>0</v>
      </c>
      <c r="AC162" s="1">
        <f>-ABS(INDEX(Założenia!$O$87:$O$123,MATCH(AC$1,Założenia!$J$87:$J$123,0)))*CPIc*PPPt.w3</f>
        <v>0</v>
      </c>
      <c r="AD162" s="1">
        <f>-ABS(INDEX(Założenia!$O$87:$O$123,MATCH(AD$1,Założenia!$J$87:$J$123,0)))*CPIc*PPPt.w3</f>
        <v>0</v>
      </c>
      <c r="AE162" s="1">
        <f>-ABS(INDEX(Założenia!$O$87:$O$123,MATCH(AE$1,Założenia!$J$87:$J$123,0)))*CPIc*PPPt.w3</f>
        <v>0</v>
      </c>
      <c r="AF162" s="1">
        <f>-ABS(INDEX(Założenia!$O$87:$O$123,MATCH(AF$1,Założenia!$J$87:$J$123,0)))*CPIc*PPPt.w3</f>
        <v>0</v>
      </c>
      <c r="AG162" s="1">
        <f>-ABS(INDEX(Założenia!$O$87:$O$123,MATCH(AG$1,Założenia!$J$87:$J$123,0)))*CPIc*PPPt.w3</f>
        <v>0</v>
      </c>
      <c r="AH162" s="1">
        <f>-ABS(INDEX(Założenia!$O$87:$O$123,MATCH(AH$1,Założenia!$J$87:$J$123,0)))*CPIc*PPPt.w3</f>
        <v>0</v>
      </c>
      <c r="AI162" s="1">
        <f>-ABS(INDEX(Założenia!$O$87:$O$123,MATCH(AI$1,Założenia!$J$87:$J$123,0)))*CPIc*PPPt.w3</f>
        <v>0</v>
      </c>
      <c r="AJ162" s="1">
        <f>-ABS(INDEX(Założenia!$O$87:$O$123,MATCH(AJ$1,Założenia!$J$87:$J$123,0)))*CPIc*PPPt.w3</f>
        <v>0</v>
      </c>
      <c r="AK162" s="1">
        <f>-ABS(INDEX(Założenia!$O$87:$O$123,MATCH(AK$1,Założenia!$J$87:$J$123,0)))*CPIc*PPPt.w3</f>
        <v>0</v>
      </c>
      <c r="AL162" s="1">
        <f>-ABS(INDEX(Założenia!$O$87:$O$123,MATCH(AL$1,Założenia!$J$87:$J$123,0)))*CPIc*PPPt.w3</f>
        <v>0</v>
      </c>
      <c r="AM162" s="1">
        <f>-ABS(INDEX(Założenia!$O$87:$O$123,MATCH(AM$1,Założenia!$J$87:$J$123,0)))*CPIc*PPPt.w3</f>
        <v>0</v>
      </c>
      <c r="AN162" s="1">
        <f>-ABS(INDEX(Założenia!$O$87:$O$123,MATCH(AN$1,Założenia!$J$87:$J$123,0)))*CPIc*PPPt.w3</f>
        <v>0</v>
      </c>
      <c r="AO162" s="1">
        <f>-ABS(INDEX(Założenia!$O$87:$O$123,MATCH(AO$1,Założenia!$J$87:$J$123,0)))*CPIc*PPPt.w3</f>
        <v>0</v>
      </c>
      <c r="AP162" s="1">
        <f>-ABS(INDEX(Założenia!$O$87:$O$123,MATCH(AP$1,Założenia!$J$87:$J$123,0)))*CPIc*PPPt.w3</f>
        <v>0</v>
      </c>
      <c r="AQ162" s="1">
        <f>-ABS(INDEX(Założenia!$O$87:$O$123,MATCH(AQ$1,Założenia!$J$87:$J$123,0)))*CPIc*PPPt.w3</f>
        <v>0</v>
      </c>
      <c r="AR162" s="1">
        <f>-ABS(INDEX(Założenia!$O$87:$O$123,MATCH(AR$1,Założenia!$J$87:$J$123,0)))*CPIc*PPPt.w3</f>
        <v>0</v>
      </c>
      <c r="AS162" s="1">
        <f>-ABS(INDEX(Założenia!$O$87:$O$123,MATCH(AS$1,Założenia!$J$87:$J$123,0)))*CPIc*PPPt.w3</f>
        <v>0</v>
      </c>
      <c r="AT162" s="1">
        <f>-ABS(INDEX(Założenia!$O$87:$O$123,MATCH(AT$1,Założenia!$J$87:$J$123,0)))*CPIc*PPPt.w3</f>
        <v>0</v>
      </c>
      <c r="AU162" s="1">
        <f>-ABS(INDEX(Założenia!$O$87:$O$123,MATCH(AU$1,Założenia!$J$87:$J$123,0)))*CPIc*PPPt.w3</f>
        <v>0</v>
      </c>
      <c r="AV162" s="1">
        <f>-ABS(INDEX(Założenia!$O$87:$O$123,MATCH(AV$1,Założenia!$J$87:$J$123,0)))*CPIc*PPPt.w3</f>
        <v>0</v>
      </c>
      <c r="AW162" s="1">
        <f>-ABS(INDEX(Założenia!$O$87:$O$123,MATCH(AW$1,Założenia!$J$87:$J$123,0)))*CPIc*PPPt.w3</f>
        <v>0</v>
      </c>
      <c r="AX162" s="1">
        <f>-ABS(INDEX(Założenia!$O$87:$O$123,MATCH(AX$1,Założenia!$J$87:$J$123,0)))*CPIc*PPPt.w3</f>
        <v>0</v>
      </c>
      <c r="AY162" s="1">
        <f>-ABS(INDEX(Założenia!$O$87:$O$123,MATCH(AY$1,Założenia!$J$87:$J$123,0)))*CPIc*PPPt.w3</f>
        <v>0</v>
      </c>
      <c r="AZ162" s="1">
        <f>-ABS(INDEX(Założenia!$O$87:$O$123,MATCH(AZ$1,Założenia!$J$87:$J$123,0)))*CPIc*PPPt.w3</f>
        <v>0</v>
      </c>
      <c r="BA162" s="1">
        <f>-ABS(INDEX(Założenia!$O$87:$O$123,MATCH(BA$1,Założenia!$J$87:$J$123,0)))*CPIc*PPPt.w3</f>
        <v>0</v>
      </c>
    </row>
    <row r="163" spans="1:53" ht="15.75" customHeight="1" x14ac:dyDescent="0.35">
      <c r="A163" s="5"/>
      <c r="B163" s="5"/>
      <c r="C163" s="5" t="s">
        <v>141</v>
      </c>
      <c r="E163" s="5"/>
      <c r="F163" s="5"/>
      <c r="G163" s="5"/>
      <c r="H163" s="5"/>
      <c r="I163" s="5"/>
      <c r="J163" s="5"/>
      <c r="K163" s="5"/>
      <c r="N163" s="1">
        <f t="shared" si="86"/>
        <v>0</v>
      </c>
      <c r="Q163" s="1">
        <f>ABS(INDEX(Założenia!$O$126:$O$162,MATCH(Q$1,Założenia!$J$126:$J$162,0)))*CPIc*PPPt.w3</f>
        <v>0</v>
      </c>
      <c r="R163" s="1">
        <f>ABS(INDEX(Założenia!$O$126:$O$162,MATCH(R$1,Założenia!$J$126:$J$162,0)))*CPIc*PPPt.w3</f>
        <v>0</v>
      </c>
      <c r="S163" s="1">
        <f>ABS(INDEX(Założenia!$O$126:$O$162,MATCH(S$1,Założenia!$J$126:$J$162,0)))*CPIc*PPPt.w3</f>
        <v>0</v>
      </c>
      <c r="T163" s="1">
        <f>ABS(INDEX(Założenia!$O$126:$O$162,MATCH(T$1,Założenia!$J$126:$J$162,0)))*CPIc*PPPt.w3</f>
        <v>0</v>
      </c>
      <c r="U163" s="1">
        <f>ABS(INDEX(Założenia!$O$126:$O$162,MATCH(U$1,Założenia!$J$126:$J$162,0)))*CPIc*PPPt.w3</f>
        <v>0</v>
      </c>
      <c r="V163" s="1">
        <f>ABS(INDEX(Założenia!$O$126:$O$162,MATCH(V$1,Założenia!$J$126:$J$162,0)))*CPIc*PPPt.w3</f>
        <v>0</v>
      </c>
      <c r="W163" s="1">
        <f>ABS(INDEX(Założenia!$O$126:$O$162,MATCH(W$1,Założenia!$J$126:$J$162,0)))*CPIc*PPPt.w3</f>
        <v>0</v>
      </c>
      <c r="X163" s="1">
        <f>ABS(INDEX(Założenia!$O$126:$O$162,MATCH(X$1,Założenia!$J$126:$J$162,0)))*CPIc*PPPt.w3</f>
        <v>0</v>
      </c>
      <c r="Y163" s="1">
        <f>ABS(INDEX(Założenia!$O$126:$O$162,MATCH(Y$1,Założenia!$J$126:$J$162,0)))*CPIc*PPPt.w3</f>
        <v>0</v>
      </c>
      <c r="Z163" s="1">
        <f>ABS(INDEX(Założenia!$O$126:$O$162,MATCH(Z$1,Założenia!$J$126:$J$162,0)))*CPIc*PPPt.w3</f>
        <v>0</v>
      </c>
      <c r="AA163" s="1">
        <f>ABS(INDEX(Założenia!$O$126:$O$162,MATCH(AA$1,Założenia!$J$126:$J$162,0)))*CPIc*PPPt.w3</f>
        <v>0</v>
      </c>
      <c r="AB163" s="1">
        <f>ABS(INDEX(Założenia!$O$126:$O$162,MATCH(AB$1,Założenia!$J$126:$J$162,0)))*CPIc*PPPt.w3</f>
        <v>0</v>
      </c>
      <c r="AC163" s="1">
        <f>ABS(INDEX(Założenia!$O$126:$O$162,MATCH(AC$1,Założenia!$J$126:$J$162,0)))*CPIc*PPPt.w3</f>
        <v>0</v>
      </c>
      <c r="AD163" s="1">
        <f>ABS(INDEX(Założenia!$O$126:$O$162,MATCH(AD$1,Założenia!$J$126:$J$162,0)))*CPIc*PPPt.w3</f>
        <v>0</v>
      </c>
      <c r="AE163" s="1">
        <f>ABS(INDEX(Założenia!$O$126:$O$162,MATCH(AE$1,Założenia!$J$126:$J$162,0)))*CPIc*PPPt.w3</f>
        <v>0</v>
      </c>
      <c r="AF163" s="1">
        <f>ABS(INDEX(Założenia!$O$126:$O$162,MATCH(AF$1,Założenia!$J$126:$J$162,0)))*CPIc*PPPt.w3</f>
        <v>0</v>
      </c>
      <c r="AG163" s="1">
        <f>ABS(INDEX(Założenia!$O$126:$O$162,MATCH(AG$1,Założenia!$J$126:$J$162,0)))*CPIc*PPPt.w3</f>
        <v>0</v>
      </c>
      <c r="AH163" s="1">
        <f>ABS(INDEX(Założenia!$O$126:$O$162,MATCH(AH$1,Założenia!$J$126:$J$162,0)))*CPIc*PPPt.w3</f>
        <v>0</v>
      </c>
      <c r="AI163" s="1">
        <f>ABS(INDEX(Założenia!$O$126:$O$162,MATCH(AI$1,Założenia!$J$126:$J$162,0)))*CPIc*PPPt.w3</f>
        <v>0</v>
      </c>
      <c r="AJ163" s="1">
        <f>ABS(INDEX(Założenia!$O$126:$O$162,MATCH(AJ$1,Założenia!$J$126:$J$162,0)))*CPIc*PPPt.w3</f>
        <v>0</v>
      </c>
      <c r="AK163" s="1">
        <f>ABS(INDEX(Założenia!$O$126:$O$162,MATCH(AK$1,Założenia!$J$126:$J$162,0)))*CPIc*PPPt.w3</f>
        <v>0</v>
      </c>
      <c r="AL163" s="1">
        <f>ABS(INDEX(Założenia!$O$126:$O$162,MATCH(AL$1,Założenia!$J$126:$J$162,0)))*CPIc*PPPt.w3</f>
        <v>0</v>
      </c>
      <c r="AM163" s="1">
        <f>ABS(INDEX(Założenia!$O$126:$O$162,MATCH(AM$1,Założenia!$J$126:$J$162,0)))*CPIc*PPPt.w3</f>
        <v>0</v>
      </c>
      <c r="AN163" s="1">
        <f>ABS(INDEX(Założenia!$O$126:$O$162,MATCH(AN$1,Założenia!$J$126:$J$162,0)))*CPIc*PPPt.w3</f>
        <v>0</v>
      </c>
      <c r="AO163" s="1">
        <f>ABS(INDEX(Założenia!$O$126:$O$162,MATCH(AO$1,Założenia!$J$126:$J$162,0)))*CPIc*PPPt.w3</f>
        <v>0</v>
      </c>
      <c r="AP163" s="1">
        <f>ABS(INDEX(Założenia!$O$126:$O$162,MATCH(AP$1,Założenia!$J$126:$J$162,0)))*CPIc*PPPt.w3</f>
        <v>0</v>
      </c>
      <c r="AQ163" s="1">
        <f>ABS(INDEX(Założenia!$O$126:$O$162,MATCH(AQ$1,Założenia!$J$126:$J$162,0)))*CPIc*PPPt.w3</f>
        <v>0</v>
      </c>
      <c r="AR163" s="1">
        <f>ABS(INDEX(Założenia!$O$126:$O$162,MATCH(AR$1,Założenia!$J$126:$J$162,0)))*CPIc*PPPt.w3</f>
        <v>0</v>
      </c>
      <c r="AS163" s="1">
        <f>ABS(INDEX(Założenia!$O$126:$O$162,MATCH(AS$1,Założenia!$J$126:$J$162,0)))*CPIc*PPPt.w3</f>
        <v>0</v>
      </c>
      <c r="AT163" s="1">
        <f>ABS(INDEX(Założenia!$O$126:$O$162,MATCH(AT$1,Założenia!$J$126:$J$162,0)))*CPIc*PPPt.w3</f>
        <v>0</v>
      </c>
      <c r="AU163" s="1">
        <f>ABS(INDEX(Założenia!$O$126:$O$162,MATCH(AU$1,Założenia!$J$126:$J$162,0)))*CPIc*PPPt.w3</f>
        <v>0</v>
      </c>
      <c r="AV163" s="1">
        <f>ABS(INDEX(Założenia!$O$126:$O$162,MATCH(AV$1,Założenia!$J$126:$J$162,0)))*CPIc*PPPt.w3</f>
        <v>0</v>
      </c>
      <c r="AW163" s="1">
        <f>ABS(INDEX(Założenia!$O$126:$O$162,MATCH(AW$1,Założenia!$J$126:$J$162,0)))*CPIc*PPPt.w3</f>
        <v>0</v>
      </c>
      <c r="AX163" s="1">
        <f>ABS(INDEX(Założenia!$O$126:$O$162,MATCH(AX$1,Założenia!$J$126:$J$162,0)))*CPIc*PPPt.w3</f>
        <v>0</v>
      </c>
      <c r="AY163" s="1">
        <f>ABS(INDEX(Założenia!$O$126:$O$162,MATCH(AY$1,Założenia!$J$126:$J$162,0)))*CPIc*PPPt.w3</f>
        <v>0</v>
      </c>
      <c r="AZ163" s="1">
        <f>ABS(INDEX(Założenia!$O$126:$O$162,MATCH(AZ$1,Założenia!$J$126:$J$162,0)))*CPIc*PPPt.w3</f>
        <v>0</v>
      </c>
      <c r="BA163" s="1">
        <f>ABS(INDEX(Założenia!$O$126:$O$162,MATCH(BA$1,Założenia!$J$126:$J$162,0)))*CPIc*PPPt.w3</f>
        <v>0</v>
      </c>
    </row>
    <row r="164" spans="1:53" ht="15.75" customHeight="1" x14ac:dyDescent="0.35">
      <c r="A164" s="5"/>
      <c r="B164" s="5"/>
      <c r="C164" s="5"/>
      <c r="E164" s="5"/>
      <c r="F164" s="5"/>
      <c r="G164" s="5"/>
      <c r="H164" s="5"/>
      <c r="I164" s="5"/>
      <c r="J164" s="5"/>
      <c r="K164" s="5"/>
    </row>
    <row r="165" spans="1:53" x14ac:dyDescent="0.35">
      <c r="A165" s="151" t="s">
        <v>265</v>
      </c>
      <c r="B165" s="151"/>
      <c r="C165" s="151"/>
    </row>
  </sheetData>
  <sheetProtection algorithmName="SHA-512" hashValue="Lgsgu5Dk5PtVUKalvOfmpoZZGcFSVAwQP8JOmJIft8gZ1Hf72GhbInMKj9wW6fnKVLWCZpub0tC7Z7Pnvi2tHg==" saltValue="Wh+E1TG8IGrqEKVdH/2wrA==" spinCount="100000" sheet="1" objects="1" scenarios="1"/>
  <mergeCells count="6">
    <mergeCell ref="A165:C165"/>
    <mergeCell ref="B17:K17"/>
    <mergeCell ref="B32:K32"/>
    <mergeCell ref="B47:K47"/>
    <mergeCell ref="A97:C97"/>
    <mergeCell ref="A131:C131"/>
  </mergeCells>
  <hyperlinks>
    <hyperlink ref="B17" location="Wyniki!A17" display="szczegóły" xr:uid="{C722376D-09ED-44F4-B1C4-1302EBE2B1D2}"/>
    <hyperlink ref="B32" location="Wyniki!A17" display="szczegóły" xr:uid="{35288CB2-20A6-4C3B-A22D-1387A4F7BDA2}"/>
    <hyperlink ref="B47" location="Wyniki!A17" display="szczegóły" xr:uid="{B26B8D7C-F36F-4F49-B3EC-F52F10DA4741}"/>
    <hyperlink ref="B32:K32" location="Wyniki!A131" display="szczegóły" xr:uid="{9AE55CA6-F3EA-4E35-9471-13AC731F7F0C}"/>
    <hyperlink ref="B17:K17" location="Wyniki!A97" display="szczegóły" xr:uid="{963C9567-25D6-411B-AFA0-B9CE77CF9492}"/>
    <hyperlink ref="B47:K47" location="Wyniki!A165" display="szczegóły" xr:uid="{46D565DF-5159-49F5-90B7-3C88FD7BD0F5}"/>
    <hyperlink ref="A97" location="Wyniki!A1" display="do góry" xr:uid="{025A5770-D24B-46A6-ACCE-8CABCA9E1E6E}"/>
    <hyperlink ref="A97:C97" location="Wyniki!A3" display="do góry" xr:uid="{87F55163-DF93-4674-A3A7-D12B54F8DB02}"/>
    <hyperlink ref="A131" location="Wyniki!A3" display="do góry" xr:uid="{394FD3E7-78A7-47D7-A525-A8E176F15027}"/>
    <hyperlink ref="A165:C165" location="Wyniki!A3" display="do góry" xr:uid="{6E123C6E-0BD1-4C0F-9D1B-3B3E5FB95E39}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86FFE-C256-4EA8-AF97-935906F73BE9}">
  <sheetPr codeName="Sheet8">
    <tabColor rgb="FF1B3273"/>
  </sheetPr>
  <dimension ref="A1:CR269"/>
  <sheetViews>
    <sheetView zoomScale="70" zoomScaleNormal="70" workbookViewId="0">
      <pane ySplit="2" topLeftCell="A3" activePane="bottomLeft" state="frozen"/>
      <selection pane="bottomLeft" activeCell="M26" sqref="M26"/>
    </sheetView>
  </sheetViews>
  <sheetFormatPr defaultColWidth="0" defaultRowHeight="15" customHeight="1" zeroHeight="1" outlineLevelRow="1" x14ac:dyDescent="0.35"/>
  <cols>
    <col min="1" max="1" width="2.81640625" style="2" customWidth="1"/>
    <col min="2" max="2" width="1.81640625" style="2" customWidth="1"/>
    <col min="3" max="5" width="3.453125" style="2" customWidth="1"/>
    <col min="6" max="6" width="9.1796875" style="2" customWidth="1"/>
    <col min="7" max="7" width="34.453125" style="2" customWidth="1"/>
    <col min="8" max="8" width="3.453125" style="2" customWidth="1"/>
    <col min="9" max="10" width="9.1796875" style="2" customWidth="1"/>
    <col min="11" max="11" width="16.54296875" style="2" customWidth="1"/>
    <col min="12" max="13" width="7.7265625" style="2" customWidth="1"/>
    <col min="14" max="14" width="15.81640625" style="2" bestFit="1" customWidth="1"/>
    <col min="15" max="15" width="3.26953125" style="2" customWidth="1"/>
    <col min="16" max="16" width="3.7265625" style="2" customWidth="1"/>
    <col min="17" max="17" width="15.54296875" style="2" customWidth="1"/>
    <col min="18" max="18" width="13.453125" style="2" bestFit="1" customWidth="1"/>
    <col min="19" max="53" width="14.7265625" style="2" customWidth="1"/>
    <col min="54" max="96" width="0" hidden="1" customWidth="1"/>
    <col min="97" max="16384" width="9.1796875" hidden="1"/>
  </cols>
  <sheetData>
    <row r="1" spans="1:53" ht="15.75" customHeight="1" x14ac:dyDescent="0.35">
      <c r="A1" s="32" t="s">
        <v>126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 t="s">
        <v>0</v>
      </c>
      <c r="N1" s="35"/>
      <c r="O1" s="35"/>
      <c r="P1" s="35"/>
      <c r="Q1" s="35">
        <f>'zakładka techniczna'!Q1</f>
        <v>2024</v>
      </c>
      <c r="R1" s="35">
        <f>'zakładka techniczna'!R1</f>
        <v>2025</v>
      </c>
      <c r="S1" s="35">
        <f>'zakładka techniczna'!S1</f>
        <v>2026</v>
      </c>
      <c r="T1" s="35">
        <f>'zakładka techniczna'!T1</f>
        <v>2027</v>
      </c>
      <c r="U1" s="35">
        <f>'zakładka techniczna'!U1</f>
        <v>2028</v>
      </c>
      <c r="V1" s="35">
        <f>'zakładka techniczna'!V1</f>
        <v>2029</v>
      </c>
      <c r="W1" s="35">
        <f>'zakładka techniczna'!W1</f>
        <v>2030</v>
      </c>
      <c r="X1" s="35">
        <f>'zakładka techniczna'!X1</f>
        <v>2031</v>
      </c>
      <c r="Y1" s="35">
        <f>'zakładka techniczna'!Y1</f>
        <v>2032</v>
      </c>
      <c r="Z1" s="35">
        <f>'zakładka techniczna'!Z1</f>
        <v>2033</v>
      </c>
      <c r="AA1" s="35">
        <f>'zakładka techniczna'!AA1</f>
        <v>2034</v>
      </c>
      <c r="AB1" s="35">
        <f>'zakładka techniczna'!AB1</f>
        <v>2035</v>
      </c>
      <c r="AC1" s="35">
        <f>'zakładka techniczna'!AC1</f>
        <v>2036</v>
      </c>
      <c r="AD1" s="35">
        <f>'zakładka techniczna'!AD1</f>
        <v>2037</v>
      </c>
      <c r="AE1" s="35">
        <f>'zakładka techniczna'!AE1</f>
        <v>2038</v>
      </c>
      <c r="AF1" s="35">
        <f>'zakładka techniczna'!AF1</f>
        <v>2039</v>
      </c>
      <c r="AG1" s="35">
        <f>'zakładka techniczna'!AG1</f>
        <v>2040</v>
      </c>
      <c r="AH1" s="35">
        <f>'zakładka techniczna'!AH1</f>
        <v>2041</v>
      </c>
      <c r="AI1" s="35">
        <f>'zakładka techniczna'!AI1</f>
        <v>2042</v>
      </c>
      <c r="AJ1" s="35">
        <f>'zakładka techniczna'!AJ1</f>
        <v>2043</v>
      </c>
      <c r="AK1" s="35">
        <f>'zakładka techniczna'!AK1</f>
        <v>2044</v>
      </c>
      <c r="AL1" s="35">
        <f>'zakładka techniczna'!AL1</f>
        <v>2045</v>
      </c>
      <c r="AM1" s="35">
        <f>'zakładka techniczna'!AM1</f>
        <v>2046</v>
      </c>
      <c r="AN1" s="35">
        <f>'zakładka techniczna'!AN1</f>
        <v>2047</v>
      </c>
      <c r="AO1" s="35">
        <f>'zakładka techniczna'!AO1</f>
        <v>2048</v>
      </c>
      <c r="AP1" s="35">
        <f>'zakładka techniczna'!AP1</f>
        <v>2049</v>
      </c>
      <c r="AQ1" s="35">
        <f>'zakładka techniczna'!AQ1</f>
        <v>2050</v>
      </c>
      <c r="AR1" s="35">
        <f>'zakładka techniczna'!AR1</f>
        <v>2051</v>
      </c>
      <c r="AS1" s="35">
        <f>'zakładka techniczna'!AS1</f>
        <v>2052</v>
      </c>
      <c r="AT1" s="35">
        <f>'zakładka techniczna'!AT1</f>
        <v>2053</v>
      </c>
      <c r="AU1" s="35">
        <f>'zakładka techniczna'!AU1</f>
        <v>2054</v>
      </c>
      <c r="AV1" s="35">
        <f>'zakładka techniczna'!AV1</f>
        <v>2055</v>
      </c>
      <c r="AW1" s="35">
        <f>'zakładka techniczna'!AW1</f>
        <v>2056</v>
      </c>
      <c r="AX1" s="35">
        <f>'zakładka techniczna'!AX1</f>
        <v>2057</v>
      </c>
      <c r="AY1" s="35">
        <f>'zakładka techniczna'!AY1</f>
        <v>2058</v>
      </c>
      <c r="AZ1" s="35">
        <f>'zakładka techniczna'!AZ1</f>
        <v>2059</v>
      </c>
      <c r="BA1" s="35">
        <f>'zakładka techniczna'!BA1</f>
        <v>2060</v>
      </c>
    </row>
    <row r="2" spans="1:53" ht="15.75" customHeight="1" collapsed="1" x14ac:dyDescent="0.35">
      <c r="A2" s="32" t="s">
        <v>127</v>
      </c>
      <c r="B2" s="33"/>
      <c r="C2" s="33"/>
      <c r="D2" s="33"/>
      <c r="E2" s="33"/>
      <c r="F2" s="33"/>
      <c r="G2" s="33"/>
      <c r="H2" s="33"/>
      <c r="I2" s="33"/>
      <c r="J2" s="33"/>
      <c r="K2" s="34"/>
      <c r="L2" s="33"/>
      <c r="M2" s="33" t="s">
        <v>112</v>
      </c>
      <c r="N2" s="66" t="str">
        <f>Założenia!$I$7</f>
        <v>PLN</v>
      </c>
      <c r="O2" s="33"/>
      <c r="P2" s="35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</row>
    <row r="3" spans="1:53" ht="14.5" x14ac:dyDescent="0.35"/>
    <row r="4" spans="1:53" ht="14.5" x14ac:dyDescent="0.35"/>
    <row r="5" spans="1:53" ht="14.5" x14ac:dyDescent="0.35"/>
    <row r="6" spans="1:53" ht="14.5" x14ac:dyDescent="0.35"/>
    <row r="7" spans="1:53" ht="14.5" x14ac:dyDescent="0.35"/>
    <row r="8" spans="1:53" ht="14.5" x14ac:dyDescent="0.35">
      <c r="B8" s="156" t="s">
        <v>179</v>
      </c>
      <c r="C8" s="157"/>
      <c r="D8" s="157"/>
      <c r="E8" s="157"/>
      <c r="F8" s="157"/>
      <c r="G8" s="158"/>
      <c r="I8" s="116">
        <v>1</v>
      </c>
    </row>
    <row r="9" spans="1:53" ht="14.5" x14ac:dyDescent="0.35">
      <c r="B9" s="156" t="s">
        <v>178</v>
      </c>
      <c r="C9" s="157"/>
      <c r="D9" s="157"/>
      <c r="E9" s="157"/>
      <c r="F9" s="157"/>
      <c r="G9" s="158"/>
      <c r="I9" s="116">
        <v>0</v>
      </c>
      <c r="K9" s="72"/>
      <c r="L9" s="72"/>
    </row>
    <row r="10" spans="1:53" ht="14.5" x14ac:dyDescent="0.35">
      <c r="K10" s="72"/>
      <c r="L10" s="72"/>
    </row>
    <row r="11" spans="1:53" ht="14.5" x14ac:dyDescent="0.35">
      <c r="K11" s="72"/>
      <c r="L11" s="72"/>
    </row>
    <row r="12" spans="1:53" ht="14.5" x14ac:dyDescent="0.35">
      <c r="K12" s="72"/>
      <c r="L12" s="72"/>
    </row>
    <row r="13" spans="1:53" ht="14.5" x14ac:dyDescent="0.35">
      <c r="K13" s="72"/>
      <c r="L13" s="72"/>
    </row>
    <row r="14" spans="1:53" ht="14.5" x14ac:dyDescent="0.35">
      <c r="K14" s="72"/>
      <c r="L14" s="72"/>
    </row>
    <row r="15" spans="1:53" ht="14.5" x14ac:dyDescent="0.35">
      <c r="K15" s="72"/>
      <c r="L15" s="72"/>
    </row>
    <row r="16" spans="1:53" thickBot="1" x14ac:dyDescent="0.4">
      <c r="A16" s="58" t="s">
        <v>177</v>
      </c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</row>
    <row r="17" spans="1:53" thickTop="1" x14ac:dyDescent="0.35"/>
    <row r="18" spans="1:53" ht="13.5" customHeight="1" x14ac:dyDescent="0.35">
      <c r="A18" s="59" t="s">
        <v>133</v>
      </c>
      <c r="B18" s="59" t="s">
        <v>136</v>
      </c>
      <c r="C18" s="59"/>
      <c r="D18" s="59"/>
      <c r="E18" s="59"/>
      <c r="F18" s="59"/>
      <c r="G18" s="59"/>
      <c r="H18" s="59"/>
      <c r="I18" s="59"/>
      <c r="J18" s="59"/>
      <c r="K18" s="63"/>
      <c r="L18" s="59"/>
      <c r="M18" s="59"/>
      <c r="N18" s="59">
        <f>SUM(Q18:BA18)</f>
        <v>0</v>
      </c>
      <c r="O18" s="59"/>
      <c r="P18" s="59"/>
      <c r="Q18" s="59">
        <f t="shared" ref="Q18:BA18" si="0">SUM(Q20,Q32)</f>
        <v>0</v>
      </c>
      <c r="R18" s="59">
        <f t="shared" si="0"/>
        <v>0</v>
      </c>
      <c r="S18" s="59">
        <f t="shared" si="0"/>
        <v>0</v>
      </c>
      <c r="T18" s="59">
        <f t="shared" si="0"/>
        <v>0</v>
      </c>
      <c r="U18" s="59">
        <f t="shared" si="0"/>
        <v>0</v>
      </c>
      <c r="V18" s="59">
        <f t="shared" si="0"/>
        <v>0</v>
      </c>
      <c r="W18" s="59">
        <f t="shared" si="0"/>
        <v>0</v>
      </c>
      <c r="X18" s="59">
        <f t="shared" si="0"/>
        <v>0</v>
      </c>
      <c r="Y18" s="59">
        <f t="shared" si="0"/>
        <v>0</v>
      </c>
      <c r="Z18" s="59">
        <f t="shared" si="0"/>
        <v>0</v>
      </c>
      <c r="AA18" s="59">
        <f t="shared" si="0"/>
        <v>0</v>
      </c>
      <c r="AB18" s="59">
        <f t="shared" si="0"/>
        <v>0</v>
      </c>
      <c r="AC18" s="59">
        <f t="shared" si="0"/>
        <v>0</v>
      </c>
      <c r="AD18" s="59">
        <f t="shared" si="0"/>
        <v>0</v>
      </c>
      <c r="AE18" s="59">
        <f t="shared" si="0"/>
        <v>0</v>
      </c>
      <c r="AF18" s="59">
        <f t="shared" si="0"/>
        <v>0</v>
      </c>
      <c r="AG18" s="59">
        <f t="shared" si="0"/>
        <v>0</v>
      </c>
      <c r="AH18" s="59">
        <f t="shared" si="0"/>
        <v>0</v>
      </c>
      <c r="AI18" s="59">
        <f t="shared" si="0"/>
        <v>0</v>
      </c>
      <c r="AJ18" s="59">
        <f t="shared" si="0"/>
        <v>0</v>
      </c>
      <c r="AK18" s="59">
        <f t="shared" si="0"/>
        <v>0</v>
      </c>
      <c r="AL18" s="59">
        <f t="shared" si="0"/>
        <v>0</v>
      </c>
      <c r="AM18" s="59">
        <f t="shared" si="0"/>
        <v>0</v>
      </c>
      <c r="AN18" s="59">
        <f t="shared" si="0"/>
        <v>0</v>
      </c>
      <c r="AO18" s="59">
        <f t="shared" si="0"/>
        <v>0</v>
      </c>
      <c r="AP18" s="59">
        <f t="shared" si="0"/>
        <v>0</v>
      </c>
      <c r="AQ18" s="59">
        <f t="shared" si="0"/>
        <v>0</v>
      </c>
      <c r="AR18" s="59">
        <f t="shared" si="0"/>
        <v>0</v>
      </c>
      <c r="AS18" s="59">
        <f t="shared" si="0"/>
        <v>0</v>
      </c>
      <c r="AT18" s="59">
        <f t="shared" si="0"/>
        <v>0</v>
      </c>
      <c r="AU18" s="59">
        <f t="shared" si="0"/>
        <v>0</v>
      </c>
      <c r="AV18" s="59">
        <f t="shared" si="0"/>
        <v>0</v>
      </c>
      <c r="AW18" s="59">
        <f t="shared" si="0"/>
        <v>0</v>
      </c>
      <c r="AX18" s="59">
        <f t="shared" si="0"/>
        <v>0</v>
      </c>
      <c r="AY18" s="59">
        <f t="shared" si="0"/>
        <v>0</v>
      </c>
      <c r="AZ18" s="59">
        <f t="shared" si="0"/>
        <v>0</v>
      </c>
      <c r="BA18" s="59">
        <f t="shared" si="0"/>
        <v>0</v>
      </c>
    </row>
    <row r="19" spans="1:53" ht="12.75" customHeight="1" x14ac:dyDescent="0.35"/>
    <row r="20" spans="1:53" ht="15.75" customHeight="1" x14ac:dyDescent="0.35">
      <c r="A20" s="15"/>
      <c r="B20" s="16" t="s">
        <v>75</v>
      </c>
      <c r="C20" s="16"/>
      <c r="D20" s="16"/>
      <c r="E20" s="16"/>
      <c r="F20" s="16"/>
      <c r="G20" s="16"/>
      <c r="H20" s="16"/>
      <c r="I20" s="16"/>
      <c r="J20" s="16"/>
      <c r="K20" s="64"/>
      <c r="L20" s="3"/>
      <c r="M20" s="3"/>
      <c r="N20" s="4">
        <f t="shared" ref="N20:N30" si="1">SUM(Q20:BA20)</f>
        <v>0</v>
      </c>
      <c r="O20" s="3"/>
      <c r="P20" s="3"/>
      <c r="Q20" s="4">
        <f t="shared" ref="Q20:BA20" si="2">SUM(Q21,Q28)</f>
        <v>0</v>
      </c>
      <c r="R20" s="4">
        <f t="shared" si="2"/>
        <v>0</v>
      </c>
      <c r="S20" s="4">
        <f t="shared" si="2"/>
        <v>0</v>
      </c>
      <c r="T20" s="4">
        <f t="shared" si="2"/>
        <v>0</v>
      </c>
      <c r="U20" s="4">
        <f t="shared" si="2"/>
        <v>0</v>
      </c>
      <c r="V20" s="4">
        <f t="shared" si="2"/>
        <v>0</v>
      </c>
      <c r="W20" s="4">
        <f t="shared" si="2"/>
        <v>0</v>
      </c>
      <c r="X20" s="4">
        <f t="shared" si="2"/>
        <v>0</v>
      </c>
      <c r="Y20" s="4">
        <f t="shared" si="2"/>
        <v>0</v>
      </c>
      <c r="Z20" s="4">
        <f t="shared" si="2"/>
        <v>0</v>
      </c>
      <c r="AA20" s="4">
        <f t="shared" si="2"/>
        <v>0</v>
      </c>
      <c r="AB20" s="4">
        <f t="shared" si="2"/>
        <v>0</v>
      </c>
      <c r="AC20" s="4">
        <f t="shared" si="2"/>
        <v>0</v>
      </c>
      <c r="AD20" s="4">
        <f t="shared" si="2"/>
        <v>0</v>
      </c>
      <c r="AE20" s="4">
        <f t="shared" si="2"/>
        <v>0</v>
      </c>
      <c r="AF20" s="4">
        <f t="shared" si="2"/>
        <v>0</v>
      </c>
      <c r="AG20" s="4">
        <f t="shared" si="2"/>
        <v>0</v>
      </c>
      <c r="AH20" s="4">
        <f t="shared" si="2"/>
        <v>0</v>
      </c>
      <c r="AI20" s="4">
        <f t="shared" si="2"/>
        <v>0</v>
      </c>
      <c r="AJ20" s="4">
        <f t="shared" si="2"/>
        <v>0</v>
      </c>
      <c r="AK20" s="4">
        <f t="shared" si="2"/>
        <v>0</v>
      </c>
      <c r="AL20" s="4">
        <f t="shared" si="2"/>
        <v>0</v>
      </c>
      <c r="AM20" s="4">
        <f t="shared" si="2"/>
        <v>0</v>
      </c>
      <c r="AN20" s="4">
        <f t="shared" si="2"/>
        <v>0</v>
      </c>
      <c r="AO20" s="4">
        <f t="shared" si="2"/>
        <v>0</v>
      </c>
      <c r="AP20" s="4">
        <f t="shared" si="2"/>
        <v>0</v>
      </c>
      <c r="AQ20" s="4">
        <f t="shared" si="2"/>
        <v>0</v>
      </c>
      <c r="AR20" s="4">
        <f t="shared" si="2"/>
        <v>0</v>
      </c>
      <c r="AS20" s="4">
        <f t="shared" si="2"/>
        <v>0</v>
      </c>
      <c r="AT20" s="4">
        <f t="shared" si="2"/>
        <v>0</v>
      </c>
      <c r="AU20" s="4">
        <f t="shared" si="2"/>
        <v>0</v>
      </c>
      <c r="AV20" s="4">
        <f t="shared" si="2"/>
        <v>0</v>
      </c>
      <c r="AW20" s="4">
        <f t="shared" si="2"/>
        <v>0</v>
      </c>
      <c r="AX20" s="4">
        <f t="shared" si="2"/>
        <v>0</v>
      </c>
      <c r="AY20" s="4">
        <f t="shared" si="2"/>
        <v>0</v>
      </c>
      <c r="AZ20" s="4">
        <f t="shared" si="2"/>
        <v>0</v>
      </c>
      <c r="BA20" s="73">
        <f t="shared" si="2"/>
        <v>0</v>
      </c>
    </row>
    <row r="21" spans="1:53" ht="15.75" customHeight="1" x14ac:dyDescent="0.35">
      <c r="A21" s="5"/>
      <c r="B21" s="5"/>
      <c r="C21" s="5" t="s">
        <v>156</v>
      </c>
      <c r="E21" s="5"/>
      <c r="F21" s="5"/>
      <c r="G21" s="5"/>
      <c r="H21" s="5"/>
      <c r="I21" s="5"/>
      <c r="J21" s="5"/>
      <c r="K21" s="65"/>
      <c r="N21" s="1">
        <f t="shared" si="1"/>
        <v>0</v>
      </c>
      <c r="Q21" s="1">
        <f t="shared" ref="Q21:BA21" si="3">SUM(Q22:Q27)</f>
        <v>0</v>
      </c>
      <c r="R21" s="1">
        <f t="shared" si="3"/>
        <v>0</v>
      </c>
      <c r="S21" s="1">
        <f t="shared" si="3"/>
        <v>0</v>
      </c>
      <c r="T21" s="1">
        <f t="shared" si="3"/>
        <v>0</v>
      </c>
      <c r="U21" s="1">
        <f t="shared" si="3"/>
        <v>0</v>
      </c>
      <c r="V21" s="1">
        <f t="shared" si="3"/>
        <v>0</v>
      </c>
      <c r="W21" s="1">
        <f t="shared" si="3"/>
        <v>0</v>
      </c>
      <c r="X21" s="1">
        <f t="shared" si="3"/>
        <v>0</v>
      </c>
      <c r="Y21" s="1">
        <f t="shared" si="3"/>
        <v>0</v>
      </c>
      <c r="Z21" s="1">
        <f t="shared" si="3"/>
        <v>0</v>
      </c>
      <c r="AA21" s="1">
        <f t="shared" si="3"/>
        <v>0</v>
      </c>
      <c r="AB21" s="1">
        <f t="shared" si="3"/>
        <v>0</v>
      </c>
      <c r="AC21" s="1">
        <f t="shared" si="3"/>
        <v>0</v>
      </c>
      <c r="AD21" s="1">
        <f t="shared" si="3"/>
        <v>0</v>
      </c>
      <c r="AE21" s="1">
        <f t="shared" si="3"/>
        <v>0</v>
      </c>
      <c r="AF21" s="1">
        <f t="shared" si="3"/>
        <v>0</v>
      </c>
      <c r="AG21" s="1">
        <f t="shared" si="3"/>
        <v>0</v>
      </c>
      <c r="AH21" s="1">
        <f t="shared" si="3"/>
        <v>0</v>
      </c>
      <c r="AI21" s="1">
        <f t="shared" si="3"/>
        <v>0</v>
      </c>
      <c r="AJ21" s="1">
        <f t="shared" si="3"/>
        <v>0</v>
      </c>
      <c r="AK21" s="1">
        <f t="shared" si="3"/>
        <v>0</v>
      </c>
      <c r="AL21" s="1">
        <f t="shared" si="3"/>
        <v>0</v>
      </c>
      <c r="AM21" s="1">
        <f t="shared" si="3"/>
        <v>0</v>
      </c>
      <c r="AN21" s="1">
        <f t="shared" si="3"/>
        <v>0</v>
      </c>
      <c r="AO21" s="1">
        <f t="shared" si="3"/>
        <v>0</v>
      </c>
      <c r="AP21" s="1">
        <f t="shared" si="3"/>
        <v>0</v>
      </c>
      <c r="AQ21" s="1">
        <f t="shared" si="3"/>
        <v>0</v>
      </c>
      <c r="AR21" s="1">
        <f t="shared" si="3"/>
        <v>0</v>
      </c>
      <c r="AS21" s="1">
        <f t="shared" si="3"/>
        <v>0</v>
      </c>
      <c r="AT21" s="1">
        <f t="shared" si="3"/>
        <v>0</v>
      </c>
      <c r="AU21" s="1">
        <f t="shared" si="3"/>
        <v>0</v>
      </c>
      <c r="AV21" s="1">
        <f t="shared" si="3"/>
        <v>0</v>
      </c>
      <c r="AW21" s="1">
        <f t="shared" si="3"/>
        <v>0</v>
      </c>
      <c r="AX21" s="1">
        <f t="shared" si="3"/>
        <v>0</v>
      </c>
      <c r="AY21" s="1">
        <f t="shared" si="3"/>
        <v>0</v>
      </c>
      <c r="AZ21" s="1">
        <f t="shared" si="3"/>
        <v>0</v>
      </c>
      <c r="BA21" s="74">
        <f t="shared" si="3"/>
        <v>0</v>
      </c>
    </row>
    <row r="22" spans="1:53" ht="15.75" customHeight="1" x14ac:dyDescent="0.35">
      <c r="A22" s="5"/>
      <c r="B22" s="5"/>
      <c r="C22" s="5"/>
      <c r="D22" s="5" t="s">
        <v>99</v>
      </c>
      <c r="E22" s="5"/>
      <c r="F22" s="5"/>
      <c r="G22" s="5"/>
      <c r="H22" s="5"/>
      <c r="I22" s="5"/>
      <c r="J22" s="5"/>
      <c r="K22" s="65"/>
      <c r="N22" s="11">
        <f t="shared" si="1"/>
        <v>0</v>
      </c>
      <c r="Q22" s="11">
        <f t="shared" ref="Q22:Q27" si="4">-(CHOOSE($I$8,Q166,Q202,Q238)-IFERROR(CHOOSE($I$9,Q166,Q202,Q238),0))</f>
        <v>0</v>
      </c>
      <c r="R22" s="11">
        <f t="shared" ref="R22:BA22" si="5">-(CHOOSE($I$8,R166,R202,R238)-IFERROR(CHOOSE($I$9,R166,R202,R238),0))</f>
        <v>0</v>
      </c>
      <c r="S22" s="11">
        <f t="shared" si="5"/>
        <v>0</v>
      </c>
      <c r="T22" s="11">
        <f t="shared" si="5"/>
        <v>0</v>
      </c>
      <c r="U22" s="11">
        <f t="shared" si="5"/>
        <v>0</v>
      </c>
      <c r="V22" s="11">
        <f t="shared" si="5"/>
        <v>0</v>
      </c>
      <c r="W22" s="11">
        <f t="shared" si="5"/>
        <v>0</v>
      </c>
      <c r="X22" s="11">
        <f t="shared" si="5"/>
        <v>0</v>
      </c>
      <c r="Y22" s="11">
        <f t="shared" si="5"/>
        <v>0</v>
      </c>
      <c r="Z22" s="11">
        <f t="shared" si="5"/>
        <v>0</v>
      </c>
      <c r="AA22" s="11">
        <f t="shared" si="5"/>
        <v>0</v>
      </c>
      <c r="AB22" s="11">
        <f t="shared" si="5"/>
        <v>0</v>
      </c>
      <c r="AC22" s="11">
        <f t="shared" si="5"/>
        <v>0</v>
      </c>
      <c r="AD22" s="11">
        <f t="shared" si="5"/>
        <v>0</v>
      </c>
      <c r="AE22" s="11">
        <f t="shared" si="5"/>
        <v>0</v>
      </c>
      <c r="AF22" s="11">
        <f t="shared" si="5"/>
        <v>0</v>
      </c>
      <c r="AG22" s="11">
        <f t="shared" si="5"/>
        <v>0</v>
      </c>
      <c r="AH22" s="11">
        <f t="shared" si="5"/>
        <v>0</v>
      </c>
      <c r="AI22" s="11">
        <f t="shared" si="5"/>
        <v>0</v>
      </c>
      <c r="AJ22" s="11">
        <f t="shared" si="5"/>
        <v>0</v>
      </c>
      <c r="AK22" s="11">
        <f t="shared" si="5"/>
        <v>0</v>
      </c>
      <c r="AL22" s="11">
        <f t="shared" si="5"/>
        <v>0</v>
      </c>
      <c r="AM22" s="11">
        <f t="shared" si="5"/>
        <v>0</v>
      </c>
      <c r="AN22" s="11">
        <f t="shared" si="5"/>
        <v>0</v>
      </c>
      <c r="AO22" s="11">
        <f t="shared" si="5"/>
        <v>0</v>
      </c>
      <c r="AP22" s="11">
        <f t="shared" si="5"/>
        <v>0</v>
      </c>
      <c r="AQ22" s="11">
        <f t="shared" si="5"/>
        <v>0</v>
      </c>
      <c r="AR22" s="11">
        <f t="shared" si="5"/>
        <v>0</v>
      </c>
      <c r="AS22" s="11">
        <f t="shared" si="5"/>
        <v>0</v>
      </c>
      <c r="AT22" s="11">
        <f t="shared" si="5"/>
        <v>0</v>
      </c>
      <c r="AU22" s="11">
        <f t="shared" si="5"/>
        <v>0</v>
      </c>
      <c r="AV22" s="11">
        <f t="shared" si="5"/>
        <v>0</v>
      </c>
      <c r="AW22" s="11">
        <f t="shared" si="5"/>
        <v>0</v>
      </c>
      <c r="AX22" s="11">
        <f t="shared" si="5"/>
        <v>0</v>
      </c>
      <c r="AY22" s="11">
        <f t="shared" si="5"/>
        <v>0</v>
      </c>
      <c r="AZ22" s="11">
        <f t="shared" si="5"/>
        <v>0</v>
      </c>
      <c r="BA22" s="11">
        <f t="shared" si="5"/>
        <v>0</v>
      </c>
    </row>
    <row r="23" spans="1:53" ht="15.75" customHeight="1" x14ac:dyDescent="0.35">
      <c r="A23" s="5"/>
      <c r="B23" s="5"/>
      <c r="C23" s="5"/>
      <c r="D23" s="5" t="s">
        <v>100</v>
      </c>
      <c r="E23" s="5"/>
      <c r="F23" s="5"/>
      <c r="G23" s="5"/>
      <c r="H23" s="5"/>
      <c r="I23" s="5"/>
      <c r="J23" s="5"/>
      <c r="K23" s="65"/>
      <c r="N23" s="11">
        <f t="shared" si="1"/>
        <v>0</v>
      </c>
      <c r="Q23" s="11">
        <f t="shared" si="4"/>
        <v>0</v>
      </c>
      <c r="R23" s="11">
        <f t="shared" ref="R23:BA23" si="6">-(CHOOSE($I$8,R167,R203,R239)-IFERROR(CHOOSE($I$9,R167,R203,R239),0))</f>
        <v>0</v>
      </c>
      <c r="S23" s="11">
        <f t="shared" si="6"/>
        <v>0</v>
      </c>
      <c r="T23" s="11">
        <f t="shared" si="6"/>
        <v>0</v>
      </c>
      <c r="U23" s="11">
        <f t="shared" si="6"/>
        <v>0</v>
      </c>
      <c r="V23" s="11">
        <f t="shared" si="6"/>
        <v>0</v>
      </c>
      <c r="W23" s="11">
        <f t="shared" si="6"/>
        <v>0</v>
      </c>
      <c r="X23" s="11">
        <f t="shared" si="6"/>
        <v>0</v>
      </c>
      <c r="Y23" s="11">
        <f t="shared" si="6"/>
        <v>0</v>
      </c>
      <c r="Z23" s="11">
        <f t="shared" si="6"/>
        <v>0</v>
      </c>
      <c r="AA23" s="11">
        <f t="shared" si="6"/>
        <v>0</v>
      </c>
      <c r="AB23" s="11">
        <f t="shared" si="6"/>
        <v>0</v>
      </c>
      <c r="AC23" s="11">
        <f t="shared" si="6"/>
        <v>0</v>
      </c>
      <c r="AD23" s="11">
        <f t="shared" si="6"/>
        <v>0</v>
      </c>
      <c r="AE23" s="11">
        <f t="shared" si="6"/>
        <v>0</v>
      </c>
      <c r="AF23" s="11">
        <f t="shared" si="6"/>
        <v>0</v>
      </c>
      <c r="AG23" s="11">
        <f t="shared" si="6"/>
        <v>0</v>
      </c>
      <c r="AH23" s="11">
        <f t="shared" si="6"/>
        <v>0</v>
      </c>
      <c r="AI23" s="11">
        <f t="shared" si="6"/>
        <v>0</v>
      </c>
      <c r="AJ23" s="11">
        <f t="shared" si="6"/>
        <v>0</v>
      </c>
      <c r="AK23" s="11">
        <f t="shared" si="6"/>
        <v>0</v>
      </c>
      <c r="AL23" s="11">
        <f t="shared" si="6"/>
        <v>0</v>
      </c>
      <c r="AM23" s="11">
        <f t="shared" si="6"/>
        <v>0</v>
      </c>
      <c r="AN23" s="11">
        <f t="shared" si="6"/>
        <v>0</v>
      </c>
      <c r="AO23" s="11">
        <f t="shared" si="6"/>
        <v>0</v>
      </c>
      <c r="AP23" s="11">
        <f t="shared" si="6"/>
        <v>0</v>
      </c>
      <c r="AQ23" s="11">
        <f t="shared" si="6"/>
        <v>0</v>
      </c>
      <c r="AR23" s="11">
        <f t="shared" si="6"/>
        <v>0</v>
      </c>
      <c r="AS23" s="11">
        <f t="shared" si="6"/>
        <v>0</v>
      </c>
      <c r="AT23" s="11">
        <f t="shared" si="6"/>
        <v>0</v>
      </c>
      <c r="AU23" s="11">
        <f t="shared" si="6"/>
        <v>0</v>
      </c>
      <c r="AV23" s="11">
        <f t="shared" si="6"/>
        <v>0</v>
      </c>
      <c r="AW23" s="11">
        <f t="shared" si="6"/>
        <v>0</v>
      </c>
      <c r="AX23" s="11">
        <f t="shared" si="6"/>
        <v>0</v>
      </c>
      <c r="AY23" s="11">
        <f t="shared" si="6"/>
        <v>0</v>
      </c>
      <c r="AZ23" s="11">
        <f t="shared" si="6"/>
        <v>0</v>
      </c>
      <c r="BA23" s="11">
        <f t="shared" si="6"/>
        <v>0</v>
      </c>
    </row>
    <row r="24" spans="1:53" ht="15.75" customHeight="1" x14ac:dyDescent="0.35">
      <c r="A24" s="5"/>
      <c r="B24" s="5"/>
      <c r="C24" s="5"/>
      <c r="D24" s="5" t="s">
        <v>66</v>
      </c>
      <c r="E24" s="5"/>
      <c r="F24" s="5"/>
      <c r="G24" s="5"/>
      <c r="H24" s="5"/>
      <c r="I24" s="5"/>
      <c r="J24" s="5"/>
      <c r="K24" s="65"/>
      <c r="N24" s="11">
        <f t="shared" si="1"/>
        <v>0</v>
      </c>
      <c r="Q24" s="11">
        <f t="shared" si="4"/>
        <v>0</v>
      </c>
      <c r="R24" s="11">
        <f t="shared" ref="R24:BA24" si="7">-(CHOOSE($I$8,R168,R204,R240)-IFERROR(CHOOSE($I$9,R168,R204,R240),0))</f>
        <v>0</v>
      </c>
      <c r="S24" s="11">
        <f t="shared" si="7"/>
        <v>0</v>
      </c>
      <c r="T24" s="11">
        <f t="shared" si="7"/>
        <v>0</v>
      </c>
      <c r="U24" s="11">
        <f t="shared" si="7"/>
        <v>0</v>
      </c>
      <c r="V24" s="11">
        <f t="shared" si="7"/>
        <v>0</v>
      </c>
      <c r="W24" s="11">
        <f t="shared" si="7"/>
        <v>0</v>
      </c>
      <c r="X24" s="11">
        <f t="shared" si="7"/>
        <v>0</v>
      </c>
      <c r="Y24" s="11">
        <f t="shared" si="7"/>
        <v>0</v>
      </c>
      <c r="Z24" s="11">
        <f t="shared" si="7"/>
        <v>0</v>
      </c>
      <c r="AA24" s="11">
        <f t="shared" si="7"/>
        <v>0</v>
      </c>
      <c r="AB24" s="11">
        <f t="shared" si="7"/>
        <v>0</v>
      </c>
      <c r="AC24" s="11">
        <f t="shared" si="7"/>
        <v>0</v>
      </c>
      <c r="AD24" s="11">
        <f t="shared" si="7"/>
        <v>0</v>
      </c>
      <c r="AE24" s="11">
        <f t="shared" si="7"/>
        <v>0</v>
      </c>
      <c r="AF24" s="11">
        <f t="shared" si="7"/>
        <v>0</v>
      </c>
      <c r="AG24" s="11">
        <f t="shared" si="7"/>
        <v>0</v>
      </c>
      <c r="AH24" s="11">
        <f t="shared" si="7"/>
        <v>0</v>
      </c>
      <c r="AI24" s="11">
        <f t="shared" si="7"/>
        <v>0</v>
      </c>
      <c r="AJ24" s="11">
        <f t="shared" si="7"/>
        <v>0</v>
      </c>
      <c r="AK24" s="11">
        <f t="shared" si="7"/>
        <v>0</v>
      </c>
      <c r="AL24" s="11">
        <f t="shared" si="7"/>
        <v>0</v>
      </c>
      <c r="AM24" s="11">
        <f t="shared" si="7"/>
        <v>0</v>
      </c>
      <c r="AN24" s="11">
        <f t="shared" si="7"/>
        <v>0</v>
      </c>
      <c r="AO24" s="11">
        <f t="shared" si="7"/>
        <v>0</v>
      </c>
      <c r="AP24" s="11">
        <f t="shared" si="7"/>
        <v>0</v>
      </c>
      <c r="AQ24" s="11">
        <f t="shared" si="7"/>
        <v>0</v>
      </c>
      <c r="AR24" s="11">
        <f t="shared" si="7"/>
        <v>0</v>
      </c>
      <c r="AS24" s="11">
        <f t="shared" si="7"/>
        <v>0</v>
      </c>
      <c r="AT24" s="11">
        <f t="shared" si="7"/>
        <v>0</v>
      </c>
      <c r="AU24" s="11">
        <f t="shared" si="7"/>
        <v>0</v>
      </c>
      <c r="AV24" s="11">
        <f t="shared" si="7"/>
        <v>0</v>
      </c>
      <c r="AW24" s="11">
        <f t="shared" si="7"/>
        <v>0</v>
      </c>
      <c r="AX24" s="11">
        <f t="shared" si="7"/>
        <v>0</v>
      </c>
      <c r="AY24" s="11">
        <f t="shared" si="7"/>
        <v>0</v>
      </c>
      <c r="AZ24" s="11">
        <f t="shared" si="7"/>
        <v>0</v>
      </c>
      <c r="BA24" s="11">
        <f t="shared" si="7"/>
        <v>0</v>
      </c>
    </row>
    <row r="25" spans="1:53" ht="15.75" customHeight="1" x14ac:dyDescent="0.35">
      <c r="A25" s="5"/>
      <c r="B25" s="5"/>
      <c r="C25" s="5"/>
      <c r="D25" s="5" t="s">
        <v>72</v>
      </c>
      <c r="E25" s="5"/>
      <c r="F25" s="5"/>
      <c r="G25" s="5"/>
      <c r="H25" s="5"/>
      <c r="I25" s="5"/>
      <c r="J25" s="5"/>
      <c r="K25" s="65"/>
      <c r="N25" s="11">
        <f t="shared" si="1"/>
        <v>0</v>
      </c>
      <c r="Q25" s="11">
        <f t="shared" si="4"/>
        <v>0</v>
      </c>
      <c r="R25" s="11">
        <f t="shared" ref="R25:BA25" si="8">-(CHOOSE($I$8,R169,R205,R241)-IFERROR(CHOOSE($I$9,R169,R205,R241),0))</f>
        <v>0</v>
      </c>
      <c r="S25" s="11">
        <f t="shared" si="8"/>
        <v>0</v>
      </c>
      <c r="T25" s="11">
        <f t="shared" si="8"/>
        <v>0</v>
      </c>
      <c r="U25" s="11">
        <f t="shared" si="8"/>
        <v>0</v>
      </c>
      <c r="V25" s="11">
        <f t="shared" si="8"/>
        <v>0</v>
      </c>
      <c r="W25" s="11">
        <f t="shared" si="8"/>
        <v>0</v>
      </c>
      <c r="X25" s="11">
        <f t="shared" si="8"/>
        <v>0</v>
      </c>
      <c r="Y25" s="11">
        <f t="shared" si="8"/>
        <v>0</v>
      </c>
      <c r="Z25" s="11">
        <f t="shared" si="8"/>
        <v>0</v>
      </c>
      <c r="AA25" s="11">
        <f t="shared" si="8"/>
        <v>0</v>
      </c>
      <c r="AB25" s="11">
        <f t="shared" si="8"/>
        <v>0</v>
      </c>
      <c r="AC25" s="11">
        <f t="shared" si="8"/>
        <v>0</v>
      </c>
      <c r="AD25" s="11">
        <f t="shared" si="8"/>
        <v>0</v>
      </c>
      <c r="AE25" s="11">
        <f t="shared" si="8"/>
        <v>0</v>
      </c>
      <c r="AF25" s="11">
        <f t="shared" si="8"/>
        <v>0</v>
      </c>
      <c r="AG25" s="11">
        <f t="shared" si="8"/>
        <v>0</v>
      </c>
      <c r="AH25" s="11">
        <f t="shared" si="8"/>
        <v>0</v>
      </c>
      <c r="AI25" s="11">
        <f t="shared" si="8"/>
        <v>0</v>
      </c>
      <c r="AJ25" s="11">
        <f t="shared" si="8"/>
        <v>0</v>
      </c>
      <c r="AK25" s="11">
        <f t="shared" si="8"/>
        <v>0</v>
      </c>
      <c r="AL25" s="11">
        <f t="shared" si="8"/>
        <v>0</v>
      </c>
      <c r="AM25" s="11">
        <f t="shared" si="8"/>
        <v>0</v>
      </c>
      <c r="AN25" s="11">
        <f t="shared" si="8"/>
        <v>0</v>
      </c>
      <c r="AO25" s="11">
        <f t="shared" si="8"/>
        <v>0</v>
      </c>
      <c r="AP25" s="11">
        <f t="shared" si="8"/>
        <v>0</v>
      </c>
      <c r="AQ25" s="11">
        <f t="shared" si="8"/>
        <v>0</v>
      </c>
      <c r="AR25" s="11">
        <f t="shared" si="8"/>
        <v>0</v>
      </c>
      <c r="AS25" s="11">
        <f t="shared" si="8"/>
        <v>0</v>
      </c>
      <c r="AT25" s="11">
        <f t="shared" si="8"/>
        <v>0</v>
      </c>
      <c r="AU25" s="11">
        <f t="shared" si="8"/>
        <v>0</v>
      </c>
      <c r="AV25" s="11">
        <f t="shared" si="8"/>
        <v>0</v>
      </c>
      <c r="AW25" s="11">
        <f t="shared" si="8"/>
        <v>0</v>
      </c>
      <c r="AX25" s="11">
        <f t="shared" si="8"/>
        <v>0</v>
      </c>
      <c r="AY25" s="11">
        <f t="shared" si="8"/>
        <v>0</v>
      </c>
      <c r="AZ25" s="11">
        <f t="shared" si="8"/>
        <v>0</v>
      </c>
      <c r="BA25" s="11">
        <f t="shared" si="8"/>
        <v>0</v>
      </c>
    </row>
    <row r="26" spans="1:53" ht="15.75" customHeight="1" x14ac:dyDescent="0.35">
      <c r="A26" s="5"/>
      <c r="B26" s="5"/>
      <c r="C26" s="5"/>
      <c r="D26" s="5" t="s">
        <v>50</v>
      </c>
      <c r="E26" s="5"/>
      <c r="F26" s="5"/>
      <c r="G26" s="5"/>
      <c r="H26" s="5"/>
      <c r="I26" s="5"/>
      <c r="J26" s="5"/>
      <c r="K26" s="65"/>
      <c r="N26" s="11">
        <f t="shared" si="1"/>
        <v>0</v>
      </c>
      <c r="Q26" s="11">
        <f t="shared" si="4"/>
        <v>0</v>
      </c>
      <c r="R26" s="11">
        <f t="shared" ref="R26:BA26" si="9">-(CHOOSE($I$8,R170,R206,R242)-IFERROR(CHOOSE($I$9,R170,R206,R242),0))</f>
        <v>0</v>
      </c>
      <c r="S26" s="11">
        <f t="shared" si="9"/>
        <v>0</v>
      </c>
      <c r="T26" s="11">
        <f t="shared" si="9"/>
        <v>0</v>
      </c>
      <c r="U26" s="11">
        <f t="shared" si="9"/>
        <v>0</v>
      </c>
      <c r="V26" s="11">
        <f t="shared" si="9"/>
        <v>0</v>
      </c>
      <c r="W26" s="11">
        <f t="shared" si="9"/>
        <v>0</v>
      </c>
      <c r="X26" s="11">
        <f t="shared" si="9"/>
        <v>0</v>
      </c>
      <c r="Y26" s="11">
        <f t="shared" si="9"/>
        <v>0</v>
      </c>
      <c r="Z26" s="11">
        <f t="shared" si="9"/>
        <v>0</v>
      </c>
      <c r="AA26" s="11">
        <f t="shared" si="9"/>
        <v>0</v>
      </c>
      <c r="AB26" s="11">
        <f t="shared" si="9"/>
        <v>0</v>
      </c>
      <c r="AC26" s="11">
        <f t="shared" si="9"/>
        <v>0</v>
      </c>
      <c r="AD26" s="11">
        <f t="shared" si="9"/>
        <v>0</v>
      </c>
      <c r="AE26" s="11">
        <f t="shared" si="9"/>
        <v>0</v>
      </c>
      <c r="AF26" s="11">
        <f t="shared" si="9"/>
        <v>0</v>
      </c>
      <c r="AG26" s="11">
        <f t="shared" si="9"/>
        <v>0</v>
      </c>
      <c r="AH26" s="11">
        <f t="shared" si="9"/>
        <v>0</v>
      </c>
      <c r="AI26" s="11">
        <f t="shared" si="9"/>
        <v>0</v>
      </c>
      <c r="AJ26" s="11">
        <f t="shared" si="9"/>
        <v>0</v>
      </c>
      <c r="AK26" s="11">
        <f t="shared" si="9"/>
        <v>0</v>
      </c>
      <c r="AL26" s="11">
        <f t="shared" si="9"/>
        <v>0</v>
      </c>
      <c r="AM26" s="11">
        <f t="shared" si="9"/>
        <v>0</v>
      </c>
      <c r="AN26" s="11">
        <f t="shared" si="9"/>
        <v>0</v>
      </c>
      <c r="AO26" s="11">
        <f t="shared" si="9"/>
        <v>0</v>
      </c>
      <c r="AP26" s="11">
        <f t="shared" si="9"/>
        <v>0</v>
      </c>
      <c r="AQ26" s="11">
        <f t="shared" si="9"/>
        <v>0</v>
      </c>
      <c r="AR26" s="11">
        <f t="shared" si="9"/>
        <v>0</v>
      </c>
      <c r="AS26" s="11">
        <f t="shared" si="9"/>
        <v>0</v>
      </c>
      <c r="AT26" s="11">
        <f t="shared" si="9"/>
        <v>0</v>
      </c>
      <c r="AU26" s="11">
        <f t="shared" si="9"/>
        <v>0</v>
      </c>
      <c r="AV26" s="11">
        <f t="shared" si="9"/>
        <v>0</v>
      </c>
      <c r="AW26" s="11">
        <f t="shared" si="9"/>
        <v>0</v>
      </c>
      <c r="AX26" s="11">
        <f t="shared" si="9"/>
        <v>0</v>
      </c>
      <c r="AY26" s="11">
        <f t="shared" si="9"/>
        <v>0</v>
      </c>
      <c r="AZ26" s="11">
        <f t="shared" si="9"/>
        <v>0</v>
      </c>
      <c r="BA26" s="11">
        <f t="shared" si="9"/>
        <v>0</v>
      </c>
    </row>
    <row r="27" spans="1:53" ht="15.75" customHeight="1" x14ac:dyDescent="0.35">
      <c r="A27" s="5"/>
      <c r="B27" s="5"/>
      <c r="C27" s="5"/>
      <c r="D27" s="5" t="s">
        <v>33</v>
      </c>
      <c r="E27" s="5"/>
      <c r="F27" s="5"/>
      <c r="G27" s="5"/>
      <c r="H27" s="5"/>
      <c r="I27" s="5"/>
      <c r="J27" s="5"/>
      <c r="K27" s="65"/>
      <c r="N27" s="11">
        <f t="shared" si="1"/>
        <v>0</v>
      </c>
      <c r="Q27" s="11">
        <f t="shared" si="4"/>
        <v>0</v>
      </c>
      <c r="R27" s="11">
        <f t="shared" ref="R27:BA27" si="10">-(CHOOSE($I$8,R171,R207,R243)-IFERROR(CHOOSE($I$9,R171,R207,R243),0))</f>
        <v>0</v>
      </c>
      <c r="S27" s="11">
        <f t="shared" si="10"/>
        <v>0</v>
      </c>
      <c r="T27" s="11">
        <f t="shared" si="10"/>
        <v>0</v>
      </c>
      <c r="U27" s="11">
        <f t="shared" si="10"/>
        <v>0</v>
      </c>
      <c r="V27" s="11">
        <f t="shared" si="10"/>
        <v>0</v>
      </c>
      <c r="W27" s="11">
        <f t="shared" si="10"/>
        <v>0</v>
      </c>
      <c r="X27" s="11">
        <f t="shared" si="10"/>
        <v>0</v>
      </c>
      <c r="Y27" s="11">
        <f t="shared" si="10"/>
        <v>0</v>
      </c>
      <c r="Z27" s="11">
        <f t="shared" si="10"/>
        <v>0</v>
      </c>
      <c r="AA27" s="11">
        <f t="shared" si="10"/>
        <v>0</v>
      </c>
      <c r="AB27" s="11">
        <f t="shared" si="10"/>
        <v>0</v>
      </c>
      <c r="AC27" s="11">
        <f t="shared" si="10"/>
        <v>0</v>
      </c>
      <c r="AD27" s="11">
        <f t="shared" si="10"/>
        <v>0</v>
      </c>
      <c r="AE27" s="11">
        <f t="shared" si="10"/>
        <v>0</v>
      </c>
      <c r="AF27" s="11">
        <f t="shared" si="10"/>
        <v>0</v>
      </c>
      <c r="AG27" s="11">
        <f t="shared" si="10"/>
        <v>0</v>
      </c>
      <c r="AH27" s="11">
        <f t="shared" si="10"/>
        <v>0</v>
      </c>
      <c r="AI27" s="11">
        <f t="shared" si="10"/>
        <v>0</v>
      </c>
      <c r="AJ27" s="11">
        <f t="shared" si="10"/>
        <v>0</v>
      </c>
      <c r="AK27" s="11">
        <f t="shared" si="10"/>
        <v>0</v>
      </c>
      <c r="AL27" s="11">
        <f t="shared" si="10"/>
        <v>0</v>
      </c>
      <c r="AM27" s="11">
        <f t="shared" si="10"/>
        <v>0</v>
      </c>
      <c r="AN27" s="11">
        <f t="shared" si="10"/>
        <v>0</v>
      </c>
      <c r="AO27" s="11">
        <f t="shared" si="10"/>
        <v>0</v>
      </c>
      <c r="AP27" s="11">
        <f t="shared" si="10"/>
        <v>0</v>
      </c>
      <c r="AQ27" s="11">
        <f t="shared" si="10"/>
        <v>0</v>
      </c>
      <c r="AR27" s="11">
        <f t="shared" si="10"/>
        <v>0</v>
      </c>
      <c r="AS27" s="11">
        <f t="shared" si="10"/>
        <v>0</v>
      </c>
      <c r="AT27" s="11">
        <f t="shared" si="10"/>
        <v>0</v>
      </c>
      <c r="AU27" s="11">
        <f t="shared" si="10"/>
        <v>0</v>
      </c>
      <c r="AV27" s="11">
        <f t="shared" si="10"/>
        <v>0</v>
      </c>
      <c r="AW27" s="11">
        <f t="shared" si="10"/>
        <v>0</v>
      </c>
      <c r="AX27" s="11">
        <f t="shared" si="10"/>
        <v>0</v>
      </c>
      <c r="AY27" s="11">
        <f t="shared" si="10"/>
        <v>0</v>
      </c>
      <c r="AZ27" s="11">
        <f t="shared" si="10"/>
        <v>0</v>
      </c>
      <c r="BA27" s="11">
        <f t="shared" si="10"/>
        <v>0</v>
      </c>
    </row>
    <row r="28" spans="1:53" ht="15.75" customHeight="1" x14ac:dyDescent="0.35">
      <c r="A28" s="5"/>
      <c r="B28" s="5"/>
      <c r="C28" s="5" t="s">
        <v>159</v>
      </c>
      <c r="E28" s="5"/>
      <c r="F28" s="5"/>
      <c r="G28" s="5"/>
      <c r="H28" s="5"/>
      <c r="I28" s="5"/>
      <c r="J28" s="5"/>
      <c r="K28" s="65"/>
      <c r="N28" s="1">
        <f t="shared" si="1"/>
        <v>0</v>
      </c>
      <c r="Q28" s="1">
        <f t="shared" ref="Q28:BA28" si="11">SUM(Q29:Q30)</f>
        <v>0</v>
      </c>
      <c r="R28" s="1">
        <f t="shared" si="11"/>
        <v>0</v>
      </c>
      <c r="S28" s="1">
        <f t="shared" si="11"/>
        <v>0</v>
      </c>
      <c r="T28" s="1">
        <f t="shared" si="11"/>
        <v>0</v>
      </c>
      <c r="U28" s="1">
        <f t="shared" si="11"/>
        <v>0</v>
      </c>
      <c r="V28" s="1">
        <f t="shared" si="11"/>
        <v>0</v>
      </c>
      <c r="W28" s="1">
        <f t="shared" si="11"/>
        <v>0</v>
      </c>
      <c r="X28" s="1">
        <f t="shared" si="11"/>
        <v>0</v>
      </c>
      <c r="Y28" s="1">
        <f t="shared" si="11"/>
        <v>0</v>
      </c>
      <c r="Z28" s="1">
        <f t="shared" si="11"/>
        <v>0</v>
      </c>
      <c r="AA28" s="1">
        <f t="shared" si="11"/>
        <v>0</v>
      </c>
      <c r="AB28" s="1">
        <f t="shared" si="11"/>
        <v>0</v>
      </c>
      <c r="AC28" s="1">
        <f t="shared" si="11"/>
        <v>0</v>
      </c>
      <c r="AD28" s="1">
        <f t="shared" si="11"/>
        <v>0</v>
      </c>
      <c r="AE28" s="1">
        <f t="shared" si="11"/>
        <v>0</v>
      </c>
      <c r="AF28" s="1">
        <f t="shared" si="11"/>
        <v>0</v>
      </c>
      <c r="AG28" s="1">
        <f t="shared" si="11"/>
        <v>0</v>
      </c>
      <c r="AH28" s="1">
        <f t="shared" si="11"/>
        <v>0</v>
      </c>
      <c r="AI28" s="1">
        <f t="shared" si="11"/>
        <v>0</v>
      </c>
      <c r="AJ28" s="1">
        <f t="shared" si="11"/>
        <v>0</v>
      </c>
      <c r="AK28" s="1">
        <f t="shared" si="11"/>
        <v>0</v>
      </c>
      <c r="AL28" s="1">
        <f t="shared" si="11"/>
        <v>0</v>
      </c>
      <c r="AM28" s="1">
        <f t="shared" si="11"/>
        <v>0</v>
      </c>
      <c r="AN28" s="1">
        <f t="shared" si="11"/>
        <v>0</v>
      </c>
      <c r="AO28" s="1">
        <f t="shared" si="11"/>
        <v>0</v>
      </c>
      <c r="AP28" s="1">
        <f t="shared" si="11"/>
        <v>0</v>
      </c>
      <c r="AQ28" s="1">
        <f t="shared" si="11"/>
        <v>0</v>
      </c>
      <c r="AR28" s="1">
        <f t="shared" si="11"/>
        <v>0</v>
      </c>
      <c r="AS28" s="1">
        <f t="shared" si="11"/>
        <v>0</v>
      </c>
      <c r="AT28" s="1">
        <f t="shared" si="11"/>
        <v>0</v>
      </c>
      <c r="AU28" s="1">
        <f t="shared" si="11"/>
        <v>0</v>
      </c>
      <c r="AV28" s="1">
        <f t="shared" si="11"/>
        <v>0</v>
      </c>
      <c r="AW28" s="1">
        <f t="shared" si="11"/>
        <v>0</v>
      </c>
      <c r="AX28" s="1">
        <f t="shared" si="11"/>
        <v>0</v>
      </c>
      <c r="AY28" s="1">
        <f t="shared" si="11"/>
        <v>0</v>
      </c>
      <c r="AZ28" s="1">
        <f t="shared" si="11"/>
        <v>0</v>
      </c>
      <c r="BA28" s="74">
        <f t="shared" si="11"/>
        <v>0</v>
      </c>
    </row>
    <row r="29" spans="1:53" ht="15.75" customHeight="1" x14ac:dyDescent="0.35">
      <c r="A29" s="5"/>
      <c r="B29" s="5"/>
      <c r="C29" s="5"/>
      <c r="D29" s="5" t="s">
        <v>142</v>
      </c>
      <c r="E29" s="5"/>
      <c r="F29" s="5"/>
      <c r="G29" s="5"/>
      <c r="H29" s="5"/>
      <c r="I29" s="5"/>
      <c r="J29" s="5"/>
      <c r="K29" s="65"/>
      <c r="N29" s="11">
        <f t="shared" si="1"/>
        <v>0</v>
      </c>
      <c r="Q29" s="11">
        <f>-(CHOOSE($I$8,Q173,Q209,Q245)-IFERROR(CHOOSE($I$9,Q173,Q209,Q245),0))</f>
        <v>0</v>
      </c>
      <c r="R29" s="11">
        <f t="shared" ref="R29:BA29" si="12">-(CHOOSE($I$8,R173,R209,R245)-IFERROR(CHOOSE($I$9,R173,R209,R245),0))</f>
        <v>0</v>
      </c>
      <c r="S29" s="11">
        <f t="shared" si="12"/>
        <v>0</v>
      </c>
      <c r="T29" s="11">
        <f t="shared" si="12"/>
        <v>0</v>
      </c>
      <c r="U29" s="11">
        <f t="shared" si="12"/>
        <v>0</v>
      </c>
      <c r="V29" s="11">
        <f t="shared" si="12"/>
        <v>0</v>
      </c>
      <c r="W29" s="11">
        <f t="shared" si="12"/>
        <v>0</v>
      </c>
      <c r="X29" s="11">
        <f t="shared" si="12"/>
        <v>0</v>
      </c>
      <c r="Y29" s="11">
        <f t="shared" si="12"/>
        <v>0</v>
      </c>
      <c r="Z29" s="11">
        <f t="shared" si="12"/>
        <v>0</v>
      </c>
      <c r="AA29" s="11">
        <f t="shared" si="12"/>
        <v>0</v>
      </c>
      <c r="AB29" s="11">
        <f t="shared" si="12"/>
        <v>0</v>
      </c>
      <c r="AC29" s="11">
        <f t="shared" si="12"/>
        <v>0</v>
      </c>
      <c r="AD29" s="11">
        <f t="shared" si="12"/>
        <v>0</v>
      </c>
      <c r="AE29" s="11">
        <f t="shared" si="12"/>
        <v>0</v>
      </c>
      <c r="AF29" s="11">
        <f t="shared" si="12"/>
        <v>0</v>
      </c>
      <c r="AG29" s="11">
        <f t="shared" si="12"/>
        <v>0</v>
      </c>
      <c r="AH29" s="11">
        <f t="shared" si="12"/>
        <v>0</v>
      </c>
      <c r="AI29" s="11">
        <f t="shared" si="12"/>
        <v>0</v>
      </c>
      <c r="AJ29" s="11">
        <f t="shared" si="12"/>
        <v>0</v>
      </c>
      <c r="AK29" s="11">
        <f t="shared" si="12"/>
        <v>0</v>
      </c>
      <c r="AL29" s="11">
        <f t="shared" si="12"/>
        <v>0</v>
      </c>
      <c r="AM29" s="11">
        <f t="shared" si="12"/>
        <v>0</v>
      </c>
      <c r="AN29" s="11">
        <f t="shared" si="12"/>
        <v>0</v>
      </c>
      <c r="AO29" s="11">
        <f t="shared" si="12"/>
        <v>0</v>
      </c>
      <c r="AP29" s="11">
        <f t="shared" si="12"/>
        <v>0</v>
      </c>
      <c r="AQ29" s="11">
        <f t="shared" si="12"/>
        <v>0</v>
      </c>
      <c r="AR29" s="11">
        <f t="shared" si="12"/>
        <v>0</v>
      </c>
      <c r="AS29" s="11">
        <f t="shared" si="12"/>
        <v>0</v>
      </c>
      <c r="AT29" s="11">
        <f t="shared" si="12"/>
        <v>0</v>
      </c>
      <c r="AU29" s="11">
        <f t="shared" si="12"/>
        <v>0</v>
      </c>
      <c r="AV29" s="11">
        <f t="shared" si="12"/>
        <v>0</v>
      </c>
      <c r="AW29" s="11">
        <f t="shared" si="12"/>
        <v>0</v>
      </c>
      <c r="AX29" s="11">
        <f t="shared" si="12"/>
        <v>0</v>
      </c>
      <c r="AY29" s="11">
        <f t="shared" si="12"/>
        <v>0</v>
      </c>
      <c r="AZ29" s="11">
        <f t="shared" si="12"/>
        <v>0</v>
      </c>
      <c r="BA29" s="11">
        <f t="shared" si="12"/>
        <v>0</v>
      </c>
    </row>
    <row r="30" spans="1:53" ht="15.75" customHeight="1" x14ac:dyDescent="0.35">
      <c r="A30" s="5"/>
      <c r="B30" s="5"/>
      <c r="C30" s="5"/>
      <c r="D30" s="5" t="s">
        <v>33</v>
      </c>
      <c r="E30" s="5"/>
      <c r="F30" s="5"/>
      <c r="G30" s="5"/>
      <c r="H30" s="5"/>
      <c r="I30" s="5"/>
      <c r="J30" s="5"/>
      <c r="K30" s="65"/>
      <c r="N30" s="11">
        <f t="shared" si="1"/>
        <v>0</v>
      </c>
      <c r="Q30" s="11">
        <f>-(CHOOSE($I$8,Q174,Q210,Q246)-IFERROR(CHOOSE($I$9,Q174,Q210,Q246),0))</f>
        <v>0</v>
      </c>
      <c r="R30" s="11">
        <f t="shared" ref="R30:BA30" si="13">-(CHOOSE($I$8,R174,R210,R246)-IFERROR(CHOOSE($I$9,R174,R210,R246),0))</f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0</v>
      </c>
      <c r="W30" s="11">
        <f t="shared" si="13"/>
        <v>0</v>
      </c>
      <c r="X30" s="11">
        <f t="shared" si="13"/>
        <v>0</v>
      </c>
      <c r="Y30" s="11">
        <f t="shared" si="13"/>
        <v>0</v>
      </c>
      <c r="Z30" s="11">
        <f t="shared" si="13"/>
        <v>0</v>
      </c>
      <c r="AA30" s="11">
        <f t="shared" si="13"/>
        <v>0</v>
      </c>
      <c r="AB30" s="11">
        <f t="shared" si="13"/>
        <v>0</v>
      </c>
      <c r="AC30" s="11">
        <f t="shared" si="13"/>
        <v>0</v>
      </c>
      <c r="AD30" s="11">
        <f t="shared" si="13"/>
        <v>0</v>
      </c>
      <c r="AE30" s="11">
        <f t="shared" si="13"/>
        <v>0</v>
      </c>
      <c r="AF30" s="11">
        <f t="shared" si="13"/>
        <v>0</v>
      </c>
      <c r="AG30" s="11">
        <f t="shared" si="13"/>
        <v>0</v>
      </c>
      <c r="AH30" s="11">
        <f t="shared" si="13"/>
        <v>0</v>
      </c>
      <c r="AI30" s="11">
        <f t="shared" si="13"/>
        <v>0</v>
      </c>
      <c r="AJ30" s="11">
        <f t="shared" si="13"/>
        <v>0</v>
      </c>
      <c r="AK30" s="11">
        <f t="shared" si="13"/>
        <v>0</v>
      </c>
      <c r="AL30" s="11">
        <f t="shared" si="13"/>
        <v>0</v>
      </c>
      <c r="AM30" s="11">
        <f t="shared" si="13"/>
        <v>0</v>
      </c>
      <c r="AN30" s="11">
        <f t="shared" si="13"/>
        <v>0</v>
      </c>
      <c r="AO30" s="11">
        <f t="shared" si="13"/>
        <v>0</v>
      </c>
      <c r="AP30" s="11">
        <f t="shared" si="13"/>
        <v>0</v>
      </c>
      <c r="AQ30" s="11">
        <f t="shared" si="13"/>
        <v>0</v>
      </c>
      <c r="AR30" s="11">
        <f t="shared" si="13"/>
        <v>0</v>
      </c>
      <c r="AS30" s="11">
        <f t="shared" si="13"/>
        <v>0</v>
      </c>
      <c r="AT30" s="11">
        <f t="shared" si="13"/>
        <v>0</v>
      </c>
      <c r="AU30" s="11">
        <f t="shared" si="13"/>
        <v>0</v>
      </c>
      <c r="AV30" s="11">
        <f t="shared" si="13"/>
        <v>0</v>
      </c>
      <c r="AW30" s="11">
        <f t="shared" si="13"/>
        <v>0</v>
      </c>
      <c r="AX30" s="11">
        <f t="shared" si="13"/>
        <v>0</v>
      </c>
      <c r="AY30" s="11">
        <f t="shared" si="13"/>
        <v>0</v>
      </c>
      <c r="AZ30" s="11">
        <f t="shared" si="13"/>
        <v>0</v>
      </c>
      <c r="BA30" s="11">
        <f t="shared" si="13"/>
        <v>0</v>
      </c>
    </row>
    <row r="31" spans="1:53" ht="14.5" x14ac:dyDescent="0.35"/>
    <row r="32" spans="1:53" ht="15.75" customHeight="1" x14ac:dyDescent="0.35">
      <c r="A32" s="15"/>
      <c r="B32" s="16" t="s">
        <v>76</v>
      </c>
      <c r="C32" s="16"/>
      <c r="D32" s="16"/>
      <c r="E32" s="16"/>
      <c r="F32" s="16"/>
      <c r="G32" s="16"/>
      <c r="H32" s="16"/>
      <c r="I32" s="16"/>
      <c r="J32" s="16"/>
      <c r="K32" s="16"/>
      <c r="L32" s="3"/>
      <c r="M32" s="3"/>
      <c r="N32" s="4">
        <f t="shared" ref="N32:N38" si="14">SUM(Q32:BA32)</f>
        <v>0</v>
      </c>
      <c r="O32" s="3"/>
      <c r="P32" s="3"/>
      <c r="Q32" s="4">
        <f t="shared" ref="Q32:BA32" si="15">SUM(Q33,Q36)</f>
        <v>0</v>
      </c>
      <c r="R32" s="4">
        <f t="shared" si="15"/>
        <v>0</v>
      </c>
      <c r="S32" s="4">
        <f t="shared" si="15"/>
        <v>0</v>
      </c>
      <c r="T32" s="4">
        <f t="shared" si="15"/>
        <v>0</v>
      </c>
      <c r="U32" s="4">
        <f t="shared" si="15"/>
        <v>0</v>
      </c>
      <c r="V32" s="4">
        <f t="shared" si="15"/>
        <v>0</v>
      </c>
      <c r="W32" s="4">
        <f t="shared" si="15"/>
        <v>0</v>
      </c>
      <c r="X32" s="4">
        <f t="shared" si="15"/>
        <v>0</v>
      </c>
      <c r="Y32" s="4">
        <f t="shared" si="15"/>
        <v>0</v>
      </c>
      <c r="Z32" s="4">
        <f t="shared" si="15"/>
        <v>0</v>
      </c>
      <c r="AA32" s="4">
        <f t="shared" si="15"/>
        <v>0</v>
      </c>
      <c r="AB32" s="4">
        <f t="shared" si="15"/>
        <v>0</v>
      </c>
      <c r="AC32" s="4">
        <f t="shared" si="15"/>
        <v>0</v>
      </c>
      <c r="AD32" s="4">
        <f t="shared" si="15"/>
        <v>0</v>
      </c>
      <c r="AE32" s="4">
        <f t="shared" si="15"/>
        <v>0</v>
      </c>
      <c r="AF32" s="4">
        <f t="shared" si="15"/>
        <v>0</v>
      </c>
      <c r="AG32" s="4">
        <f t="shared" si="15"/>
        <v>0</v>
      </c>
      <c r="AH32" s="4">
        <f t="shared" si="15"/>
        <v>0</v>
      </c>
      <c r="AI32" s="4">
        <f t="shared" si="15"/>
        <v>0</v>
      </c>
      <c r="AJ32" s="4">
        <f t="shared" si="15"/>
        <v>0</v>
      </c>
      <c r="AK32" s="4">
        <f t="shared" si="15"/>
        <v>0</v>
      </c>
      <c r="AL32" s="4">
        <f t="shared" si="15"/>
        <v>0</v>
      </c>
      <c r="AM32" s="4">
        <f t="shared" si="15"/>
        <v>0</v>
      </c>
      <c r="AN32" s="4">
        <f t="shared" si="15"/>
        <v>0</v>
      </c>
      <c r="AO32" s="4">
        <f t="shared" si="15"/>
        <v>0</v>
      </c>
      <c r="AP32" s="4">
        <f t="shared" si="15"/>
        <v>0</v>
      </c>
      <c r="AQ32" s="4">
        <f t="shared" si="15"/>
        <v>0</v>
      </c>
      <c r="AR32" s="4">
        <f t="shared" si="15"/>
        <v>0</v>
      </c>
      <c r="AS32" s="4">
        <f t="shared" si="15"/>
        <v>0</v>
      </c>
      <c r="AT32" s="4">
        <f t="shared" si="15"/>
        <v>0</v>
      </c>
      <c r="AU32" s="4">
        <f t="shared" si="15"/>
        <v>0</v>
      </c>
      <c r="AV32" s="4">
        <f t="shared" si="15"/>
        <v>0</v>
      </c>
      <c r="AW32" s="4">
        <f t="shared" si="15"/>
        <v>0</v>
      </c>
      <c r="AX32" s="4">
        <f t="shared" si="15"/>
        <v>0</v>
      </c>
      <c r="AY32" s="4">
        <f t="shared" si="15"/>
        <v>0</v>
      </c>
      <c r="AZ32" s="4">
        <f t="shared" si="15"/>
        <v>0</v>
      </c>
      <c r="BA32" s="73">
        <f t="shared" si="15"/>
        <v>0</v>
      </c>
    </row>
    <row r="33" spans="1:53" ht="15.75" customHeight="1" x14ac:dyDescent="0.35">
      <c r="A33" s="5"/>
      <c r="B33" s="5"/>
      <c r="C33" s="5" t="s">
        <v>160</v>
      </c>
      <c r="D33" s="5"/>
      <c r="E33" s="5"/>
      <c r="F33" s="5"/>
      <c r="G33" s="5"/>
      <c r="H33" s="5"/>
      <c r="I33" s="5"/>
      <c r="J33" s="5"/>
      <c r="K33" s="5"/>
      <c r="N33" s="1">
        <f t="shared" si="14"/>
        <v>0</v>
      </c>
      <c r="Q33" s="11">
        <f t="shared" ref="Q33:BA33" si="16">SUM(Q34:Q35)</f>
        <v>0</v>
      </c>
      <c r="R33" s="11">
        <f t="shared" si="16"/>
        <v>0</v>
      </c>
      <c r="S33" s="11">
        <f t="shared" si="16"/>
        <v>0</v>
      </c>
      <c r="T33" s="11">
        <f t="shared" si="16"/>
        <v>0</v>
      </c>
      <c r="U33" s="11">
        <f t="shared" si="16"/>
        <v>0</v>
      </c>
      <c r="V33" s="11">
        <f t="shared" si="16"/>
        <v>0</v>
      </c>
      <c r="W33" s="11">
        <f t="shared" si="16"/>
        <v>0</v>
      </c>
      <c r="X33" s="11">
        <f t="shared" si="16"/>
        <v>0</v>
      </c>
      <c r="Y33" s="11">
        <f t="shared" si="16"/>
        <v>0</v>
      </c>
      <c r="Z33" s="11">
        <f t="shared" si="16"/>
        <v>0</v>
      </c>
      <c r="AA33" s="11">
        <f t="shared" si="16"/>
        <v>0</v>
      </c>
      <c r="AB33" s="11">
        <f t="shared" si="16"/>
        <v>0</v>
      </c>
      <c r="AC33" s="11">
        <f t="shared" si="16"/>
        <v>0</v>
      </c>
      <c r="AD33" s="11">
        <f t="shared" si="16"/>
        <v>0</v>
      </c>
      <c r="AE33" s="11">
        <f t="shared" si="16"/>
        <v>0</v>
      </c>
      <c r="AF33" s="11">
        <f t="shared" si="16"/>
        <v>0</v>
      </c>
      <c r="AG33" s="11">
        <f t="shared" si="16"/>
        <v>0</v>
      </c>
      <c r="AH33" s="11">
        <f t="shared" si="16"/>
        <v>0</v>
      </c>
      <c r="AI33" s="11">
        <f t="shared" si="16"/>
        <v>0</v>
      </c>
      <c r="AJ33" s="11">
        <f t="shared" si="16"/>
        <v>0</v>
      </c>
      <c r="AK33" s="11">
        <f t="shared" si="16"/>
        <v>0</v>
      </c>
      <c r="AL33" s="11">
        <f t="shared" si="16"/>
        <v>0</v>
      </c>
      <c r="AM33" s="11">
        <f t="shared" si="16"/>
        <v>0</v>
      </c>
      <c r="AN33" s="11">
        <f t="shared" si="16"/>
        <v>0</v>
      </c>
      <c r="AO33" s="11">
        <f t="shared" si="16"/>
        <v>0</v>
      </c>
      <c r="AP33" s="11">
        <f t="shared" si="16"/>
        <v>0</v>
      </c>
      <c r="AQ33" s="11">
        <f t="shared" si="16"/>
        <v>0</v>
      </c>
      <c r="AR33" s="11">
        <f t="shared" si="16"/>
        <v>0</v>
      </c>
      <c r="AS33" s="11">
        <f t="shared" si="16"/>
        <v>0</v>
      </c>
      <c r="AT33" s="11">
        <f t="shared" si="16"/>
        <v>0</v>
      </c>
      <c r="AU33" s="11">
        <f t="shared" si="16"/>
        <v>0</v>
      </c>
      <c r="AV33" s="11">
        <f t="shared" si="16"/>
        <v>0</v>
      </c>
      <c r="AW33" s="11">
        <f t="shared" si="16"/>
        <v>0</v>
      </c>
      <c r="AX33" s="11">
        <f t="shared" si="16"/>
        <v>0</v>
      </c>
      <c r="AY33" s="11">
        <f t="shared" si="16"/>
        <v>0</v>
      </c>
      <c r="AZ33" s="11">
        <f t="shared" si="16"/>
        <v>0</v>
      </c>
      <c r="BA33" s="75">
        <f t="shared" si="16"/>
        <v>0</v>
      </c>
    </row>
    <row r="34" spans="1:53" ht="15.75" customHeight="1" x14ac:dyDescent="0.35">
      <c r="A34" s="5"/>
      <c r="B34" s="5"/>
      <c r="C34" s="5"/>
      <c r="D34" s="5" t="s">
        <v>6</v>
      </c>
      <c r="E34" s="5"/>
      <c r="F34" s="5"/>
      <c r="G34" s="5"/>
      <c r="H34" s="5"/>
      <c r="I34" s="5"/>
      <c r="J34" s="5"/>
      <c r="K34" s="5"/>
      <c r="N34" s="1">
        <f t="shared" si="14"/>
        <v>0</v>
      </c>
      <c r="Q34" s="11">
        <f>-(CHOOSE($I$8,Q178,Q214,Q250)-IFERROR(CHOOSE($I$9,Q178,Q214,Q250),0))</f>
        <v>0</v>
      </c>
      <c r="R34" s="11">
        <f t="shared" ref="R34:BA34" si="17">-(CHOOSE($I$8,R178,R214,R250)-IFERROR(CHOOSE($I$9,R178,R214,R250),0))</f>
        <v>0</v>
      </c>
      <c r="S34" s="11">
        <f t="shared" si="17"/>
        <v>0</v>
      </c>
      <c r="T34" s="11">
        <f t="shared" si="17"/>
        <v>0</v>
      </c>
      <c r="U34" s="11">
        <f t="shared" si="17"/>
        <v>0</v>
      </c>
      <c r="V34" s="11">
        <f t="shared" si="17"/>
        <v>0</v>
      </c>
      <c r="W34" s="11">
        <f t="shared" si="17"/>
        <v>0</v>
      </c>
      <c r="X34" s="11">
        <f t="shared" si="17"/>
        <v>0</v>
      </c>
      <c r="Y34" s="11">
        <f t="shared" si="17"/>
        <v>0</v>
      </c>
      <c r="Z34" s="11">
        <f t="shared" si="17"/>
        <v>0</v>
      </c>
      <c r="AA34" s="11">
        <f t="shared" si="17"/>
        <v>0</v>
      </c>
      <c r="AB34" s="11">
        <f t="shared" si="17"/>
        <v>0</v>
      </c>
      <c r="AC34" s="11">
        <f t="shared" si="17"/>
        <v>0</v>
      </c>
      <c r="AD34" s="11">
        <f t="shared" si="17"/>
        <v>0</v>
      </c>
      <c r="AE34" s="11">
        <f t="shared" si="17"/>
        <v>0</v>
      </c>
      <c r="AF34" s="11">
        <f t="shared" si="17"/>
        <v>0</v>
      </c>
      <c r="AG34" s="11">
        <f t="shared" si="17"/>
        <v>0</v>
      </c>
      <c r="AH34" s="11">
        <f t="shared" si="17"/>
        <v>0</v>
      </c>
      <c r="AI34" s="11">
        <f t="shared" si="17"/>
        <v>0</v>
      </c>
      <c r="AJ34" s="11">
        <f t="shared" si="17"/>
        <v>0</v>
      </c>
      <c r="AK34" s="11">
        <f t="shared" si="17"/>
        <v>0</v>
      </c>
      <c r="AL34" s="11">
        <f t="shared" si="17"/>
        <v>0</v>
      </c>
      <c r="AM34" s="11">
        <f t="shared" si="17"/>
        <v>0</v>
      </c>
      <c r="AN34" s="11">
        <f t="shared" si="17"/>
        <v>0</v>
      </c>
      <c r="AO34" s="11">
        <f t="shared" si="17"/>
        <v>0</v>
      </c>
      <c r="AP34" s="11">
        <f t="shared" si="17"/>
        <v>0</v>
      </c>
      <c r="AQ34" s="11">
        <f t="shared" si="17"/>
        <v>0</v>
      </c>
      <c r="AR34" s="11">
        <f t="shared" si="17"/>
        <v>0</v>
      </c>
      <c r="AS34" s="11">
        <f t="shared" si="17"/>
        <v>0</v>
      </c>
      <c r="AT34" s="11">
        <f t="shared" si="17"/>
        <v>0</v>
      </c>
      <c r="AU34" s="11">
        <f t="shared" si="17"/>
        <v>0</v>
      </c>
      <c r="AV34" s="11">
        <f t="shared" si="17"/>
        <v>0</v>
      </c>
      <c r="AW34" s="11">
        <f t="shared" si="17"/>
        <v>0</v>
      </c>
      <c r="AX34" s="11">
        <f t="shared" si="17"/>
        <v>0</v>
      </c>
      <c r="AY34" s="11">
        <f t="shared" si="17"/>
        <v>0</v>
      </c>
      <c r="AZ34" s="11">
        <f t="shared" si="17"/>
        <v>0</v>
      </c>
      <c r="BA34" s="11">
        <f t="shared" si="17"/>
        <v>0</v>
      </c>
    </row>
    <row r="35" spans="1:53" ht="15.75" customHeight="1" x14ac:dyDescent="0.35">
      <c r="A35" s="5"/>
      <c r="B35" s="5"/>
      <c r="C35" s="5"/>
      <c r="D35" s="5" t="s">
        <v>33</v>
      </c>
      <c r="E35" s="5"/>
      <c r="F35" s="5"/>
      <c r="G35" s="5"/>
      <c r="H35" s="5"/>
      <c r="I35" s="5"/>
      <c r="J35" s="5"/>
      <c r="K35" s="5"/>
      <c r="N35" s="1">
        <f t="shared" si="14"/>
        <v>0</v>
      </c>
      <c r="Q35" s="11">
        <f>-(CHOOSE($I$8,Q179,Q215,Q251)-IFERROR(CHOOSE($I$9,Q179,Q215,Q251),0))</f>
        <v>0</v>
      </c>
      <c r="R35" s="11">
        <f t="shared" ref="R35:BA35" si="18">-(CHOOSE($I$8,R179,R215,R251)-IFERROR(CHOOSE($I$9,R179,R215,R251),0))</f>
        <v>0</v>
      </c>
      <c r="S35" s="11">
        <f t="shared" si="18"/>
        <v>0</v>
      </c>
      <c r="T35" s="11">
        <f t="shared" si="18"/>
        <v>0</v>
      </c>
      <c r="U35" s="11">
        <f t="shared" si="18"/>
        <v>0</v>
      </c>
      <c r="V35" s="11">
        <f t="shared" si="18"/>
        <v>0</v>
      </c>
      <c r="W35" s="11">
        <f t="shared" si="18"/>
        <v>0</v>
      </c>
      <c r="X35" s="11">
        <f t="shared" si="18"/>
        <v>0</v>
      </c>
      <c r="Y35" s="11">
        <f t="shared" si="18"/>
        <v>0</v>
      </c>
      <c r="Z35" s="11">
        <f t="shared" si="18"/>
        <v>0</v>
      </c>
      <c r="AA35" s="11">
        <f t="shared" si="18"/>
        <v>0</v>
      </c>
      <c r="AB35" s="11">
        <f t="shared" si="18"/>
        <v>0</v>
      </c>
      <c r="AC35" s="11">
        <f t="shared" si="18"/>
        <v>0</v>
      </c>
      <c r="AD35" s="11">
        <f t="shared" si="18"/>
        <v>0</v>
      </c>
      <c r="AE35" s="11">
        <f t="shared" si="18"/>
        <v>0</v>
      </c>
      <c r="AF35" s="11">
        <f t="shared" si="18"/>
        <v>0</v>
      </c>
      <c r="AG35" s="11">
        <f t="shared" si="18"/>
        <v>0</v>
      </c>
      <c r="AH35" s="11">
        <f t="shared" si="18"/>
        <v>0</v>
      </c>
      <c r="AI35" s="11">
        <f t="shared" si="18"/>
        <v>0</v>
      </c>
      <c r="AJ35" s="11">
        <f t="shared" si="18"/>
        <v>0</v>
      </c>
      <c r="AK35" s="11">
        <f t="shared" si="18"/>
        <v>0</v>
      </c>
      <c r="AL35" s="11">
        <f t="shared" si="18"/>
        <v>0</v>
      </c>
      <c r="AM35" s="11">
        <f t="shared" si="18"/>
        <v>0</v>
      </c>
      <c r="AN35" s="11">
        <f t="shared" si="18"/>
        <v>0</v>
      </c>
      <c r="AO35" s="11">
        <f t="shared" si="18"/>
        <v>0</v>
      </c>
      <c r="AP35" s="11">
        <f t="shared" si="18"/>
        <v>0</v>
      </c>
      <c r="AQ35" s="11">
        <f t="shared" si="18"/>
        <v>0</v>
      </c>
      <c r="AR35" s="11">
        <f t="shared" si="18"/>
        <v>0</v>
      </c>
      <c r="AS35" s="11">
        <f t="shared" si="18"/>
        <v>0</v>
      </c>
      <c r="AT35" s="11">
        <f t="shared" si="18"/>
        <v>0</v>
      </c>
      <c r="AU35" s="11">
        <f t="shared" si="18"/>
        <v>0</v>
      </c>
      <c r="AV35" s="11">
        <f t="shared" si="18"/>
        <v>0</v>
      </c>
      <c r="AW35" s="11">
        <f t="shared" si="18"/>
        <v>0</v>
      </c>
      <c r="AX35" s="11">
        <f t="shared" si="18"/>
        <v>0</v>
      </c>
      <c r="AY35" s="11">
        <f t="shared" si="18"/>
        <v>0</v>
      </c>
      <c r="AZ35" s="11">
        <f t="shared" si="18"/>
        <v>0</v>
      </c>
      <c r="BA35" s="11">
        <f t="shared" si="18"/>
        <v>0</v>
      </c>
    </row>
    <row r="36" spans="1:53" ht="15.75" customHeight="1" x14ac:dyDescent="0.35">
      <c r="A36" s="5"/>
      <c r="B36" s="5"/>
      <c r="C36" s="5" t="s">
        <v>161</v>
      </c>
      <c r="D36" s="5"/>
      <c r="E36" s="5"/>
      <c r="F36" s="5"/>
      <c r="G36" s="5"/>
      <c r="H36" s="5"/>
      <c r="I36" s="5"/>
      <c r="J36" s="5"/>
      <c r="K36" s="5"/>
      <c r="N36" s="1">
        <f t="shared" si="14"/>
        <v>0</v>
      </c>
      <c r="Q36" s="11">
        <f t="shared" ref="Q36" si="19">SUM(Q37:Q38)</f>
        <v>0</v>
      </c>
      <c r="R36" s="11">
        <f t="shared" ref="R36:BA36" si="20">SUM(R37:R38)</f>
        <v>0</v>
      </c>
      <c r="S36" s="11">
        <f t="shared" si="20"/>
        <v>0</v>
      </c>
      <c r="T36" s="11">
        <f t="shared" si="20"/>
        <v>0</v>
      </c>
      <c r="U36" s="11">
        <f t="shared" si="20"/>
        <v>0</v>
      </c>
      <c r="V36" s="11">
        <f t="shared" si="20"/>
        <v>0</v>
      </c>
      <c r="W36" s="11">
        <f t="shared" si="20"/>
        <v>0</v>
      </c>
      <c r="X36" s="11">
        <f t="shared" si="20"/>
        <v>0</v>
      </c>
      <c r="Y36" s="11">
        <f t="shared" si="20"/>
        <v>0</v>
      </c>
      <c r="Z36" s="11">
        <f t="shared" si="20"/>
        <v>0</v>
      </c>
      <c r="AA36" s="11">
        <f t="shared" si="20"/>
        <v>0</v>
      </c>
      <c r="AB36" s="11">
        <f t="shared" si="20"/>
        <v>0</v>
      </c>
      <c r="AC36" s="11">
        <f t="shared" si="20"/>
        <v>0</v>
      </c>
      <c r="AD36" s="11">
        <f t="shared" si="20"/>
        <v>0</v>
      </c>
      <c r="AE36" s="11">
        <f t="shared" si="20"/>
        <v>0</v>
      </c>
      <c r="AF36" s="11">
        <f t="shared" si="20"/>
        <v>0</v>
      </c>
      <c r="AG36" s="11">
        <f t="shared" si="20"/>
        <v>0</v>
      </c>
      <c r="AH36" s="11">
        <f t="shared" si="20"/>
        <v>0</v>
      </c>
      <c r="AI36" s="11">
        <f t="shared" si="20"/>
        <v>0</v>
      </c>
      <c r="AJ36" s="11">
        <f t="shared" si="20"/>
        <v>0</v>
      </c>
      <c r="AK36" s="11">
        <f t="shared" si="20"/>
        <v>0</v>
      </c>
      <c r="AL36" s="11">
        <f t="shared" si="20"/>
        <v>0</v>
      </c>
      <c r="AM36" s="11">
        <f t="shared" si="20"/>
        <v>0</v>
      </c>
      <c r="AN36" s="11">
        <f t="shared" si="20"/>
        <v>0</v>
      </c>
      <c r="AO36" s="11">
        <f t="shared" si="20"/>
        <v>0</v>
      </c>
      <c r="AP36" s="11">
        <f t="shared" si="20"/>
        <v>0</v>
      </c>
      <c r="AQ36" s="11">
        <f t="shared" si="20"/>
        <v>0</v>
      </c>
      <c r="AR36" s="11">
        <f t="shared" si="20"/>
        <v>0</v>
      </c>
      <c r="AS36" s="11">
        <f t="shared" si="20"/>
        <v>0</v>
      </c>
      <c r="AT36" s="11">
        <f t="shared" si="20"/>
        <v>0</v>
      </c>
      <c r="AU36" s="11">
        <f t="shared" si="20"/>
        <v>0</v>
      </c>
      <c r="AV36" s="11">
        <f t="shared" si="20"/>
        <v>0</v>
      </c>
      <c r="AW36" s="11">
        <f t="shared" si="20"/>
        <v>0</v>
      </c>
      <c r="AX36" s="11">
        <f t="shared" si="20"/>
        <v>0</v>
      </c>
      <c r="AY36" s="11">
        <f t="shared" si="20"/>
        <v>0</v>
      </c>
      <c r="AZ36" s="11">
        <f t="shared" si="20"/>
        <v>0</v>
      </c>
      <c r="BA36" s="75">
        <f t="shared" si="20"/>
        <v>0</v>
      </c>
    </row>
    <row r="37" spans="1:53" ht="15.75" customHeight="1" x14ac:dyDescent="0.35">
      <c r="A37" s="5"/>
      <c r="B37" s="5"/>
      <c r="C37" s="5"/>
      <c r="D37" s="5" t="s">
        <v>147</v>
      </c>
      <c r="E37" s="5"/>
      <c r="F37" s="5"/>
      <c r="G37" s="5"/>
      <c r="H37" s="5"/>
      <c r="I37" s="5"/>
      <c r="J37" s="5"/>
      <c r="K37" s="5"/>
      <c r="N37" s="1">
        <f t="shared" si="14"/>
        <v>0</v>
      </c>
      <c r="Q37" s="11">
        <f>-(CHOOSE($I$8,Q181,Q217,Q253)-IFERROR(CHOOSE($I$9,Q181,Q217,Q253),0))</f>
        <v>0</v>
      </c>
      <c r="R37" s="11">
        <f t="shared" ref="R37:BA37" si="21">-(CHOOSE($I$8,R181,R217,R253)-IFERROR(CHOOSE($I$9,R181,R217,R253),0))</f>
        <v>0</v>
      </c>
      <c r="S37" s="11">
        <f t="shared" si="21"/>
        <v>0</v>
      </c>
      <c r="T37" s="11">
        <f t="shared" si="21"/>
        <v>0</v>
      </c>
      <c r="U37" s="11">
        <f t="shared" si="21"/>
        <v>0</v>
      </c>
      <c r="V37" s="11">
        <f t="shared" si="21"/>
        <v>0</v>
      </c>
      <c r="W37" s="11">
        <f t="shared" si="21"/>
        <v>0</v>
      </c>
      <c r="X37" s="11">
        <f t="shared" si="21"/>
        <v>0</v>
      </c>
      <c r="Y37" s="11">
        <f t="shared" si="21"/>
        <v>0</v>
      </c>
      <c r="Z37" s="11">
        <f t="shared" si="21"/>
        <v>0</v>
      </c>
      <c r="AA37" s="11">
        <f t="shared" si="21"/>
        <v>0</v>
      </c>
      <c r="AB37" s="11">
        <f t="shared" si="21"/>
        <v>0</v>
      </c>
      <c r="AC37" s="11">
        <f t="shared" si="21"/>
        <v>0</v>
      </c>
      <c r="AD37" s="11">
        <f t="shared" si="21"/>
        <v>0</v>
      </c>
      <c r="AE37" s="11">
        <f t="shared" si="21"/>
        <v>0</v>
      </c>
      <c r="AF37" s="11">
        <f t="shared" si="21"/>
        <v>0</v>
      </c>
      <c r="AG37" s="11">
        <f t="shared" si="21"/>
        <v>0</v>
      </c>
      <c r="AH37" s="11">
        <f t="shared" si="21"/>
        <v>0</v>
      </c>
      <c r="AI37" s="11">
        <f t="shared" si="21"/>
        <v>0</v>
      </c>
      <c r="AJ37" s="11">
        <f t="shared" si="21"/>
        <v>0</v>
      </c>
      <c r="AK37" s="11">
        <f t="shared" si="21"/>
        <v>0</v>
      </c>
      <c r="AL37" s="11">
        <f t="shared" si="21"/>
        <v>0</v>
      </c>
      <c r="AM37" s="11">
        <f t="shared" si="21"/>
        <v>0</v>
      </c>
      <c r="AN37" s="11">
        <f t="shared" si="21"/>
        <v>0</v>
      </c>
      <c r="AO37" s="11">
        <f t="shared" si="21"/>
        <v>0</v>
      </c>
      <c r="AP37" s="11">
        <f t="shared" si="21"/>
        <v>0</v>
      </c>
      <c r="AQ37" s="11">
        <f t="shared" si="21"/>
        <v>0</v>
      </c>
      <c r="AR37" s="11">
        <f t="shared" si="21"/>
        <v>0</v>
      </c>
      <c r="AS37" s="11">
        <f t="shared" si="21"/>
        <v>0</v>
      </c>
      <c r="AT37" s="11">
        <f t="shared" si="21"/>
        <v>0</v>
      </c>
      <c r="AU37" s="11">
        <f t="shared" si="21"/>
        <v>0</v>
      </c>
      <c r="AV37" s="11">
        <f t="shared" si="21"/>
        <v>0</v>
      </c>
      <c r="AW37" s="11">
        <f t="shared" si="21"/>
        <v>0</v>
      </c>
      <c r="AX37" s="11">
        <f t="shared" si="21"/>
        <v>0</v>
      </c>
      <c r="AY37" s="11">
        <f t="shared" si="21"/>
        <v>0</v>
      </c>
      <c r="AZ37" s="11">
        <f t="shared" si="21"/>
        <v>0</v>
      </c>
      <c r="BA37" s="11">
        <f t="shared" si="21"/>
        <v>0</v>
      </c>
    </row>
    <row r="38" spans="1:53" ht="15.75" customHeight="1" x14ac:dyDescent="0.35">
      <c r="A38" s="5"/>
      <c r="B38" s="5"/>
      <c r="C38" s="5"/>
      <c r="D38" s="5" t="s">
        <v>52</v>
      </c>
      <c r="E38" s="5"/>
      <c r="F38" s="5"/>
      <c r="G38" s="5"/>
      <c r="H38" s="5"/>
      <c r="I38" s="5"/>
      <c r="J38" s="5"/>
      <c r="K38" s="5"/>
      <c r="N38" s="1">
        <f t="shared" si="14"/>
        <v>0</v>
      </c>
      <c r="Q38" s="11">
        <f>-(CHOOSE($I$8,Q182,Q218,Q254)-IFERROR(CHOOSE($I$9,Q182,Q218,Q254),0))</f>
        <v>0</v>
      </c>
      <c r="R38" s="11">
        <f t="shared" ref="R38:BA38" si="22">-(CHOOSE($I$8,R182,R218,R254)-IFERROR(CHOOSE($I$9,R182,R218,R254),0))</f>
        <v>0</v>
      </c>
      <c r="S38" s="11">
        <f t="shared" si="22"/>
        <v>0</v>
      </c>
      <c r="T38" s="11">
        <f t="shared" si="22"/>
        <v>0</v>
      </c>
      <c r="U38" s="11">
        <f t="shared" si="22"/>
        <v>0</v>
      </c>
      <c r="V38" s="11">
        <f t="shared" si="22"/>
        <v>0</v>
      </c>
      <c r="W38" s="11">
        <f t="shared" si="22"/>
        <v>0</v>
      </c>
      <c r="X38" s="11">
        <f t="shared" si="22"/>
        <v>0</v>
      </c>
      <c r="Y38" s="11">
        <f t="shared" si="22"/>
        <v>0</v>
      </c>
      <c r="Z38" s="11">
        <f t="shared" si="22"/>
        <v>0</v>
      </c>
      <c r="AA38" s="11">
        <f t="shared" si="22"/>
        <v>0</v>
      </c>
      <c r="AB38" s="11">
        <f t="shared" si="22"/>
        <v>0</v>
      </c>
      <c r="AC38" s="11">
        <f t="shared" si="22"/>
        <v>0</v>
      </c>
      <c r="AD38" s="11">
        <f t="shared" si="22"/>
        <v>0</v>
      </c>
      <c r="AE38" s="11">
        <f t="shared" si="22"/>
        <v>0</v>
      </c>
      <c r="AF38" s="11">
        <f t="shared" si="22"/>
        <v>0</v>
      </c>
      <c r="AG38" s="11">
        <f t="shared" si="22"/>
        <v>0</v>
      </c>
      <c r="AH38" s="11">
        <f t="shared" si="22"/>
        <v>0</v>
      </c>
      <c r="AI38" s="11">
        <f t="shared" si="22"/>
        <v>0</v>
      </c>
      <c r="AJ38" s="11">
        <f t="shared" si="22"/>
        <v>0</v>
      </c>
      <c r="AK38" s="11">
        <f t="shared" si="22"/>
        <v>0</v>
      </c>
      <c r="AL38" s="11">
        <f t="shared" si="22"/>
        <v>0</v>
      </c>
      <c r="AM38" s="11">
        <f t="shared" si="22"/>
        <v>0</v>
      </c>
      <c r="AN38" s="11">
        <f t="shared" si="22"/>
        <v>0</v>
      </c>
      <c r="AO38" s="11">
        <f t="shared" si="22"/>
        <v>0</v>
      </c>
      <c r="AP38" s="11">
        <f t="shared" si="22"/>
        <v>0</v>
      </c>
      <c r="AQ38" s="11">
        <f t="shared" si="22"/>
        <v>0</v>
      </c>
      <c r="AR38" s="11">
        <f t="shared" si="22"/>
        <v>0</v>
      </c>
      <c r="AS38" s="11">
        <f t="shared" si="22"/>
        <v>0</v>
      </c>
      <c r="AT38" s="11">
        <f t="shared" si="22"/>
        <v>0</v>
      </c>
      <c r="AU38" s="11">
        <f t="shared" si="22"/>
        <v>0</v>
      </c>
      <c r="AV38" s="11">
        <f t="shared" si="22"/>
        <v>0</v>
      </c>
      <c r="AW38" s="11">
        <f t="shared" si="22"/>
        <v>0</v>
      </c>
      <c r="AX38" s="11">
        <f t="shared" si="22"/>
        <v>0</v>
      </c>
      <c r="AY38" s="11">
        <f t="shared" si="22"/>
        <v>0</v>
      </c>
      <c r="AZ38" s="11">
        <f t="shared" si="22"/>
        <v>0</v>
      </c>
      <c r="BA38" s="11">
        <f t="shared" si="22"/>
        <v>0</v>
      </c>
    </row>
    <row r="39" spans="1:53" ht="14.5" x14ac:dyDescent="0.35"/>
    <row r="40" spans="1:53" ht="15.75" customHeight="1" x14ac:dyDescent="0.35">
      <c r="A40" s="59" t="s">
        <v>134</v>
      </c>
      <c r="B40" s="59" t="s">
        <v>187</v>
      </c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>
        <f>SUM(Q40:BA40)</f>
        <v>0</v>
      </c>
      <c r="O40" s="59"/>
      <c r="P40" s="59"/>
      <c r="Q40" s="59">
        <f t="shared" ref="Q40:BA40" si="23">SUM(Q42:Q47)</f>
        <v>0</v>
      </c>
      <c r="R40" s="59">
        <f t="shared" si="23"/>
        <v>0</v>
      </c>
      <c r="S40" s="59">
        <f t="shared" si="23"/>
        <v>0</v>
      </c>
      <c r="T40" s="59">
        <f t="shared" si="23"/>
        <v>0</v>
      </c>
      <c r="U40" s="59">
        <f t="shared" si="23"/>
        <v>0</v>
      </c>
      <c r="V40" s="59">
        <f t="shared" si="23"/>
        <v>0</v>
      </c>
      <c r="W40" s="59">
        <f t="shared" si="23"/>
        <v>0</v>
      </c>
      <c r="X40" s="59">
        <f t="shared" si="23"/>
        <v>0</v>
      </c>
      <c r="Y40" s="59">
        <f t="shared" si="23"/>
        <v>0</v>
      </c>
      <c r="Z40" s="59">
        <f t="shared" si="23"/>
        <v>0</v>
      </c>
      <c r="AA40" s="59">
        <f t="shared" si="23"/>
        <v>0</v>
      </c>
      <c r="AB40" s="59">
        <f t="shared" si="23"/>
        <v>0</v>
      </c>
      <c r="AC40" s="59">
        <f t="shared" si="23"/>
        <v>0</v>
      </c>
      <c r="AD40" s="59">
        <f t="shared" si="23"/>
        <v>0</v>
      </c>
      <c r="AE40" s="59">
        <f t="shared" si="23"/>
        <v>0</v>
      </c>
      <c r="AF40" s="59">
        <f t="shared" si="23"/>
        <v>0</v>
      </c>
      <c r="AG40" s="59">
        <f t="shared" si="23"/>
        <v>0</v>
      </c>
      <c r="AH40" s="59">
        <f t="shared" si="23"/>
        <v>0</v>
      </c>
      <c r="AI40" s="59">
        <f t="shared" si="23"/>
        <v>0</v>
      </c>
      <c r="AJ40" s="59">
        <f t="shared" si="23"/>
        <v>0</v>
      </c>
      <c r="AK40" s="59">
        <f t="shared" si="23"/>
        <v>0</v>
      </c>
      <c r="AL40" s="59">
        <f t="shared" si="23"/>
        <v>0</v>
      </c>
      <c r="AM40" s="59">
        <f t="shared" si="23"/>
        <v>0</v>
      </c>
      <c r="AN40" s="59">
        <f t="shared" si="23"/>
        <v>0</v>
      </c>
      <c r="AO40" s="59">
        <f t="shared" si="23"/>
        <v>0</v>
      </c>
      <c r="AP40" s="59">
        <f t="shared" si="23"/>
        <v>0</v>
      </c>
      <c r="AQ40" s="59">
        <f t="shared" si="23"/>
        <v>0</v>
      </c>
      <c r="AR40" s="59">
        <f t="shared" si="23"/>
        <v>0</v>
      </c>
      <c r="AS40" s="59">
        <f t="shared" si="23"/>
        <v>0</v>
      </c>
      <c r="AT40" s="59">
        <f t="shared" si="23"/>
        <v>0</v>
      </c>
      <c r="AU40" s="59">
        <f t="shared" si="23"/>
        <v>0</v>
      </c>
      <c r="AV40" s="59">
        <f t="shared" si="23"/>
        <v>0</v>
      </c>
      <c r="AW40" s="59">
        <f t="shared" si="23"/>
        <v>0</v>
      </c>
      <c r="AX40" s="59">
        <f t="shared" si="23"/>
        <v>0</v>
      </c>
      <c r="AY40" s="59">
        <f t="shared" si="23"/>
        <v>0</v>
      </c>
      <c r="AZ40" s="59">
        <f t="shared" si="23"/>
        <v>0</v>
      </c>
      <c r="BA40" s="59">
        <f t="shared" si="23"/>
        <v>0</v>
      </c>
    </row>
    <row r="41" spans="1:53" ht="14.5" x14ac:dyDescent="0.35"/>
    <row r="42" spans="1:53" ht="15.75" customHeight="1" x14ac:dyDescent="0.35">
      <c r="A42" s="5"/>
      <c r="B42" s="5"/>
      <c r="C42" s="5" t="s">
        <v>136</v>
      </c>
      <c r="E42" s="5"/>
      <c r="F42" s="5"/>
      <c r="G42" s="5"/>
      <c r="H42" s="5"/>
      <c r="I42" s="5"/>
      <c r="J42" s="5"/>
      <c r="K42" s="5"/>
      <c r="N42" s="1">
        <f t="shared" ref="N42:N47" si="24">SUM(Q42:BA42)</f>
        <v>0</v>
      </c>
      <c r="Q42" s="1">
        <f t="shared" ref="Q42:BA42" si="25">Q18</f>
        <v>0</v>
      </c>
      <c r="R42" s="1">
        <f t="shared" si="25"/>
        <v>0</v>
      </c>
      <c r="S42" s="1">
        <f t="shared" si="25"/>
        <v>0</v>
      </c>
      <c r="T42" s="1">
        <f t="shared" si="25"/>
        <v>0</v>
      </c>
      <c r="U42" s="1">
        <f t="shared" si="25"/>
        <v>0</v>
      </c>
      <c r="V42" s="1">
        <f t="shared" si="25"/>
        <v>0</v>
      </c>
      <c r="W42" s="1">
        <f t="shared" si="25"/>
        <v>0</v>
      </c>
      <c r="X42" s="1">
        <f t="shared" si="25"/>
        <v>0</v>
      </c>
      <c r="Y42" s="1">
        <f t="shared" si="25"/>
        <v>0</v>
      </c>
      <c r="Z42" s="1">
        <f t="shared" si="25"/>
        <v>0</v>
      </c>
      <c r="AA42" s="1">
        <f t="shared" si="25"/>
        <v>0</v>
      </c>
      <c r="AB42" s="1">
        <f t="shared" si="25"/>
        <v>0</v>
      </c>
      <c r="AC42" s="1">
        <f t="shared" si="25"/>
        <v>0</v>
      </c>
      <c r="AD42" s="1">
        <f t="shared" si="25"/>
        <v>0</v>
      </c>
      <c r="AE42" s="1">
        <f t="shared" si="25"/>
        <v>0</v>
      </c>
      <c r="AF42" s="1">
        <f t="shared" si="25"/>
        <v>0</v>
      </c>
      <c r="AG42" s="1">
        <f t="shared" si="25"/>
        <v>0</v>
      </c>
      <c r="AH42" s="1">
        <f t="shared" si="25"/>
        <v>0</v>
      </c>
      <c r="AI42" s="1">
        <f t="shared" si="25"/>
        <v>0</v>
      </c>
      <c r="AJ42" s="1">
        <f t="shared" si="25"/>
        <v>0</v>
      </c>
      <c r="AK42" s="1">
        <f t="shared" si="25"/>
        <v>0</v>
      </c>
      <c r="AL42" s="1">
        <f t="shared" si="25"/>
        <v>0</v>
      </c>
      <c r="AM42" s="1">
        <f t="shared" si="25"/>
        <v>0</v>
      </c>
      <c r="AN42" s="1">
        <f t="shared" si="25"/>
        <v>0</v>
      </c>
      <c r="AO42" s="1">
        <f t="shared" si="25"/>
        <v>0</v>
      </c>
      <c r="AP42" s="1">
        <f t="shared" si="25"/>
        <v>0</v>
      </c>
      <c r="AQ42" s="1">
        <f t="shared" si="25"/>
        <v>0</v>
      </c>
      <c r="AR42" s="1">
        <f t="shared" si="25"/>
        <v>0</v>
      </c>
      <c r="AS42" s="1">
        <f t="shared" si="25"/>
        <v>0</v>
      </c>
      <c r="AT42" s="1">
        <f t="shared" si="25"/>
        <v>0</v>
      </c>
      <c r="AU42" s="1">
        <f t="shared" si="25"/>
        <v>0</v>
      </c>
      <c r="AV42" s="1">
        <f t="shared" si="25"/>
        <v>0</v>
      </c>
      <c r="AW42" s="1">
        <f t="shared" si="25"/>
        <v>0</v>
      </c>
      <c r="AX42" s="1">
        <f t="shared" si="25"/>
        <v>0</v>
      </c>
      <c r="AY42" s="1">
        <f t="shared" si="25"/>
        <v>0</v>
      </c>
      <c r="AZ42" s="1">
        <f t="shared" si="25"/>
        <v>0</v>
      </c>
      <c r="BA42" s="74">
        <f t="shared" si="25"/>
        <v>0</v>
      </c>
    </row>
    <row r="43" spans="1:53" ht="15.75" customHeight="1" x14ac:dyDescent="0.35">
      <c r="A43" s="5"/>
      <c r="B43" s="5"/>
      <c r="C43" s="5" t="s">
        <v>101</v>
      </c>
      <c r="E43" s="5"/>
      <c r="F43" s="5"/>
      <c r="G43" s="5"/>
      <c r="H43" s="5"/>
      <c r="I43" s="5"/>
      <c r="J43" s="5"/>
      <c r="K43" s="5"/>
      <c r="N43" s="1">
        <f t="shared" si="24"/>
        <v>0</v>
      </c>
      <c r="Q43" s="11">
        <f t="shared" ref="Q43:BA43" si="26">-(CHOOSE($I$8,Q189,Q225,Q261)-IFERROR(CHOOSE($I$9,Q189,Q225,Q261),0))</f>
        <v>0</v>
      </c>
      <c r="R43" s="11">
        <f t="shared" si="26"/>
        <v>0</v>
      </c>
      <c r="S43" s="11">
        <f t="shared" si="26"/>
        <v>0</v>
      </c>
      <c r="T43" s="11">
        <f t="shared" si="26"/>
        <v>0</v>
      </c>
      <c r="U43" s="11">
        <f t="shared" si="26"/>
        <v>0</v>
      </c>
      <c r="V43" s="11">
        <f t="shared" si="26"/>
        <v>0</v>
      </c>
      <c r="W43" s="11">
        <f t="shared" si="26"/>
        <v>0</v>
      </c>
      <c r="X43" s="11">
        <f t="shared" si="26"/>
        <v>0</v>
      </c>
      <c r="Y43" s="11">
        <f t="shared" si="26"/>
        <v>0</v>
      </c>
      <c r="Z43" s="11">
        <f t="shared" si="26"/>
        <v>0</v>
      </c>
      <c r="AA43" s="11">
        <f t="shared" si="26"/>
        <v>0</v>
      </c>
      <c r="AB43" s="11">
        <f t="shared" si="26"/>
        <v>0</v>
      </c>
      <c r="AC43" s="11">
        <f t="shared" si="26"/>
        <v>0</v>
      </c>
      <c r="AD43" s="11">
        <f t="shared" si="26"/>
        <v>0</v>
      </c>
      <c r="AE43" s="11">
        <f t="shared" si="26"/>
        <v>0</v>
      </c>
      <c r="AF43" s="11">
        <f t="shared" si="26"/>
        <v>0</v>
      </c>
      <c r="AG43" s="11">
        <f t="shared" si="26"/>
        <v>0</v>
      </c>
      <c r="AH43" s="11">
        <f t="shared" si="26"/>
        <v>0</v>
      </c>
      <c r="AI43" s="11">
        <f t="shared" si="26"/>
        <v>0</v>
      </c>
      <c r="AJ43" s="11">
        <f t="shared" si="26"/>
        <v>0</v>
      </c>
      <c r="AK43" s="11">
        <f t="shared" si="26"/>
        <v>0</v>
      </c>
      <c r="AL43" s="11">
        <f t="shared" si="26"/>
        <v>0</v>
      </c>
      <c r="AM43" s="11">
        <f t="shared" si="26"/>
        <v>0</v>
      </c>
      <c r="AN43" s="11">
        <f t="shared" si="26"/>
        <v>0</v>
      </c>
      <c r="AO43" s="11">
        <f t="shared" si="26"/>
        <v>0</v>
      </c>
      <c r="AP43" s="11">
        <f t="shared" si="26"/>
        <v>0</v>
      </c>
      <c r="AQ43" s="11">
        <f t="shared" si="26"/>
        <v>0</v>
      </c>
      <c r="AR43" s="11">
        <f t="shared" si="26"/>
        <v>0</v>
      </c>
      <c r="AS43" s="11">
        <f t="shared" si="26"/>
        <v>0</v>
      </c>
      <c r="AT43" s="11">
        <f t="shared" si="26"/>
        <v>0</v>
      </c>
      <c r="AU43" s="11">
        <f t="shared" si="26"/>
        <v>0</v>
      </c>
      <c r="AV43" s="11">
        <f t="shared" si="26"/>
        <v>0</v>
      </c>
      <c r="AW43" s="11">
        <f t="shared" si="26"/>
        <v>0</v>
      </c>
      <c r="AX43" s="11">
        <f t="shared" si="26"/>
        <v>0</v>
      </c>
      <c r="AY43" s="11">
        <f t="shared" si="26"/>
        <v>0</v>
      </c>
      <c r="AZ43" s="11">
        <f t="shared" si="26"/>
        <v>0</v>
      </c>
      <c r="BA43" s="137">
        <f t="shared" si="26"/>
        <v>0</v>
      </c>
    </row>
    <row r="44" spans="1:53" ht="15.75" customHeight="1" x14ac:dyDescent="0.35">
      <c r="A44" s="5"/>
      <c r="B44" s="5"/>
      <c r="C44" s="5" t="s">
        <v>102</v>
      </c>
      <c r="E44" s="5"/>
      <c r="F44" s="5"/>
      <c r="G44" s="5"/>
      <c r="H44" s="5"/>
      <c r="I44" s="5"/>
      <c r="J44" s="5"/>
      <c r="K44" s="5"/>
      <c r="N44" s="1">
        <f t="shared" si="24"/>
        <v>0</v>
      </c>
      <c r="Q44" s="11">
        <f t="shared" ref="Q44:BA44" si="27">-(CHOOSE($I$8,Q190,Q226,Q262)-IFERROR(CHOOSE($I$9,Q190,Q226,Q262),0))</f>
        <v>0</v>
      </c>
      <c r="R44" s="11">
        <f t="shared" si="27"/>
        <v>0</v>
      </c>
      <c r="S44" s="11">
        <f t="shared" si="27"/>
        <v>0</v>
      </c>
      <c r="T44" s="11">
        <f t="shared" si="27"/>
        <v>0</v>
      </c>
      <c r="U44" s="11">
        <f t="shared" si="27"/>
        <v>0</v>
      </c>
      <c r="V44" s="11">
        <f t="shared" si="27"/>
        <v>0</v>
      </c>
      <c r="W44" s="11">
        <f t="shared" si="27"/>
        <v>0</v>
      </c>
      <c r="X44" s="11">
        <f t="shared" si="27"/>
        <v>0</v>
      </c>
      <c r="Y44" s="11">
        <f t="shared" si="27"/>
        <v>0</v>
      </c>
      <c r="Z44" s="11">
        <f t="shared" si="27"/>
        <v>0</v>
      </c>
      <c r="AA44" s="11">
        <f t="shared" si="27"/>
        <v>0</v>
      </c>
      <c r="AB44" s="11">
        <f t="shared" si="27"/>
        <v>0</v>
      </c>
      <c r="AC44" s="11">
        <f t="shared" si="27"/>
        <v>0</v>
      </c>
      <c r="AD44" s="11">
        <f t="shared" si="27"/>
        <v>0</v>
      </c>
      <c r="AE44" s="11">
        <f t="shared" si="27"/>
        <v>0</v>
      </c>
      <c r="AF44" s="11">
        <f t="shared" si="27"/>
        <v>0</v>
      </c>
      <c r="AG44" s="11">
        <f t="shared" si="27"/>
        <v>0</v>
      </c>
      <c r="AH44" s="11">
        <f t="shared" si="27"/>
        <v>0</v>
      </c>
      <c r="AI44" s="11">
        <f t="shared" si="27"/>
        <v>0</v>
      </c>
      <c r="AJ44" s="11">
        <f t="shared" si="27"/>
        <v>0</v>
      </c>
      <c r="AK44" s="11">
        <f t="shared" si="27"/>
        <v>0</v>
      </c>
      <c r="AL44" s="11">
        <f t="shared" si="27"/>
        <v>0</v>
      </c>
      <c r="AM44" s="11">
        <f t="shared" si="27"/>
        <v>0</v>
      </c>
      <c r="AN44" s="11">
        <f t="shared" si="27"/>
        <v>0</v>
      </c>
      <c r="AO44" s="11">
        <f t="shared" si="27"/>
        <v>0</v>
      </c>
      <c r="AP44" s="11">
        <f t="shared" si="27"/>
        <v>0</v>
      </c>
      <c r="AQ44" s="11">
        <f t="shared" si="27"/>
        <v>0</v>
      </c>
      <c r="AR44" s="11">
        <f t="shared" si="27"/>
        <v>0</v>
      </c>
      <c r="AS44" s="11">
        <f t="shared" si="27"/>
        <v>0</v>
      </c>
      <c r="AT44" s="11">
        <f t="shared" si="27"/>
        <v>0</v>
      </c>
      <c r="AU44" s="11">
        <f t="shared" si="27"/>
        <v>0</v>
      </c>
      <c r="AV44" s="11">
        <f t="shared" si="27"/>
        <v>0</v>
      </c>
      <c r="AW44" s="11">
        <f t="shared" si="27"/>
        <v>0</v>
      </c>
      <c r="AX44" s="11">
        <f t="shared" si="27"/>
        <v>0</v>
      </c>
      <c r="AY44" s="11">
        <f t="shared" si="27"/>
        <v>0</v>
      </c>
      <c r="AZ44" s="11">
        <f t="shared" si="27"/>
        <v>0</v>
      </c>
      <c r="BA44" s="137">
        <f t="shared" si="27"/>
        <v>0</v>
      </c>
    </row>
    <row r="45" spans="1:53" ht="15.75" customHeight="1" x14ac:dyDescent="0.35">
      <c r="A45" s="5"/>
      <c r="B45" s="5"/>
      <c r="C45" s="5" t="s">
        <v>135</v>
      </c>
      <c r="E45" s="5"/>
      <c r="F45" s="5"/>
      <c r="G45" s="5"/>
      <c r="H45" s="5"/>
      <c r="I45" s="5"/>
      <c r="J45" s="5"/>
      <c r="K45" s="5"/>
      <c r="N45" s="1">
        <f t="shared" si="24"/>
        <v>0</v>
      </c>
      <c r="Q45" s="11">
        <f t="shared" ref="Q45:BA45" si="28">-(CHOOSE($I$8,Q191,Q227,Q263)-IFERROR(CHOOSE($I$9,Q191,Q227,Q263),0))</f>
        <v>0</v>
      </c>
      <c r="R45" s="11">
        <f t="shared" si="28"/>
        <v>0</v>
      </c>
      <c r="S45" s="11">
        <f t="shared" si="28"/>
        <v>0</v>
      </c>
      <c r="T45" s="11">
        <f t="shared" si="28"/>
        <v>0</v>
      </c>
      <c r="U45" s="11">
        <f t="shared" si="28"/>
        <v>0</v>
      </c>
      <c r="V45" s="11">
        <f t="shared" si="28"/>
        <v>0</v>
      </c>
      <c r="W45" s="11">
        <f t="shared" si="28"/>
        <v>0</v>
      </c>
      <c r="X45" s="11">
        <f t="shared" si="28"/>
        <v>0</v>
      </c>
      <c r="Y45" s="11">
        <f t="shared" si="28"/>
        <v>0</v>
      </c>
      <c r="Z45" s="11">
        <f t="shared" si="28"/>
        <v>0</v>
      </c>
      <c r="AA45" s="11">
        <f t="shared" si="28"/>
        <v>0</v>
      </c>
      <c r="AB45" s="11">
        <f t="shared" si="28"/>
        <v>0</v>
      </c>
      <c r="AC45" s="11">
        <f t="shared" si="28"/>
        <v>0</v>
      </c>
      <c r="AD45" s="11">
        <f t="shared" si="28"/>
        <v>0</v>
      </c>
      <c r="AE45" s="11">
        <f t="shared" si="28"/>
        <v>0</v>
      </c>
      <c r="AF45" s="11">
        <f t="shared" si="28"/>
        <v>0</v>
      </c>
      <c r="AG45" s="11">
        <f t="shared" si="28"/>
        <v>0</v>
      </c>
      <c r="AH45" s="11">
        <f t="shared" si="28"/>
        <v>0</v>
      </c>
      <c r="AI45" s="11">
        <f t="shared" si="28"/>
        <v>0</v>
      </c>
      <c r="AJ45" s="11">
        <f t="shared" si="28"/>
        <v>0</v>
      </c>
      <c r="AK45" s="11">
        <f t="shared" si="28"/>
        <v>0</v>
      </c>
      <c r="AL45" s="11">
        <f t="shared" si="28"/>
        <v>0</v>
      </c>
      <c r="AM45" s="11">
        <f t="shared" si="28"/>
        <v>0</v>
      </c>
      <c r="AN45" s="11">
        <f t="shared" si="28"/>
        <v>0</v>
      </c>
      <c r="AO45" s="11">
        <f t="shared" si="28"/>
        <v>0</v>
      </c>
      <c r="AP45" s="11">
        <f t="shared" si="28"/>
        <v>0</v>
      </c>
      <c r="AQ45" s="11">
        <f t="shared" si="28"/>
        <v>0</v>
      </c>
      <c r="AR45" s="11">
        <f t="shared" si="28"/>
        <v>0</v>
      </c>
      <c r="AS45" s="11">
        <f t="shared" si="28"/>
        <v>0</v>
      </c>
      <c r="AT45" s="11">
        <f t="shared" si="28"/>
        <v>0</v>
      </c>
      <c r="AU45" s="11">
        <f t="shared" si="28"/>
        <v>0</v>
      </c>
      <c r="AV45" s="11">
        <f t="shared" si="28"/>
        <v>0</v>
      </c>
      <c r="AW45" s="11">
        <f t="shared" si="28"/>
        <v>0</v>
      </c>
      <c r="AX45" s="11">
        <f t="shared" si="28"/>
        <v>0</v>
      </c>
      <c r="AY45" s="11">
        <f t="shared" si="28"/>
        <v>0</v>
      </c>
      <c r="AZ45" s="11">
        <f t="shared" si="28"/>
        <v>0</v>
      </c>
      <c r="BA45" s="137">
        <f t="shared" si="28"/>
        <v>0</v>
      </c>
    </row>
    <row r="46" spans="1:53" ht="15.75" customHeight="1" x14ac:dyDescent="0.35">
      <c r="A46" s="5"/>
      <c r="B46" s="5"/>
      <c r="C46" s="5" t="s">
        <v>231</v>
      </c>
      <c r="E46" s="5"/>
      <c r="F46" s="5"/>
      <c r="G46" s="5"/>
      <c r="H46" s="5"/>
      <c r="I46" s="5"/>
      <c r="J46" s="5"/>
      <c r="K46" s="5"/>
      <c r="N46" s="1">
        <f t="shared" si="24"/>
        <v>0</v>
      </c>
      <c r="Q46" s="11">
        <f t="shared" ref="Q46:BA46" si="29">-(CHOOSE($I$8,Q192,Q228,Q264)-IFERROR(CHOOSE($I$9,Q192,Q228,Q264),0))</f>
        <v>0</v>
      </c>
      <c r="R46" s="11">
        <f t="shared" si="29"/>
        <v>0</v>
      </c>
      <c r="S46" s="11">
        <f t="shared" si="29"/>
        <v>0</v>
      </c>
      <c r="T46" s="11">
        <f t="shared" si="29"/>
        <v>0</v>
      </c>
      <c r="U46" s="11">
        <f t="shared" si="29"/>
        <v>0</v>
      </c>
      <c r="V46" s="11">
        <f t="shared" si="29"/>
        <v>0</v>
      </c>
      <c r="W46" s="11">
        <f t="shared" si="29"/>
        <v>0</v>
      </c>
      <c r="X46" s="11">
        <f t="shared" si="29"/>
        <v>0</v>
      </c>
      <c r="Y46" s="11">
        <f t="shared" si="29"/>
        <v>0</v>
      </c>
      <c r="Z46" s="11">
        <f t="shared" si="29"/>
        <v>0</v>
      </c>
      <c r="AA46" s="11">
        <f t="shared" si="29"/>
        <v>0</v>
      </c>
      <c r="AB46" s="11">
        <f t="shared" si="29"/>
        <v>0</v>
      </c>
      <c r="AC46" s="11">
        <f t="shared" si="29"/>
        <v>0</v>
      </c>
      <c r="AD46" s="11">
        <f t="shared" si="29"/>
        <v>0</v>
      </c>
      <c r="AE46" s="11">
        <f t="shared" si="29"/>
        <v>0</v>
      </c>
      <c r="AF46" s="11">
        <f t="shared" si="29"/>
        <v>0</v>
      </c>
      <c r="AG46" s="11">
        <f t="shared" si="29"/>
        <v>0</v>
      </c>
      <c r="AH46" s="11">
        <f t="shared" si="29"/>
        <v>0</v>
      </c>
      <c r="AI46" s="11">
        <f t="shared" si="29"/>
        <v>0</v>
      </c>
      <c r="AJ46" s="11">
        <f t="shared" si="29"/>
        <v>0</v>
      </c>
      <c r="AK46" s="11">
        <f t="shared" si="29"/>
        <v>0</v>
      </c>
      <c r="AL46" s="11">
        <f t="shared" si="29"/>
        <v>0</v>
      </c>
      <c r="AM46" s="11">
        <f t="shared" si="29"/>
        <v>0</v>
      </c>
      <c r="AN46" s="11">
        <f t="shared" si="29"/>
        <v>0</v>
      </c>
      <c r="AO46" s="11">
        <f t="shared" si="29"/>
        <v>0</v>
      </c>
      <c r="AP46" s="11">
        <f t="shared" si="29"/>
        <v>0</v>
      </c>
      <c r="AQ46" s="11">
        <f t="shared" si="29"/>
        <v>0</v>
      </c>
      <c r="AR46" s="11">
        <f t="shared" si="29"/>
        <v>0</v>
      </c>
      <c r="AS46" s="11">
        <f t="shared" si="29"/>
        <v>0</v>
      </c>
      <c r="AT46" s="11">
        <f t="shared" si="29"/>
        <v>0</v>
      </c>
      <c r="AU46" s="11">
        <f t="shared" si="29"/>
        <v>0</v>
      </c>
      <c r="AV46" s="11">
        <f t="shared" si="29"/>
        <v>0</v>
      </c>
      <c r="AW46" s="11">
        <f t="shared" si="29"/>
        <v>0</v>
      </c>
      <c r="AX46" s="11">
        <f t="shared" si="29"/>
        <v>0</v>
      </c>
      <c r="AY46" s="11">
        <f t="shared" si="29"/>
        <v>0</v>
      </c>
      <c r="AZ46" s="11">
        <f t="shared" si="29"/>
        <v>0</v>
      </c>
      <c r="BA46" s="137">
        <f t="shared" si="29"/>
        <v>0</v>
      </c>
    </row>
    <row r="47" spans="1:53" ht="15.75" customHeight="1" x14ac:dyDescent="0.35">
      <c r="A47" s="5"/>
      <c r="B47" s="5"/>
      <c r="C47" s="5" t="s">
        <v>232</v>
      </c>
      <c r="E47" s="5"/>
      <c r="F47" s="5"/>
      <c r="G47" s="5"/>
      <c r="H47" s="5"/>
      <c r="I47" s="5"/>
      <c r="J47" s="5"/>
      <c r="K47" s="5"/>
      <c r="N47" s="1">
        <f t="shared" si="24"/>
        <v>0</v>
      </c>
      <c r="Q47" s="11">
        <f t="shared" ref="Q47:BA47" si="30">-(CHOOSE($I$8,Q193,Q229,Q265)-IFERROR(CHOOSE($I$9,Q193,Q229,Q265),0))</f>
        <v>0</v>
      </c>
      <c r="R47" s="11">
        <f t="shared" si="30"/>
        <v>0</v>
      </c>
      <c r="S47" s="11">
        <f t="shared" si="30"/>
        <v>0</v>
      </c>
      <c r="T47" s="11">
        <f t="shared" si="30"/>
        <v>0</v>
      </c>
      <c r="U47" s="11">
        <f t="shared" si="30"/>
        <v>0</v>
      </c>
      <c r="V47" s="11">
        <f t="shared" si="30"/>
        <v>0</v>
      </c>
      <c r="W47" s="11">
        <f t="shared" si="30"/>
        <v>0</v>
      </c>
      <c r="X47" s="11">
        <f t="shared" si="30"/>
        <v>0</v>
      </c>
      <c r="Y47" s="11">
        <f t="shared" si="30"/>
        <v>0</v>
      </c>
      <c r="Z47" s="11">
        <f t="shared" si="30"/>
        <v>0</v>
      </c>
      <c r="AA47" s="11">
        <f t="shared" si="30"/>
        <v>0</v>
      </c>
      <c r="AB47" s="11">
        <f t="shared" si="30"/>
        <v>0</v>
      </c>
      <c r="AC47" s="11">
        <f t="shared" si="30"/>
        <v>0</v>
      </c>
      <c r="AD47" s="11">
        <f t="shared" si="30"/>
        <v>0</v>
      </c>
      <c r="AE47" s="11">
        <f t="shared" si="30"/>
        <v>0</v>
      </c>
      <c r="AF47" s="11">
        <f t="shared" si="30"/>
        <v>0</v>
      </c>
      <c r="AG47" s="11">
        <f t="shared" si="30"/>
        <v>0</v>
      </c>
      <c r="AH47" s="11">
        <f t="shared" si="30"/>
        <v>0</v>
      </c>
      <c r="AI47" s="11">
        <f t="shared" si="30"/>
        <v>0</v>
      </c>
      <c r="AJ47" s="11">
        <f t="shared" si="30"/>
        <v>0</v>
      </c>
      <c r="AK47" s="11">
        <f t="shared" si="30"/>
        <v>0</v>
      </c>
      <c r="AL47" s="11">
        <f t="shared" si="30"/>
        <v>0</v>
      </c>
      <c r="AM47" s="11">
        <f t="shared" si="30"/>
        <v>0</v>
      </c>
      <c r="AN47" s="11">
        <f t="shared" si="30"/>
        <v>0</v>
      </c>
      <c r="AO47" s="11">
        <f t="shared" si="30"/>
        <v>0</v>
      </c>
      <c r="AP47" s="11">
        <f t="shared" si="30"/>
        <v>0</v>
      </c>
      <c r="AQ47" s="11">
        <f t="shared" si="30"/>
        <v>0</v>
      </c>
      <c r="AR47" s="11">
        <f t="shared" si="30"/>
        <v>0</v>
      </c>
      <c r="AS47" s="11">
        <f t="shared" si="30"/>
        <v>0</v>
      </c>
      <c r="AT47" s="11">
        <f t="shared" si="30"/>
        <v>0</v>
      </c>
      <c r="AU47" s="11">
        <f t="shared" si="30"/>
        <v>0</v>
      </c>
      <c r="AV47" s="11">
        <f t="shared" si="30"/>
        <v>0</v>
      </c>
      <c r="AW47" s="11">
        <f t="shared" si="30"/>
        <v>0</v>
      </c>
      <c r="AX47" s="11">
        <f t="shared" si="30"/>
        <v>0</v>
      </c>
      <c r="AY47" s="11">
        <f t="shared" si="30"/>
        <v>0</v>
      </c>
      <c r="AZ47" s="11">
        <f t="shared" si="30"/>
        <v>0</v>
      </c>
      <c r="BA47" s="137">
        <f t="shared" si="30"/>
        <v>0</v>
      </c>
    </row>
    <row r="48" spans="1:53" ht="15.75" customHeight="1" x14ac:dyDescent="0.35">
      <c r="A48" s="5"/>
      <c r="B48" s="5"/>
      <c r="C48" s="5"/>
      <c r="E48" s="5"/>
      <c r="F48" s="5"/>
      <c r="G48" s="5"/>
      <c r="H48" s="5"/>
      <c r="I48" s="5"/>
      <c r="J48" s="5"/>
      <c r="K48" s="5"/>
    </row>
    <row r="49" spans="1:11" ht="15.75" customHeight="1" x14ac:dyDescent="0.35">
      <c r="A49" s="5"/>
      <c r="B49" s="5"/>
      <c r="C49" s="5"/>
      <c r="E49" s="5"/>
      <c r="F49" s="5"/>
      <c r="G49" s="5"/>
      <c r="H49" s="5"/>
      <c r="I49" s="5"/>
      <c r="J49" s="5"/>
      <c r="K49" s="5"/>
    </row>
    <row r="50" spans="1:11" ht="15.75" hidden="1" customHeight="1" x14ac:dyDescent="0.35">
      <c r="A50" s="5"/>
      <c r="B50" s="5"/>
      <c r="C50" s="5"/>
      <c r="E50" s="5"/>
      <c r="F50" s="5"/>
      <c r="G50" s="5"/>
      <c r="H50" s="5"/>
      <c r="I50" s="5"/>
      <c r="J50" s="5"/>
      <c r="K50" s="5"/>
    </row>
    <row r="51" spans="1:11" ht="15.75" hidden="1" customHeight="1" x14ac:dyDescent="0.35">
      <c r="A51" s="5"/>
      <c r="B51" s="5"/>
      <c r="C51" s="5"/>
      <c r="E51" s="5"/>
      <c r="F51" s="5"/>
      <c r="G51" s="5"/>
      <c r="H51" s="5"/>
      <c r="I51" s="5"/>
      <c r="J51" s="5"/>
      <c r="K51" s="5"/>
    </row>
    <row r="52" spans="1:11" ht="15.75" hidden="1" customHeight="1" x14ac:dyDescent="0.35">
      <c r="A52" s="5"/>
      <c r="B52" s="5"/>
      <c r="C52" s="5"/>
      <c r="E52" s="5"/>
      <c r="F52" s="5"/>
      <c r="G52" s="5"/>
      <c r="H52" s="5"/>
      <c r="I52" s="5"/>
      <c r="J52" s="5"/>
      <c r="K52" s="5"/>
    </row>
    <row r="53" spans="1:11" ht="15.75" hidden="1" customHeight="1" x14ac:dyDescent="0.35">
      <c r="A53" s="5"/>
      <c r="B53" s="5"/>
      <c r="C53" s="5"/>
      <c r="E53" s="5"/>
      <c r="F53" s="5"/>
      <c r="G53" s="5"/>
      <c r="H53" s="5"/>
      <c r="I53" s="5"/>
      <c r="J53" s="5"/>
      <c r="K53" s="5"/>
    </row>
    <row r="54" spans="1:11" ht="15.75" hidden="1" customHeight="1" x14ac:dyDescent="0.35">
      <c r="A54" s="5"/>
      <c r="B54" s="5"/>
      <c r="C54" s="5"/>
      <c r="E54" s="5"/>
      <c r="F54" s="5"/>
      <c r="G54" s="5"/>
      <c r="H54" s="5"/>
      <c r="I54" s="5"/>
      <c r="J54" s="5"/>
      <c r="K54" s="5"/>
    </row>
    <row r="55" spans="1:11" ht="15.75" hidden="1" customHeight="1" x14ac:dyDescent="0.35">
      <c r="A55" s="5"/>
      <c r="B55" s="5"/>
      <c r="C55" s="5"/>
      <c r="E55" s="5"/>
      <c r="F55" s="5"/>
      <c r="G55" s="5"/>
      <c r="H55" s="5"/>
      <c r="I55" s="5"/>
      <c r="J55" s="5"/>
      <c r="K55" s="5"/>
    </row>
    <row r="56" spans="1:11" ht="15.75" hidden="1" customHeight="1" x14ac:dyDescent="0.35">
      <c r="A56" s="5"/>
      <c r="B56" s="5"/>
      <c r="C56" s="5"/>
      <c r="E56" s="5"/>
      <c r="F56" s="5"/>
      <c r="G56" s="5"/>
      <c r="H56" s="5"/>
      <c r="I56" s="5"/>
      <c r="J56" s="5"/>
      <c r="K56" s="5"/>
    </row>
    <row r="57" spans="1:11" ht="15.75" hidden="1" customHeight="1" x14ac:dyDescent="0.35">
      <c r="A57" s="5"/>
      <c r="B57" s="5"/>
      <c r="C57" s="5"/>
      <c r="E57" s="5"/>
      <c r="F57" s="5"/>
      <c r="G57" s="5"/>
      <c r="H57" s="5"/>
      <c r="I57" s="5"/>
      <c r="J57" s="5"/>
      <c r="K57" s="5"/>
    </row>
    <row r="58" spans="1:11" ht="15.75" hidden="1" customHeight="1" x14ac:dyDescent="0.35">
      <c r="A58" s="5"/>
      <c r="B58" s="5"/>
      <c r="C58" s="5"/>
      <c r="E58" s="5"/>
      <c r="F58" s="5"/>
      <c r="G58" s="5"/>
      <c r="H58" s="5"/>
      <c r="I58" s="5"/>
      <c r="J58" s="5"/>
      <c r="K58" s="5"/>
    </row>
    <row r="59" spans="1:11" ht="15.75" hidden="1" customHeight="1" x14ac:dyDescent="0.35">
      <c r="A59" s="5"/>
      <c r="B59" s="5"/>
      <c r="C59" s="5"/>
      <c r="E59" s="5"/>
      <c r="F59" s="5"/>
      <c r="G59" s="5"/>
      <c r="H59" s="5"/>
      <c r="I59" s="5"/>
      <c r="J59" s="5"/>
      <c r="K59" s="5"/>
    </row>
    <row r="60" spans="1:11" ht="15.75" hidden="1" customHeight="1" x14ac:dyDescent="0.35">
      <c r="A60" s="5"/>
      <c r="B60" s="5"/>
      <c r="C60" s="5"/>
      <c r="E60" s="5"/>
      <c r="F60" s="5"/>
      <c r="G60" s="5"/>
      <c r="H60" s="5"/>
      <c r="I60" s="5"/>
      <c r="J60" s="5"/>
      <c r="K60" s="5"/>
    </row>
    <row r="61" spans="1:11" ht="15.75" hidden="1" customHeight="1" x14ac:dyDescent="0.35">
      <c r="A61" s="5"/>
      <c r="B61" s="5"/>
      <c r="C61" s="5"/>
      <c r="E61" s="5"/>
      <c r="F61" s="5"/>
      <c r="G61" s="5"/>
      <c r="H61" s="5"/>
      <c r="I61" s="5"/>
      <c r="J61" s="5"/>
      <c r="K61" s="5"/>
    </row>
    <row r="62" spans="1:11" ht="15.75" hidden="1" customHeight="1" x14ac:dyDescent="0.35">
      <c r="A62" s="5"/>
      <c r="B62" s="5"/>
      <c r="C62" s="5"/>
      <c r="E62" s="5"/>
      <c r="F62" s="5"/>
      <c r="G62" s="5"/>
      <c r="H62" s="5"/>
      <c r="I62" s="5"/>
      <c r="J62" s="5"/>
      <c r="K62" s="5"/>
    </row>
    <row r="63" spans="1:11" ht="15.75" hidden="1" customHeight="1" x14ac:dyDescent="0.35">
      <c r="A63" s="5"/>
      <c r="B63" s="5"/>
      <c r="C63" s="5"/>
      <c r="E63" s="5"/>
      <c r="F63" s="5"/>
      <c r="G63" s="5"/>
      <c r="H63" s="5"/>
      <c r="I63" s="5"/>
      <c r="J63" s="5"/>
      <c r="K63" s="5"/>
    </row>
    <row r="64" spans="1:11" ht="15.75" hidden="1" customHeight="1" x14ac:dyDescent="0.35">
      <c r="A64" s="5"/>
      <c r="B64" s="5"/>
      <c r="C64" s="5"/>
      <c r="E64" s="5"/>
      <c r="F64" s="5"/>
      <c r="G64" s="5"/>
      <c r="H64" s="5"/>
      <c r="I64" s="5"/>
      <c r="J64" s="5"/>
      <c r="K64" s="5"/>
    </row>
    <row r="65" spans="1:11" ht="15.75" hidden="1" customHeight="1" x14ac:dyDescent="0.35">
      <c r="A65" s="5"/>
      <c r="B65" s="5"/>
      <c r="C65" s="5"/>
      <c r="E65" s="5"/>
      <c r="F65" s="5"/>
      <c r="G65" s="5"/>
      <c r="H65" s="5"/>
      <c r="I65" s="5"/>
      <c r="J65" s="5"/>
      <c r="K65" s="5"/>
    </row>
    <row r="66" spans="1:11" ht="15.75" hidden="1" customHeight="1" x14ac:dyDescent="0.35">
      <c r="A66" s="5"/>
      <c r="B66" s="5"/>
      <c r="C66" s="5"/>
      <c r="E66" s="5"/>
      <c r="F66" s="5"/>
      <c r="G66" s="5"/>
      <c r="H66" s="5"/>
      <c r="I66" s="5"/>
      <c r="J66" s="5"/>
      <c r="K66" s="5"/>
    </row>
    <row r="67" spans="1:11" ht="15.75" hidden="1" customHeight="1" x14ac:dyDescent="0.35">
      <c r="A67" s="5"/>
      <c r="B67" s="5"/>
      <c r="C67" s="5"/>
      <c r="E67" s="5"/>
      <c r="F67" s="5"/>
      <c r="G67" s="5"/>
      <c r="H67" s="5"/>
      <c r="I67" s="5"/>
      <c r="J67" s="5"/>
      <c r="K67" s="5"/>
    </row>
    <row r="68" spans="1:11" ht="15.75" hidden="1" customHeight="1" x14ac:dyDescent="0.35">
      <c r="A68" s="5"/>
      <c r="B68" s="5"/>
      <c r="C68" s="5"/>
      <c r="E68" s="5"/>
      <c r="F68" s="5"/>
      <c r="G68" s="5"/>
      <c r="H68" s="5"/>
      <c r="I68" s="5"/>
      <c r="J68" s="5"/>
      <c r="K68" s="5"/>
    </row>
    <row r="69" spans="1:11" ht="15.75" hidden="1" customHeight="1" x14ac:dyDescent="0.35">
      <c r="A69" s="5"/>
      <c r="B69" s="5"/>
      <c r="C69" s="5"/>
      <c r="E69" s="5"/>
      <c r="F69" s="5"/>
      <c r="G69" s="5"/>
      <c r="H69" s="5"/>
      <c r="I69" s="5"/>
      <c r="J69" s="5"/>
      <c r="K69" s="5"/>
    </row>
    <row r="70" spans="1:11" ht="15.75" hidden="1" customHeight="1" x14ac:dyDescent="0.35">
      <c r="A70" s="5"/>
      <c r="B70" s="5"/>
      <c r="C70" s="5"/>
      <c r="E70" s="5"/>
      <c r="F70" s="5"/>
      <c r="G70" s="5"/>
      <c r="H70" s="5"/>
      <c r="I70" s="5"/>
      <c r="J70" s="5"/>
      <c r="K70" s="5"/>
    </row>
    <row r="71" spans="1:11" ht="15.75" hidden="1" customHeight="1" x14ac:dyDescent="0.35">
      <c r="A71" s="5"/>
      <c r="B71" s="5"/>
      <c r="C71" s="5"/>
      <c r="E71" s="5"/>
      <c r="F71" s="5"/>
      <c r="G71" s="5"/>
      <c r="H71" s="5"/>
      <c r="I71" s="5"/>
      <c r="J71" s="5"/>
      <c r="K71" s="5"/>
    </row>
    <row r="72" spans="1:11" ht="15.75" hidden="1" customHeight="1" x14ac:dyDescent="0.35">
      <c r="A72" s="5"/>
      <c r="B72" s="5"/>
      <c r="C72" s="5"/>
      <c r="E72" s="5"/>
      <c r="F72" s="5"/>
      <c r="G72" s="5"/>
      <c r="H72" s="5"/>
      <c r="I72" s="5"/>
      <c r="J72" s="5"/>
      <c r="K72" s="5"/>
    </row>
    <row r="73" spans="1:11" ht="15.75" hidden="1" customHeight="1" x14ac:dyDescent="0.35">
      <c r="A73" s="5"/>
      <c r="B73" s="5"/>
      <c r="C73" s="5"/>
      <c r="E73" s="5"/>
      <c r="F73" s="5"/>
      <c r="G73" s="5"/>
      <c r="H73" s="5"/>
      <c r="I73" s="5"/>
      <c r="J73" s="5"/>
      <c r="K73" s="5"/>
    </row>
    <row r="74" spans="1:11" ht="15.75" hidden="1" customHeight="1" x14ac:dyDescent="0.35">
      <c r="A74" s="5"/>
      <c r="B74" s="5"/>
      <c r="C74" s="5"/>
      <c r="E74" s="5"/>
      <c r="F74" s="5"/>
      <c r="G74" s="5"/>
      <c r="H74" s="5"/>
      <c r="I74" s="5"/>
      <c r="J74" s="5"/>
      <c r="K74" s="5"/>
    </row>
    <row r="75" spans="1:11" ht="15.75" hidden="1" customHeight="1" x14ac:dyDescent="0.35">
      <c r="A75" s="5"/>
      <c r="B75" s="5"/>
      <c r="C75" s="5"/>
      <c r="E75" s="5"/>
      <c r="F75" s="5"/>
      <c r="G75" s="5"/>
      <c r="H75" s="5"/>
      <c r="I75" s="5"/>
      <c r="J75" s="5"/>
      <c r="K75" s="5"/>
    </row>
    <row r="76" spans="1:11" ht="15.75" hidden="1" customHeight="1" x14ac:dyDescent="0.35">
      <c r="A76" s="5"/>
      <c r="B76" s="5"/>
      <c r="C76" s="5"/>
      <c r="E76" s="5"/>
      <c r="F76" s="5"/>
      <c r="G76" s="5"/>
      <c r="H76" s="5"/>
      <c r="I76" s="5"/>
      <c r="J76" s="5"/>
      <c r="K76" s="5"/>
    </row>
    <row r="77" spans="1:11" ht="15.75" hidden="1" customHeight="1" x14ac:dyDescent="0.35">
      <c r="A77" s="5"/>
      <c r="B77" s="5"/>
      <c r="C77" s="5"/>
      <c r="E77" s="5"/>
      <c r="F77" s="5"/>
      <c r="G77" s="5"/>
      <c r="H77" s="5"/>
      <c r="I77" s="5"/>
      <c r="J77" s="5"/>
      <c r="K77" s="5"/>
    </row>
    <row r="78" spans="1:11" ht="15.75" hidden="1" customHeight="1" x14ac:dyDescent="0.35">
      <c r="A78" s="5"/>
      <c r="B78" s="5"/>
      <c r="C78" s="5"/>
      <c r="E78" s="5"/>
      <c r="F78" s="5"/>
      <c r="G78" s="5"/>
      <c r="H78" s="5"/>
      <c r="I78" s="5"/>
      <c r="J78" s="5"/>
      <c r="K78" s="5"/>
    </row>
    <row r="79" spans="1:11" ht="15.75" hidden="1" customHeight="1" x14ac:dyDescent="0.35">
      <c r="A79" s="5"/>
      <c r="B79" s="5"/>
      <c r="C79" s="5"/>
      <c r="E79" s="5"/>
      <c r="F79" s="5"/>
      <c r="G79" s="5"/>
      <c r="H79" s="5"/>
      <c r="I79" s="5"/>
      <c r="J79" s="5"/>
      <c r="K79" s="5"/>
    </row>
    <row r="80" spans="1:11" ht="15.75" hidden="1" customHeight="1" x14ac:dyDescent="0.35">
      <c r="A80" s="5"/>
      <c r="B80" s="5"/>
      <c r="C80" s="5"/>
      <c r="E80" s="5"/>
      <c r="F80" s="5"/>
      <c r="G80" s="5"/>
      <c r="H80" s="5"/>
      <c r="I80" s="5"/>
      <c r="J80" s="5"/>
      <c r="K80" s="5"/>
    </row>
    <row r="81" spans="1:11" ht="15.75" hidden="1" customHeight="1" x14ac:dyDescent="0.35">
      <c r="A81" s="5"/>
      <c r="B81" s="5"/>
      <c r="C81" s="5"/>
      <c r="E81" s="5"/>
      <c r="F81" s="5"/>
      <c r="G81" s="5"/>
      <c r="H81" s="5"/>
      <c r="I81" s="5"/>
      <c r="J81" s="5"/>
      <c r="K81" s="5"/>
    </row>
    <row r="82" spans="1:11" ht="15.75" hidden="1" customHeight="1" x14ac:dyDescent="0.35">
      <c r="A82" s="5"/>
      <c r="B82" s="5"/>
      <c r="C82" s="5"/>
      <c r="E82" s="5"/>
      <c r="F82" s="5"/>
      <c r="G82" s="5"/>
      <c r="H82" s="5"/>
      <c r="I82" s="5"/>
      <c r="J82" s="5"/>
      <c r="K82" s="5"/>
    </row>
    <row r="83" spans="1:11" ht="15.75" hidden="1" customHeight="1" x14ac:dyDescent="0.35">
      <c r="A83" s="5"/>
      <c r="B83" s="5"/>
      <c r="C83" s="5"/>
      <c r="E83" s="5"/>
      <c r="F83" s="5"/>
      <c r="G83" s="5"/>
      <c r="H83" s="5"/>
      <c r="I83" s="5"/>
      <c r="J83" s="5"/>
      <c r="K83" s="5"/>
    </row>
    <row r="84" spans="1:11" ht="15.75" hidden="1" customHeight="1" x14ac:dyDescent="0.35">
      <c r="A84" s="5"/>
      <c r="B84" s="5"/>
      <c r="C84" s="5"/>
      <c r="E84" s="5"/>
      <c r="F84" s="5"/>
      <c r="G84" s="5"/>
      <c r="H84" s="5"/>
      <c r="I84" s="5"/>
      <c r="J84" s="5"/>
      <c r="K84" s="5"/>
    </row>
    <row r="85" spans="1:11" ht="15.75" hidden="1" customHeight="1" x14ac:dyDescent="0.35">
      <c r="A85" s="5"/>
      <c r="B85" s="5"/>
      <c r="C85" s="5"/>
      <c r="E85" s="5"/>
      <c r="F85" s="5"/>
      <c r="G85" s="5"/>
      <c r="H85" s="5"/>
      <c r="I85" s="5"/>
      <c r="J85" s="5"/>
      <c r="K85" s="5"/>
    </row>
    <row r="86" spans="1:11" ht="15.75" hidden="1" customHeight="1" x14ac:dyDescent="0.35">
      <c r="A86" s="5"/>
      <c r="B86" s="5"/>
      <c r="C86" s="5"/>
      <c r="E86" s="5"/>
      <c r="F86" s="5"/>
      <c r="G86" s="5"/>
      <c r="H86" s="5"/>
      <c r="I86" s="5"/>
      <c r="J86" s="5"/>
      <c r="K86" s="5"/>
    </row>
    <row r="87" spans="1:11" ht="15.75" hidden="1" customHeight="1" x14ac:dyDescent="0.35">
      <c r="A87" s="5"/>
      <c r="B87" s="5"/>
      <c r="C87" s="5"/>
      <c r="E87" s="5"/>
      <c r="F87" s="5"/>
      <c r="G87" s="5"/>
      <c r="H87" s="5"/>
      <c r="I87" s="5"/>
      <c r="J87" s="5"/>
      <c r="K87" s="5"/>
    </row>
    <row r="88" spans="1:11" ht="15.75" hidden="1" customHeight="1" x14ac:dyDescent="0.35">
      <c r="A88" s="5"/>
      <c r="B88" s="5"/>
      <c r="C88" s="5"/>
      <c r="E88" s="5"/>
      <c r="F88" s="5"/>
      <c r="G88" s="5"/>
      <c r="H88" s="5"/>
      <c r="I88" s="5"/>
      <c r="J88" s="5"/>
      <c r="K88" s="5"/>
    </row>
    <row r="89" spans="1:11" ht="15.75" hidden="1" customHeight="1" x14ac:dyDescent="0.35">
      <c r="A89" s="5"/>
      <c r="B89" s="5"/>
      <c r="C89" s="5"/>
      <c r="E89" s="5"/>
      <c r="F89" s="5"/>
      <c r="G89" s="5"/>
      <c r="H89" s="5"/>
      <c r="I89" s="5"/>
      <c r="J89" s="5"/>
      <c r="K89" s="5"/>
    </row>
    <row r="90" spans="1:11" ht="15.75" hidden="1" customHeight="1" x14ac:dyDescent="0.35">
      <c r="A90" s="5"/>
      <c r="B90" s="5"/>
      <c r="C90" s="5"/>
      <c r="E90" s="5"/>
      <c r="F90" s="5"/>
      <c r="G90" s="5"/>
      <c r="H90" s="5"/>
      <c r="I90" s="5"/>
      <c r="J90" s="5"/>
      <c r="K90" s="5"/>
    </row>
    <row r="91" spans="1:11" ht="15.75" hidden="1" customHeight="1" x14ac:dyDescent="0.35">
      <c r="A91" s="5"/>
      <c r="B91" s="5"/>
      <c r="C91" s="5"/>
      <c r="E91" s="5"/>
      <c r="F91" s="5"/>
      <c r="G91" s="5"/>
      <c r="H91" s="5"/>
      <c r="I91" s="5"/>
      <c r="J91" s="5"/>
      <c r="K91" s="5"/>
    </row>
    <row r="92" spans="1:11" ht="15.75" hidden="1" customHeight="1" x14ac:dyDescent="0.35">
      <c r="A92" s="5"/>
      <c r="B92" s="5"/>
      <c r="C92" s="5"/>
      <c r="E92" s="5"/>
      <c r="F92" s="5"/>
      <c r="G92" s="5"/>
      <c r="H92" s="5"/>
      <c r="I92" s="5"/>
      <c r="J92" s="5"/>
      <c r="K92" s="5"/>
    </row>
    <row r="93" spans="1:11" ht="15.75" hidden="1" customHeight="1" x14ac:dyDescent="0.35">
      <c r="A93" s="5"/>
      <c r="B93" s="5"/>
      <c r="C93" s="5"/>
      <c r="E93" s="5"/>
      <c r="F93" s="5"/>
      <c r="G93" s="5"/>
      <c r="H93" s="5"/>
      <c r="I93" s="5"/>
      <c r="J93" s="5"/>
      <c r="K93" s="5"/>
    </row>
    <row r="94" spans="1:11" ht="15.75" hidden="1" customHeight="1" x14ac:dyDescent="0.35">
      <c r="A94" s="5"/>
      <c r="B94" s="5"/>
      <c r="C94" s="5"/>
      <c r="E94" s="5"/>
      <c r="F94" s="5"/>
      <c r="G94" s="5"/>
      <c r="H94" s="5"/>
      <c r="I94" s="5"/>
      <c r="J94" s="5"/>
      <c r="K94" s="5"/>
    </row>
    <row r="95" spans="1:11" ht="15.75" hidden="1" customHeight="1" x14ac:dyDescent="0.35">
      <c r="A95" s="5"/>
      <c r="B95" s="5"/>
      <c r="C95" s="5"/>
      <c r="E95" s="5"/>
      <c r="F95" s="5"/>
      <c r="G95" s="5"/>
      <c r="H95" s="5"/>
      <c r="I95" s="5"/>
      <c r="J95" s="5"/>
      <c r="K95" s="5"/>
    </row>
    <row r="96" spans="1:11" ht="15.75" hidden="1" customHeight="1" x14ac:dyDescent="0.35">
      <c r="A96" s="5"/>
      <c r="B96" s="5"/>
      <c r="C96" s="5"/>
      <c r="E96" s="5"/>
      <c r="F96" s="5"/>
      <c r="G96" s="5"/>
      <c r="H96" s="5"/>
      <c r="I96" s="5"/>
      <c r="J96" s="5"/>
      <c r="K96" s="5"/>
    </row>
    <row r="97" spans="1:11" ht="15.75" hidden="1" customHeight="1" x14ac:dyDescent="0.35">
      <c r="A97" s="5"/>
      <c r="B97" s="5"/>
      <c r="C97" s="5"/>
      <c r="E97" s="5"/>
      <c r="F97" s="5"/>
      <c r="G97" s="5"/>
      <c r="H97" s="5"/>
      <c r="I97" s="5"/>
      <c r="J97" s="5"/>
      <c r="K97" s="5"/>
    </row>
    <row r="98" spans="1:11" ht="15.75" hidden="1" customHeight="1" x14ac:dyDescent="0.35">
      <c r="A98" s="5"/>
      <c r="B98" s="5"/>
      <c r="C98" s="5"/>
      <c r="E98" s="5"/>
      <c r="F98" s="5"/>
      <c r="G98" s="5"/>
      <c r="H98" s="5"/>
      <c r="I98" s="5"/>
      <c r="J98" s="5"/>
      <c r="K98" s="5"/>
    </row>
    <row r="99" spans="1:11" ht="15.75" hidden="1" customHeight="1" x14ac:dyDescent="0.35">
      <c r="A99" s="5"/>
      <c r="B99" s="5"/>
      <c r="C99" s="5"/>
      <c r="E99" s="5"/>
      <c r="F99" s="5"/>
      <c r="G99" s="5"/>
      <c r="H99" s="5"/>
      <c r="I99" s="5"/>
      <c r="J99" s="5"/>
      <c r="K99" s="5"/>
    </row>
    <row r="100" spans="1:11" ht="15.75" hidden="1" customHeight="1" x14ac:dyDescent="0.35">
      <c r="A100" s="5"/>
      <c r="B100" s="5"/>
      <c r="C100" s="5"/>
      <c r="E100" s="5"/>
      <c r="F100" s="5"/>
      <c r="G100" s="5"/>
      <c r="H100" s="5"/>
      <c r="I100" s="5"/>
      <c r="J100" s="5"/>
      <c r="K100" s="5"/>
    </row>
    <row r="101" spans="1:11" ht="15.75" hidden="1" customHeight="1" x14ac:dyDescent="0.35">
      <c r="A101" s="5"/>
      <c r="B101" s="5"/>
      <c r="C101" s="5"/>
      <c r="E101" s="5"/>
      <c r="F101" s="5"/>
      <c r="G101" s="5"/>
      <c r="H101" s="5"/>
      <c r="I101" s="5"/>
      <c r="J101" s="5"/>
      <c r="K101" s="5"/>
    </row>
    <row r="102" spans="1:11" ht="15.75" hidden="1" customHeight="1" x14ac:dyDescent="0.35">
      <c r="A102" s="5"/>
      <c r="B102" s="5"/>
      <c r="C102" s="5"/>
      <c r="E102" s="5"/>
      <c r="F102" s="5"/>
      <c r="G102" s="5"/>
      <c r="H102" s="5"/>
      <c r="I102" s="5"/>
      <c r="J102" s="5"/>
      <c r="K102" s="5"/>
    </row>
    <row r="103" spans="1:11" ht="15.75" hidden="1" customHeight="1" x14ac:dyDescent="0.35">
      <c r="A103" s="5"/>
      <c r="B103" s="5"/>
      <c r="C103" s="5"/>
      <c r="E103" s="5"/>
      <c r="F103" s="5"/>
      <c r="G103" s="5"/>
      <c r="H103" s="5"/>
      <c r="I103" s="5"/>
      <c r="J103" s="5"/>
      <c r="K103" s="5"/>
    </row>
    <row r="104" spans="1:11" ht="15.75" hidden="1" customHeight="1" x14ac:dyDescent="0.35">
      <c r="A104" s="5"/>
      <c r="B104" s="5"/>
      <c r="C104" s="5"/>
      <c r="E104" s="5"/>
      <c r="F104" s="5"/>
      <c r="G104" s="5"/>
      <c r="H104" s="5"/>
      <c r="I104" s="5"/>
      <c r="J104" s="5"/>
      <c r="K104" s="5"/>
    </row>
    <row r="105" spans="1:11" ht="15.75" hidden="1" customHeight="1" x14ac:dyDescent="0.35">
      <c r="A105" s="5"/>
      <c r="B105" s="5"/>
      <c r="C105" s="5"/>
      <c r="E105" s="5"/>
      <c r="F105" s="5"/>
      <c r="G105" s="5"/>
      <c r="H105" s="5"/>
      <c r="I105" s="5"/>
      <c r="J105" s="5"/>
      <c r="K105" s="5"/>
    </row>
    <row r="106" spans="1:11" ht="15.75" hidden="1" customHeight="1" x14ac:dyDescent="0.35">
      <c r="A106" s="5"/>
      <c r="B106" s="5"/>
      <c r="C106" s="5"/>
      <c r="E106" s="5"/>
      <c r="F106" s="5"/>
      <c r="G106" s="5"/>
      <c r="H106" s="5"/>
      <c r="I106" s="5"/>
      <c r="J106" s="5"/>
      <c r="K106" s="5"/>
    </row>
    <row r="107" spans="1:11" ht="15.75" hidden="1" customHeight="1" x14ac:dyDescent="0.35">
      <c r="A107" s="5"/>
      <c r="B107" s="5"/>
      <c r="C107" s="5"/>
      <c r="E107" s="5"/>
      <c r="F107" s="5"/>
      <c r="G107" s="5"/>
      <c r="H107" s="5"/>
      <c r="I107" s="5"/>
      <c r="J107" s="5"/>
      <c r="K107" s="5"/>
    </row>
    <row r="108" spans="1:11" ht="15.75" hidden="1" customHeight="1" x14ac:dyDescent="0.35">
      <c r="A108" s="5"/>
      <c r="B108" s="5"/>
      <c r="C108" s="5"/>
      <c r="E108" s="5"/>
      <c r="F108" s="5"/>
      <c r="G108" s="5"/>
      <c r="H108" s="5"/>
      <c r="I108" s="5"/>
      <c r="J108" s="5"/>
      <c r="K108" s="5"/>
    </row>
    <row r="109" spans="1:11" ht="15.75" hidden="1" customHeight="1" x14ac:dyDescent="0.35">
      <c r="A109" s="5"/>
      <c r="B109" s="5"/>
      <c r="C109" s="5"/>
      <c r="E109" s="5"/>
      <c r="F109" s="5"/>
      <c r="G109" s="5"/>
      <c r="H109" s="5"/>
      <c r="I109" s="5"/>
      <c r="J109" s="5"/>
      <c r="K109" s="5"/>
    </row>
    <row r="110" spans="1:11" ht="15.75" hidden="1" customHeight="1" x14ac:dyDescent="0.35">
      <c r="A110" s="5"/>
      <c r="B110" s="5"/>
      <c r="C110" s="5"/>
      <c r="E110" s="5"/>
      <c r="F110" s="5"/>
      <c r="G110" s="5"/>
      <c r="H110" s="5"/>
      <c r="I110" s="5"/>
      <c r="J110" s="5"/>
      <c r="K110" s="5"/>
    </row>
    <row r="111" spans="1:11" ht="15.75" hidden="1" customHeight="1" x14ac:dyDescent="0.35">
      <c r="A111" s="5"/>
      <c r="B111" s="5"/>
      <c r="C111" s="5"/>
      <c r="E111" s="5"/>
      <c r="F111" s="5"/>
      <c r="G111" s="5"/>
      <c r="H111" s="5"/>
      <c r="I111" s="5"/>
      <c r="J111" s="5"/>
      <c r="K111" s="5"/>
    </row>
    <row r="112" spans="1:11" ht="15.75" hidden="1" customHeight="1" x14ac:dyDescent="0.35">
      <c r="A112" s="5"/>
      <c r="B112" s="5"/>
      <c r="C112" s="5"/>
      <c r="E112" s="5"/>
      <c r="F112" s="5"/>
      <c r="G112" s="5"/>
      <c r="H112" s="5"/>
      <c r="I112" s="5"/>
      <c r="J112" s="5"/>
      <c r="K112" s="5"/>
    </row>
    <row r="113" spans="1:24" ht="15.75" hidden="1" customHeight="1" x14ac:dyDescent="0.35">
      <c r="A113" s="5"/>
      <c r="B113" s="5"/>
      <c r="C113" s="5"/>
      <c r="E113" s="5"/>
      <c r="F113" s="5"/>
      <c r="G113" s="5"/>
      <c r="H113" s="5"/>
      <c r="I113" s="5"/>
      <c r="J113" s="5"/>
      <c r="K113" s="5"/>
    </row>
    <row r="114" spans="1:24" ht="15.75" hidden="1" customHeight="1" x14ac:dyDescent="0.35">
      <c r="A114" s="5"/>
      <c r="B114" s="5"/>
      <c r="C114" s="5"/>
      <c r="E114" s="5"/>
      <c r="F114" s="5"/>
      <c r="G114" s="5"/>
      <c r="H114" s="5"/>
      <c r="I114" s="5"/>
      <c r="J114" s="5"/>
      <c r="K114" s="5"/>
    </row>
    <row r="115" spans="1:24" ht="15.75" hidden="1" customHeight="1" x14ac:dyDescent="0.35">
      <c r="A115" s="5"/>
      <c r="B115" s="5"/>
      <c r="C115" s="5"/>
      <c r="E115" s="5"/>
      <c r="F115" s="5"/>
      <c r="G115" s="5"/>
      <c r="H115" s="5"/>
      <c r="I115" s="5"/>
      <c r="J115" s="5"/>
      <c r="K115" s="5"/>
    </row>
    <row r="116" spans="1:24" ht="15.75" hidden="1" customHeight="1" x14ac:dyDescent="0.35">
      <c r="A116" s="5"/>
      <c r="B116" s="5"/>
      <c r="C116" s="5"/>
      <c r="E116" s="5"/>
      <c r="F116" s="5"/>
      <c r="G116" s="5"/>
      <c r="H116" s="5"/>
      <c r="I116" s="5"/>
      <c r="J116" s="5"/>
      <c r="K116" s="5"/>
    </row>
    <row r="117" spans="1:24" ht="15.75" hidden="1" customHeight="1" x14ac:dyDescent="0.35">
      <c r="A117" s="5"/>
      <c r="B117" s="5"/>
      <c r="C117" s="5"/>
      <c r="E117" s="5"/>
      <c r="F117" s="5"/>
      <c r="G117" s="5"/>
      <c r="H117" s="5"/>
      <c r="I117" s="5"/>
      <c r="J117" s="5"/>
      <c r="K117" s="5"/>
    </row>
    <row r="118" spans="1:24" ht="15.75" hidden="1" customHeight="1" x14ac:dyDescent="0.35">
      <c r="A118" s="5"/>
      <c r="B118" s="5"/>
      <c r="C118" s="5"/>
      <c r="E118" s="5"/>
      <c r="F118" s="5"/>
      <c r="G118" s="5"/>
      <c r="H118" s="5"/>
      <c r="I118" s="5"/>
      <c r="J118" s="5"/>
      <c r="K118" s="5"/>
    </row>
    <row r="119" spans="1:24" ht="15.75" hidden="1" customHeight="1" x14ac:dyDescent="0.35">
      <c r="A119" s="5"/>
      <c r="B119" s="5"/>
      <c r="C119" s="5"/>
      <c r="E119" s="5"/>
      <c r="F119" s="5"/>
      <c r="G119" s="5"/>
      <c r="H119" s="5"/>
      <c r="I119" s="5"/>
      <c r="J119" s="5"/>
      <c r="K119" s="5"/>
    </row>
    <row r="120" spans="1:24" ht="15.75" hidden="1" customHeight="1" x14ac:dyDescent="0.35">
      <c r="A120" s="5"/>
      <c r="B120" s="5"/>
      <c r="C120" s="5"/>
      <c r="E120" s="5"/>
      <c r="F120" s="5"/>
      <c r="G120" s="5"/>
      <c r="H120" s="5"/>
      <c r="I120" s="5"/>
      <c r="J120" s="5"/>
      <c r="K120" s="5"/>
    </row>
    <row r="121" spans="1:24" ht="15.75" hidden="1" customHeight="1" x14ac:dyDescent="0.35">
      <c r="A121" s="5"/>
      <c r="B121" s="5"/>
      <c r="C121" s="5"/>
      <c r="E121" s="5"/>
      <c r="F121" s="5"/>
      <c r="G121" s="5"/>
      <c r="H121" s="5"/>
      <c r="I121" s="5"/>
      <c r="J121" s="5"/>
      <c r="K121" s="5"/>
    </row>
    <row r="122" spans="1:24" ht="15.75" hidden="1" customHeight="1" x14ac:dyDescent="0.35">
      <c r="A122" s="5"/>
      <c r="B122" s="5"/>
      <c r="C122" s="5"/>
      <c r="E122" s="5"/>
      <c r="F122" s="5"/>
      <c r="G122" s="5"/>
      <c r="H122" s="5"/>
      <c r="I122" s="5"/>
      <c r="J122" s="5"/>
      <c r="K122" s="5"/>
    </row>
    <row r="123" spans="1:24" ht="15.75" hidden="1" customHeight="1" x14ac:dyDescent="0.35">
      <c r="A123" s="5"/>
      <c r="B123" s="5"/>
      <c r="C123" s="5"/>
      <c r="E123" s="5"/>
      <c r="F123" s="5"/>
      <c r="G123" s="5"/>
      <c r="H123" s="5"/>
      <c r="I123" s="5"/>
      <c r="J123" s="5"/>
      <c r="K123" s="5"/>
    </row>
    <row r="124" spans="1:24" ht="15.75" hidden="1" customHeight="1" x14ac:dyDescent="0.35">
      <c r="A124" s="5"/>
      <c r="B124" s="5"/>
      <c r="C124" s="5"/>
      <c r="E124" s="5"/>
      <c r="F124" s="5"/>
      <c r="G124" s="5"/>
      <c r="H124" s="5"/>
      <c r="I124" s="5"/>
      <c r="J124" s="5"/>
      <c r="K124" s="5"/>
    </row>
    <row r="125" spans="1:24" ht="15.75" hidden="1" customHeight="1" x14ac:dyDescent="0.35">
      <c r="A125" s="5"/>
      <c r="B125" s="5"/>
      <c r="C125" s="5"/>
      <c r="E125" s="5"/>
      <c r="F125" s="5"/>
      <c r="G125" s="5"/>
      <c r="H125" s="5"/>
      <c r="I125" s="5"/>
      <c r="J125" s="5"/>
      <c r="K125" s="5"/>
      <c r="Q125" s="102"/>
      <c r="R125" s="102"/>
      <c r="S125" s="102"/>
      <c r="T125" s="102"/>
      <c r="U125" s="102"/>
      <c r="V125" s="102"/>
      <c r="W125" s="102"/>
      <c r="X125" s="102"/>
    </row>
    <row r="126" spans="1:24" ht="15.75" hidden="1" customHeight="1" x14ac:dyDescent="0.35">
      <c r="A126" s="5"/>
      <c r="B126" s="5"/>
      <c r="C126" s="5"/>
      <c r="E126" s="5"/>
      <c r="F126" s="5"/>
      <c r="G126" s="5"/>
      <c r="H126" s="5"/>
      <c r="I126" s="5"/>
      <c r="J126" s="5"/>
      <c r="K126" s="5"/>
      <c r="Q126" s="102"/>
      <c r="R126" s="102"/>
      <c r="S126" s="102"/>
      <c r="T126" s="102"/>
      <c r="U126" s="102"/>
      <c r="V126" s="102"/>
      <c r="W126" s="102"/>
      <c r="X126" s="102"/>
    </row>
    <row r="127" spans="1:24" ht="15.75" hidden="1" customHeight="1" x14ac:dyDescent="0.35">
      <c r="A127" s="5"/>
      <c r="B127" s="5"/>
      <c r="C127" s="5"/>
      <c r="E127" s="5"/>
      <c r="F127" s="5"/>
      <c r="G127" s="5"/>
      <c r="H127" s="5"/>
      <c r="I127" s="5"/>
      <c r="J127" s="5"/>
      <c r="K127" s="5"/>
      <c r="Q127" s="102"/>
      <c r="R127" s="102"/>
      <c r="S127" s="102"/>
      <c r="T127" s="102"/>
      <c r="U127" s="102"/>
      <c r="V127" s="102"/>
      <c r="W127" s="102"/>
      <c r="X127" s="102"/>
    </row>
    <row r="128" spans="1:24" ht="15.75" hidden="1" customHeight="1" x14ac:dyDescent="0.35">
      <c r="A128" s="5"/>
      <c r="B128" s="5"/>
      <c r="C128" s="5"/>
      <c r="E128" s="5"/>
      <c r="F128" s="5"/>
      <c r="G128" s="5"/>
      <c r="H128" s="5"/>
      <c r="I128" s="5"/>
      <c r="J128" s="5"/>
      <c r="K128" s="5"/>
      <c r="Q128" s="102"/>
      <c r="R128" s="102"/>
      <c r="S128" s="102"/>
      <c r="T128" s="102"/>
      <c r="U128" s="102"/>
      <c r="V128" s="102"/>
      <c r="W128" s="102"/>
      <c r="X128" s="102"/>
    </row>
    <row r="129" spans="1:24" ht="15.75" hidden="1" customHeight="1" x14ac:dyDescent="0.35">
      <c r="A129" s="5"/>
      <c r="B129" s="5"/>
      <c r="C129" s="5"/>
      <c r="E129" s="5"/>
      <c r="F129" s="5"/>
      <c r="G129" s="5"/>
      <c r="H129" s="5"/>
      <c r="I129" s="5"/>
      <c r="J129" s="5"/>
      <c r="K129" s="5"/>
      <c r="Q129" s="102"/>
      <c r="R129" s="102"/>
      <c r="S129" s="102"/>
      <c r="T129" s="102"/>
      <c r="U129" s="102"/>
      <c r="V129" s="102"/>
      <c r="W129" s="102"/>
      <c r="X129" s="102"/>
    </row>
    <row r="130" spans="1:24" ht="15.75" hidden="1" customHeight="1" x14ac:dyDescent="0.35">
      <c r="A130" s="5"/>
      <c r="B130" s="5"/>
      <c r="C130" s="5"/>
      <c r="E130" s="5"/>
      <c r="F130" s="5"/>
      <c r="G130" s="5"/>
      <c r="H130" s="5"/>
      <c r="I130" s="5"/>
      <c r="J130" s="5"/>
      <c r="K130" s="5"/>
      <c r="Q130" s="102"/>
      <c r="R130" s="102"/>
      <c r="S130" s="102"/>
      <c r="T130" s="102"/>
      <c r="U130" s="102"/>
      <c r="V130" s="102"/>
      <c r="W130" s="102"/>
      <c r="X130" s="102"/>
    </row>
    <row r="131" spans="1:24" ht="15.75" hidden="1" customHeight="1" x14ac:dyDescent="0.35">
      <c r="A131" s="5"/>
      <c r="B131" s="5"/>
      <c r="C131" s="5"/>
      <c r="E131" s="5"/>
      <c r="F131" s="5"/>
      <c r="G131" s="5"/>
      <c r="H131" s="5"/>
      <c r="I131" s="5"/>
      <c r="J131" s="5"/>
      <c r="K131" s="5"/>
      <c r="Q131" s="102"/>
      <c r="R131" s="102"/>
      <c r="S131" s="102" t="s">
        <v>205</v>
      </c>
      <c r="T131" s="102" t="s">
        <v>206</v>
      </c>
      <c r="U131" s="102" t="s">
        <v>207</v>
      </c>
      <c r="V131" s="102"/>
      <c r="W131" s="102"/>
      <c r="X131" s="102"/>
    </row>
    <row r="132" spans="1:24" ht="15.75" hidden="1" customHeight="1" x14ac:dyDescent="0.35">
      <c r="A132" s="5"/>
      <c r="B132" s="5"/>
      <c r="C132" s="5"/>
      <c r="E132" s="5"/>
      <c r="F132" s="5"/>
      <c r="G132" s="5"/>
      <c r="H132" s="5"/>
      <c r="I132" s="5"/>
      <c r="J132" s="5"/>
      <c r="K132" s="5"/>
      <c r="Q132" s="102"/>
      <c r="R132" s="102" t="s">
        <v>75</v>
      </c>
      <c r="S132" s="102">
        <f>N164</f>
        <v>0</v>
      </c>
      <c r="T132" s="102">
        <f>N200</f>
        <v>0</v>
      </c>
      <c r="U132" s="102">
        <f>N236</f>
        <v>0</v>
      </c>
      <c r="V132" s="102"/>
      <c r="W132" s="102"/>
      <c r="X132" s="102"/>
    </row>
    <row r="133" spans="1:24" ht="15.75" hidden="1" customHeight="1" x14ac:dyDescent="0.35">
      <c r="A133" s="5"/>
      <c r="B133" s="5"/>
      <c r="C133" s="5"/>
      <c r="E133" s="5"/>
      <c r="F133" s="5"/>
      <c r="G133" s="5"/>
      <c r="H133" s="5"/>
      <c r="I133" s="5"/>
      <c r="J133" s="5"/>
      <c r="K133" s="5"/>
      <c r="Q133" s="102"/>
      <c r="R133" s="102" t="s">
        <v>76</v>
      </c>
      <c r="S133" s="102">
        <f>N176</f>
        <v>0</v>
      </c>
      <c r="T133" s="102">
        <f>N212</f>
        <v>0</v>
      </c>
      <c r="U133" s="102">
        <f>N248</f>
        <v>0</v>
      </c>
      <c r="V133" s="102"/>
      <c r="W133" s="102"/>
      <c r="X133" s="102"/>
    </row>
    <row r="134" spans="1:24" ht="15.75" hidden="1" customHeight="1" x14ac:dyDescent="0.35">
      <c r="A134" s="5"/>
      <c r="B134" s="5"/>
      <c r="C134" s="5"/>
      <c r="E134" s="5"/>
      <c r="F134" s="5"/>
      <c r="G134" s="5"/>
      <c r="H134" s="5"/>
      <c r="I134" s="5"/>
      <c r="J134" s="5"/>
      <c r="K134" s="5"/>
      <c r="Q134" s="102"/>
      <c r="R134" s="102"/>
      <c r="S134" s="102"/>
      <c r="T134" s="102"/>
      <c r="U134" s="102"/>
      <c r="V134" s="102"/>
      <c r="W134" s="102"/>
      <c r="X134" s="102"/>
    </row>
    <row r="135" spans="1:24" ht="15.75" hidden="1" customHeight="1" x14ac:dyDescent="0.35">
      <c r="A135" s="5"/>
      <c r="B135" s="5"/>
      <c r="C135" s="5"/>
      <c r="E135" s="5"/>
      <c r="F135" s="5"/>
      <c r="G135" s="5"/>
      <c r="H135" s="5"/>
      <c r="I135" s="5"/>
      <c r="J135" s="5"/>
      <c r="K135" s="5"/>
      <c r="Q135" s="102"/>
      <c r="R135" s="102"/>
      <c r="S135" s="102"/>
      <c r="T135" s="102"/>
      <c r="U135" s="102"/>
      <c r="V135" s="102"/>
      <c r="W135" s="102"/>
      <c r="X135" s="102"/>
    </row>
    <row r="136" spans="1:24" ht="15.75" hidden="1" customHeight="1" x14ac:dyDescent="0.35">
      <c r="A136" s="5"/>
      <c r="B136" s="5"/>
      <c r="C136" s="5"/>
      <c r="E136" s="5"/>
      <c r="F136" s="5"/>
      <c r="G136" s="5"/>
      <c r="H136" s="5"/>
      <c r="I136" s="5"/>
      <c r="J136" s="5"/>
      <c r="K136" s="5"/>
      <c r="Q136" s="102"/>
      <c r="R136" s="102"/>
      <c r="S136" s="102"/>
      <c r="T136" s="102"/>
      <c r="U136" s="102"/>
      <c r="V136" s="102"/>
      <c r="W136" s="102"/>
      <c r="X136" s="102"/>
    </row>
    <row r="137" spans="1:24" ht="15.75" hidden="1" customHeight="1" x14ac:dyDescent="0.35">
      <c r="A137" s="5"/>
      <c r="B137" s="5"/>
      <c r="C137" s="5"/>
      <c r="E137" s="5"/>
      <c r="F137" s="5"/>
      <c r="G137" s="5"/>
      <c r="H137" s="5"/>
      <c r="I137" s="5"/>
      <c r="J137" s="5"/>
      <c r="K137" s="5"/>
      <c r="Q137" s="102"/>
      <c r="R137" s="102"/>
      <c r="S137" s="102"/>
      <c r="T137" s="102"/>
      <c r="U137" s="102"/>
      <c r="V137" s="102"/>
      <c r="W137" s="102"/>
      <c r="X137" s="102"/>
    </row>
    <row r="138" spans="1:24" ht="15.75" hidden="1" customHeight="1" x14ac:dyDescent="0.35">
      <c r="A138" s="5"/>
      <c r="B138" s="5"/>
      <c r="C138" s="5"/>
      <c r="E138" s="5"/>
      <c r="F138" s="5"/>
      <c r="G138" s="5"/>
      <c r="H138" s="5"/>
      <c r="I138" s="5"/>
      <c r="J138" s="5"/>
      <c r="K138" s="5"/>
      <c r="Q138" s="102"/>
      <c r="R138" s="102"/>
      <c r="S138" s="102"/>
      <c r="T138" s="102"/>
      <c r="U138" s="102"/>
      <c r="V138" s="102"/>
      <c r="W138" s="102"/>
      <c r="X138" s="102"/>
    </row>
    <row r="139" spans="1:24" ht="15.75" hidden="1" customHeight="1" x14ac:dyDescent="0.35">
      <c r="A139" s="5"/>
      <c r="B139" s="5"/>
      <c r="C139" s="5"/>
      <c r="E139" s="5"/>
      <c r="F139" s="5"/>
      <c r="G139" s="5"/>
      <c r="H139" s="5"/>
      <c r="I139" s="5"/>
      <c r="J139" s="5"/>
      <c r="K139" s="5"/>
      <c r="Q139" s="102"/>
      <c r="R139" s="102"/>
      <c r="S139" s="102"/>
      <c r="T139" s="102"/>
      <c r="U139" s="102"/>
      <c r="V139" s="102"/>
      <c r="W139" s="102"/>
      <c r="X139" s="102"/>
    </row>
    <row r="140" spans="1:24" ht="15.75" hidden="1" customHeight="1" x14ac:dyDescent="0.35">
      <c r="A140" s="5"/>
      <c r="B140" s="5"/>
      <c r="C140" s="5"/>
      <c r="E140" s="5"/>
      <c r="F140" s="5"/>
      <c r="G140" s="5"/>
      <c r="H140" s="5"/>
      <c r="I140" s="5"/>
      <c r="J140" s="5"/>
      <c r="K140" s="5"/>
      <c r="Q140" s="102"/>
      <c r="R140" s="102"/>
      <c r="S140" s="102"/>
      <c r="T140" s="102"/>
      <c r="U140" s="102"/>
      <c r="V140" s="102"/>
      <c r="W140" s="102"/>
      <c r="X140" s="102"/>
    </row>
    <row r="141" spans="1:24" ht="15.75" hidden="1" customHeight="1" x14ac:dyDescent="0.35">
      <c r="A141" s="5"/>
      <c r="B141" s="5"/>
      <c r="C141" s="5"/>
      <c r="E141" s="5"/>
      <c r="F141" s="5"/>
      <c r="G141" s="5"/>
      <c r="H141" s="5"/>
      <c r="I141" s="5"/>
      <c r="J141" s="5"/>
      <c r="K141" s="5"/>
      <c r="Q141" s="102"/>
      <c r="R141" s="102"/>
      <c r="S141" s="102"/>
      <c r="T141" s="102"/>
      <c r="U141" s="102"/>
      <c r="V141" s="102"/>
      <c r="W141" s="102"/>
      <c r="X141" s="102"/>
    </row>
    <row r="142" spans="1:24" ht="15.75" hidden="1" customHeight="1" x14ac:dyDescent="0.35">
      <c r="A142" s="5"/>
      <c r="B142" s="5"/>
      <c r="C142" s="5"/>
      <c r="E142" s="5"/>
      <c r="F142" s="5"/>
      <c r="G142" s="5"/>
      <c r="H142" s="5"/>
      <c r="I142" s="5"/>
      <c r="J142" s="5"/>
      <c r="K142" s="5"/>
    </row>
    <row r="143" spans="1:24" ht="15.75" hidden="1" customHeight="1" x14ac:dyDescent="0.35">
      <c r="A143" s="5"/>
      <c r="B143" s="5"/>
      <c r="C143" s="5"/>
      <c r="E143" s="5"/>
      <c r="F143" s="5"/>
      <c r="G143" s="5"/>
      <c r="H143" s="5"/>
      <c r="I143" s="5"/>
      <c r="J143" s="5"/>
      <c r="K143" s="5"/>
    </row>
    <row r="144" spans="1:24" ht="15.75" hidden="1" customHeight="1" x14ac:dyDescent="0.35">
      <c r="A144" s="5"/>
      <c r="B144" s="5"/>
      <c r="C144" s="5"/>
      <c r="E144" s="5"/>
      <c r="F144" s="5"/>
      <c r="G144" s="5"/>
      <c r="H144" s="5"/>
      <c r="I144" s="5"/>
      <c r="J144" s="5"/>
      <c r="K144" s="5"/>
    </row>
    <row r="145" spans="1:53" ht="15.75" hidden="1" customHeight="1" x14ac:dyDescent="0.35">
      <c r="A145" s="5"/>
      <c r="B145" s="5"/>
      <c r="C145" s="5"/>
      <c r="E145" s="5"/>
      <c r="F145" s="5"/>
      <c r="G145" s="5"/>
      <c r="H145" s="5"/>
      <c r="I145" s="5"/>
      <c r="J145" s="5"/>
      <c r="K145" s="5"/>
    </row>
    <row r="146" spans="1:53" ht="15.75" hidden="1" customHeight="1" x14ac:dyDescent="0.35">
      <c r="A146" s="5"/>
      <c r="B146" s="5"/>
      <c r="C146" s="5"/>
      <c r="E146" s="5"/>
      <c r="F146" s="5"/>
      <c r="G146" s="5"/>
      <c r="H146" s="5"/>
      <c r="I146" s="5"/>
      <c r="J146" s="5"/>
      <c r="K146" s="5"/>
    </row>
    <row r="147" spans="1:53" ht="15.75" hidden="1" customHeight="1" x14ac:dyDescent="0.35">
      <c r="A147" s="5"/>
      <c r="B147" s="5"/>
      <c r="C147" s="5"/>
      <c r="E147" s="5"/>
      <c r="F147" s="5"/>
      <c r="G147" s="5"/>
      <c r="H147" s="5"/>
      <c r="I147" s="5"/>
      <c r="J147" s="5"/>
      <c r="K147" s="5"/>
    </row>
    <row r="148" spans="1:53" ht="15.75" hidden="1" customHeight="1" x14ac:dyDescent="0.35">
      <c r="A148" s="5"/>
      <c r="B148" s="5"/>
      <c r="C148" s="5"/>
      <c r="E148" s="5"/>
      <c r="F148" s="5"/>
      <c r="G148" s="5"/>
      <c r="H148" s="5"/>
      <c r="I148" s="5"/>
      <c r="J148" s="5"/>
      <c r="K148" s="5"/>
    </row>
    <row r="149" spans="1:53" ht="15.75" hidden="1" customHeight="1" x14ac:dyDescent="0.35">
      <c r="A149" s="5"/>
      <c r="B149" s="5"/>
      <c r="C149" s="5"/>
      <c r="E149" s="5"/>
      <c r="F149" s="5"/>
      <c r="G149" s="5"/>
      <c r="H149" s="5"/>
      <c r="I149" s="5"/>
      <c r="J149" s="5"/>
      <c r="K149" s="5"/>
    </row>
    <row r="150" spans="1:53" ht="15.75" hidden="1" customHeight="1" x14ac:dyDescent="0.35">
      <c r="A150" s="5"/>
      <c r="B150" s="5"/>
      <c r="C150" s="5"/>
      <c r="E150" s="5"/>
      <c r="F150" s="5"/>
      <c r="G150" s="5"/>
      <c r="H150" s="5"/>
      <c r="I150" s="5"/>
      <c r="J150" s="5"/>
      <c r="K150" s="5"/>
    </row>
    <row r="151" spans="1:53" ht="15.75" hidden="1" customHeight="1" x14ac:dyDescent="0.35">
      <c r="A151" s="5"/>
      <c r="B151" s="5"/>
      <c r="C151" s="5"/>
      <c r="E151" s="5"/>
      <c r="F151" s="5"/>
      <c r="G151" s="5"/>
      <c r="H151" s="5"/>
      <c r="I151" s="5"/>
      <c r="J151" s="5"/>
      <c r="K151" s="5"/>
    </row>
    <row r="152" spans="1:53" ht="15.75" hidden="1" customHeight="1" x14ac:dyDescent="0.35">
      <c r="A152" s="5"/>
      <c r="B152" s="5"/>
      <c r="C152" s="5"/>
      <c r="E152" s="5"/>
      <c r="F152" s="5"/>
      <c r="G152" s="5"/>
      <c r="H152" s="5"/>
      <c r="I152" s="5"/>
      <c r="J152" s="5"/>
      <c r="K152" s="5"/>
    </row>
    <row r="153" spans="1:53" ht="15.75" hidden="1" customHeight="1" x14ac:dyDescent="0.35">
      <c r="A153" s="5"/>
      <c r="B153" s="5"/>
      <c r="C153" s="5"/>
      <c r="E153" s="5"/>
      <c r="F153" s="5"/>
      <c r="G153" s="5"/>
      <c r="H153" s="5"/>
      <c r="I153" s="5"/>
      <c r="J153" s="5"/>
      <c r="K153" s="5"/>
    </row>
    <row r="154" spans="1:53" ht="15.75" hidden="1" customHeight="1" x14ac:dyDescent="0.35">
      <c r="A154" s="5"/>
      <c r="B154" s="5"/>
      <c r="C154" s="5"/>
      <c r="E154" s="5"/>
      <c r="F154" s="5"/>
      <c r="G154" s="5"/>
      <c r="H154" s="5"/>
      <c r="I154" s="5"/>
      <c r="J154" s="5"/>
      <c r="K154" s="5"/>
    </row>
    <row r="155" spans="1:53" ht="15.75" hidden="1" customHeight="1" x14ac:dyDescent="0.35">
      <c r="A155" s="5"/>
      <c r="B155" s="5"/>
      <c r="C155" s="5"/>
      <c r="E155" s="5"/>
      <c r="F155" s="5"/>
      <c r="G155" s="5"/>
      <c r="H155" s="5"/>
      <c r="I155" s="5"/>
      <c r="J155" s="5"/>
      <c r="K155" s="5"/>
    </row>
    <row r="156" spans="1:53" ht="15.75" hidden="1" customHeight="1" x14ac:dyDescent="0.35">
      <c r="A156" s="5"/>
      <c r="B156" s="5"/>
      <c r="C156" s="5"/>
      <c r="E156" s="5"/>
      <c r="F156" s="5"/>
      <c r="G156" s="5"/>
      <c r="H156" s="5"/>
      <c r="I156" s="5"/>
      <c r="J156" s="5"/>
      <c r="K156" s="5"/>
    </row>
    <row r="157" spans="1:53" ht="15.75" hidden="1" customHeight="1" x14ac:dyDescent="0.35">
      <c r="A157" s="5"/>
      <c r="B157" s="5"/>
      <c r="C157" s="5"/>
      <c r="E157" s="5"/>
      <c r="F157" s="5"/>
      <c r="G157" s="5"/>
      <c r="H157" s="5"/>
      <c r="I157" s="5"/>
      <c r="J157" s="5"/>
      <c r="K157" s="5"/>
    </row>
    <row r="158" spans="1:53" ht="15.75" hidden="1" customHeight="1" x14ac:dyDescent="0.35">
      <c r="A158" s="5"/>
      <c r="B158" s="5"/>
      <c r="C158" s="5"/>
      <c r="E158" s="5"/>
      <c r="F158" s="5"/>
      <c r="G158" s="5"/>
      <c r="H158" s="5"/>
      <c r="I158" s="5"/>
      <c r="J158" s="5"/>
      <c r="K158" s="5"/>
    </row>
    <row r="159" spans="1:53" ht="15.75" hidden="1" customHeight="1" x14ac:dyDescent="0.35">
      <c r="A159" s="5"/>
      <c r="B159" s="5"/>
      <c r="C159" s="5"/>
      <c r="E159" s="5"/>
      <c r="F159" s="5"/>
      <c r="G159" s="5"/>
      <c r="H159" s="5"/>
      <c r="I159" s="5"/>
      <c r="J159" s="5"/>
      <c r="K159" s="5"/>
    </row>
    <row r="160" spans="1:53" hidden="1" outlineLevel="1" thickBot="1" x14ac:dyDescent="0.4">
      <c r="A160" s="60" t="s">
        <v>91</v>
      </c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8"/>
      <c r="BA160" s="58"/>
    </row>
    <row r="161" spans="1:53" ht="14.5" hidden="1" outlineLevel="1" x14ac:dyDescent="0.35"/>
    <row r="162" spans="1:53" ht="15.75" hidden="1" customHeight="1" outlineLevel="1" x14ac:dyDescent="0.35">
      <c r="A162" s="59" t="s">
        <v>133</v>
      </c>
      <c r="B162" s="59" t="s">
        <v>136</v>
      </c>
      <c r="C162" s="59"/>
      <c r="D162" s="59"/>
      <c r="E162" s="59"/>
      <c r="F162" s="59"/>
      <c r="G162" s="59"/>
      <c r="H162" s="59"/>
      <c r="I162" s="59"/>
      <c r="J162" s="59"/>
      <c r="K162" s="63"/>
      <c r="L162" s="59"/>
      <c r="M162" s="59"/>
      <c r="N162" s="59">
        <f>SUM(Q162:BA162)</f>
        <v>0</v>
      </c>
      <c r="O162" s="59"/>
      <c r="P162" s="59"/>
      <c r="Q162" s="59">
        <f t="shared" ref="Q162:BA162" si="31">SUM(Q164,Q176)</f>
        <v>0</v>
      </c>
      <c r="R162" s="59">
        <f t="shared" si="31"/>
        <v>0</v>
      </c>
      <c r="S162" s="59">
        <f t="shared" si="31"/>
        <v>0</v>
      </c>
      <c r="T162" s="59">
        <f t="shared" si="31"/>
        <v>0</v>
      </c>
      <c r="U162" s="59">
        <f t="shared" si="31"/>
        <v>0</v>
      </c>
      <c r="V162" s="59">
        <f t="shared" si="31"/>
        <v>0</v>
      </c>
      <c r="W162" s="59">
        <f t="shared" si="31"/>
        <v>0</v>
      </c>
      <c r="X162" s="59">
        <f t="shared" si="31"/>
        <v>0</v>
      </c>
      <c r="Y162" s="59">
        <f t="shared" si="31"/>
        <v>0</v>
      </c>
      <c r="Z162" s="59">
        <f t="shared" si="31"/>
        <v>0</v>
      </c>
      <c r="AA162" s="59">
        <f t="shared" si="31"/>
        <v>0</v>
      </c>
      <c r="AB162" s="59">
        <f t="shared" si="31"/>
        <v>0</v>
      </c>
      <c r="AC162" s="59">
        <f t="shared" si="31"/>
        <v>0</v>
      </c>
      <c r="AD162" s="59">
        <f t="shared" si="31"/>
        <v>0</v>
      </c>
      <c r="AE162" s="59">
        <f t="shared" si="31"/>
        <v>0</v>
      </c>
      <c r="AF162" s="59">
        <f t="shared" si="31"/>
        <v>0</v>
      </c>
      <c r="AG162" s="59">
        <f t="shared" si="31"/>
        <v>0</v>
      </c>
      <c r="AH162" s="59">
        <f t="shared" si="31"/>
        <v>0</v>
      </c>
      <c r="AI162" s="59">
        <f t="shared" si="31"/>
        <v>0</v>
      </c>
      <c r="AJ162" s="59">
        <f t="shared" si="31"/>
        <v>0</v>
      </c>
      <c r="AK162" s="59">
        <f t="shared" si="31"/>
        <v>0</v>
      </c>
      <c r="AL162" s="59">
        <f t="shared" si="31"/>
        <v>0</v>
      </c>
      <c r="AM162" s="59">
        <f t="shared" si="31"/>
        <v>0</v>
      </c>
      <c r="AN162" s="59">
        <f t="shared" si="31"/>
        <v>0</v>
      </c>
      <c r="AO162" s="59">
        <f t="shared" si="31"/>
        <v>0</v>
      </c>
      <c r="AP162" s="59">
        <f t="shared" si="31"/>
        <v>0</v>
      </c>
      <c r="AQ162" s="59">
        <f t="shared" si="31"/>
        <v>0</v>
      </c>
      <c r="AR162" s="59">
        <f t="shared" si="31"/>
        <v>0</v>
      </c>
      <c r="AS162" s="59">
        <f t="shared" si="31"/>
        <v>0</v>
      </c>
      <c r="AT162" s="59">
        <f t="shared" si="31"/>
        <v>0</v>
      </c>
      <c r="AU162" s="59">
        <f t="shared" si="31"/>
        <v>0</v>
      </c>
      <c r="AV162" s="59">
        <f t="shared" si="31"/>
        <v>0</v>
      </c>
      <c r="AW162" s="59">
        <f t="shared" si="31"/>
        <v>0</v>
      </c>
      <c r="AX162" s="59">
        <f t="shared" si="31"/>
        <v>0</v>
      </c>
      <c r="AY162" s="59">
        <f t="shared" si="31"/>
        <v>0</v>
      </c>
      <c r="AZ162" s="59">
        <f t="shared" si="31"/>
        <v>0</v>
      </c>
      <c r="BA162" s="59">
        <f t="shared" si="31"/>
        <v>0</v>
      </c>
    </row>
    <row r="163" spans="1:53" ht="12.75" hidden="1" customHeight="1" outlineLevel="1" x14ac:dyDescent="0.35"/>
    <row r="164" spans="1:53" ht="15.75" hidden="1" customHeight="1" outlineLevel="1" x14ac:dyDescent="0.35">
      <c r="A164" s="15"/>
      <c r="B164" s="16" t="s">
        <v>75</v>
      </c>
      <c r="C164" s="16"/>
      <c r="D164" s="16"/>
      <c r="E164" s="16"/>
      <c r="F164" s="16"/>
      <c r="G164" s="16"/>
      <c r="H164" s="16"/>
      <c r="I164" s="16"/>
      <c r="J164" s="16"/>
      <c r="K164" s="64"/>
      <c r="L164" s="3"/>
      <c r="M164" s="3"/>
      <c r="N164" s="4">
        <f t="shared" ref="N164:N174" si="32">SUM(Q164:BA164)</f>
        <v>0</v>
      </c>
      <c r="O164" s="3"/>
      <c r="P164" s="3"/>
      <c r="Q164" s="4">
        <f t="shared" ref="Q164:BA164" si="33">SUM(Q165,Q172)</f>
        <v>0</v>
      </c>
      <c r="R164" s="4">
        <f t="shared" si="33"/>
        <v>0</v>
      </c>
      <c r="S164" s="4">
        <f t="shared" si="33"/>
        <v>0</v>
      </c>
      <c r="T164" s="4">
        <f t="shared" si="33"/>
        <v>0</v>
      </c>
      <c r="U164" s="4">
        <f t="shared" si="33"/>
        <v>0</v>
      </c>
      <c r="V164" s="4">
        <f t="shared" si="33"/>
        <v>0</v>
      </c>
      <c r="W164" s="4">
        <f t="shared" si="33"/>
        <v>0</v>
      </c>
      <c r="X164" s="4">
        <f t="shared" si="33"/>
        <v>0</v>
      </c>
      <c r="Y164" s="4">
        <f t="shared" si="33"/>
        <v>0</v>
      </c>
      <c r="Z164" s="4">
        <f t="shared" si="33"/>
        <v>0</v>
      </c>
      <c r="AA164" s="4">
        <f t="shared" si="33"/>
        <v>0</v>
      </c>
      <c r="AB164" s="4">
        <f t="shared" si="33"/>
        <v>0</v>
      </c>
      <c r="AC164" s="4">
        <f t="shared" si="33"/>
        <v>0</v>
      </c>
      <c r="AD164" s="4">
        <f t="shared" si="33"/>
        <v>0</v>
      </c>
      <c r="AE164" s="4">
        <f t="shared" si="33"/>
        <v>0</v>
      </c>
      <c r="AF164" s="4">
        <f t="shared" si="33"/>
        <v>0</v>
      </c>
      <c r="AG164" s="4">
        <f t="shared" si="33"/>
        <v>0</v>
      </c>
      <c r="AH164" s="4">
        <f t="shared" si="33"/>
        <v>0</v>
      </c>
      <c r="AI164" s="4">
        <f t="shared" si="33"/>
        <v>0</v>
      </c>
      <c r="AJ164" s="4">
        <f t="shared" si="33"/>
        <v>0</v>
      </c>
      <c r="AK164" s="4">
        <f t="shared" si="33"/>
        <v>0</v>
      </c>
      <c r="AL164" s="4">
        <f t="shared" si="33"/>
        <v>0</v>
      </c>
      <c r="AM164" s="4">
        <f t="shared" si="33"/>
        <v>0</v>
      </c>
      <c r="AN164" s="4">
        <f t="shared" si="33"/>
        <v>0</v>
      </c>
      <c r="AO164" s="4">
        <f t="shared" si="33"/>
        <v>0</v>
      </c>
      <c r="AP164" s="4">
        <f t="shared" si="33"/>
        <v>0</v>
      </c>
      <c r="AQ164" s="4">
        <f t="shared" si="33"/>
        <v>0</v>
      </c>
      <c r="AR164" s="4">
        <f t="shared" si="33"/>
        <v>0</v>
      </c>
      <c r="AS164" s="4">
        <f t="shared" si="33"/>
        <v>0</v>
      </c>
      <c r="AT164" s="4">
        <f t="shared" si="33"/>
        <v>0</v>
      </c>
      <c r="AU164" s="4">
        <f t="shared" si="33"/>
        <v>0</v>
      </c>
      <c r="AV164" s="4">
        <f t="shared" si="33"/>
        <v>0</v>
      </c>
      <c r="AW164" s="4">
        <f t="shared" si="33"/>
        <v>0</v>
      </c>
      <c r="AX164" s="4">
        <f t="shared" si="33"/>
        <v>0</v>
      </c>
      <c r="AY164" s="4">
        <f t="shared" si="33"/>
        <v>0</v>
      </c>
      <c r="AZ164" s="4">
        <f t="shared" si="33"/>
        <v>0</v>
      </c>
      <c r="BA164" s="73">
        <f t="shared" si="33"/>
        <v>0</v>
      </c>
    </row>
    <row r="165" spans="1:53" ht="15.75" hidden="1" customHeight="1" outlineLevel="1" x14ac:dyDescent="0.35">
      <c r="A165" s="5"/>
      <c r="B165" s="5"/>
      <c r="C165" s="5" t="s">
        <v>156</v>
      </c>
      <c r="E165" s="5"/>
      <c r="F165" s="5"/>
      <c r="G165" s="5"/>
      <c r="H165" s="5"/>
      <c r="I165" s="5"/>
      <c r="J165" s="5"/>
      <c r="K165" s="65"/>
      <c r="N165" s="1">
        <f t="shared" si="32"/>
        <v>0</v>
      </c>
      <c r="Q165" s="1">
        <f t="shared" ref="Q165:BA165" si="34">SUM(Q166:Q171)</f>
        <v>0</v>
      </c>
      <c r="R165" s="1">
        <f t="shared" si="34"/>
        <v>0</v>
      </c>
      <c r="S165" s="1">
        <f t="shared" si="34"/>
        <v>0</v>
      </c>
      <c r="T165" s="1">
        <f t="shared" si="34"/>
        <v>0</v>
      </c>
      <c r="U165" s="1">
        <f t="shared" si="34"/>
        <v>0</v>
      </c>
      <c r="V165" s="1">
        <f t="shared" si="34"/>
        <v>0</v>
      </c>
      <c r="W165" s="1">
        <f t="shared" si="34"/>
        <v>0</v>
      </c>
      <c r="X165" s="1">
        <f t="shared" si="34"/>
        <v>0</v>
      </c>
      <c r="Y165" s="1">
        <f t="shared" si="34"/>
        <v>0</v>
      </c>
      <c r="Z165" s="1">
        <f t="shared" si="34"/>
        <v>0</v>
      </c>
      <c r="AA165" s="1">
        <f t="shared" si="34"/>
        <v>0</v>
      </c>
      <c r="AB165" s="1">
        <f t="shared" si="34"/>
        <v>0</v>
      </c>
      <c r="AC165" s="1">
        <f t="shared" si="34"/>
        <v>0</v>
      </c>
      <c r="AD165" s="1">
        <f t="shared" si="34"/>
        <v>0</v>
      </c>
      <c r="AE165" s="1">
        <f t="shared" si="34"/>
        <v>0</v>
      </c>
      <c r="AF165" s="1">
        <f t="shared" si="34"/>
        <v>0</v>
      </c>
      <c r="AG165" s="1">
        <f t="shared" si="34"/>
        <v>0</v>
      </c>
      <c r="AH165" s="1">
        <f t="shared" si="34"/>
        <v>0</v>
      </c>
      <c r="AI165" s="1">
        <f t="shared" si="34"/>
        <v>0</v>
      </c>
      <c r="AJ165" s="1">
        <f t="shared" si="34"/>
        <v>0</v>
      </c>
      <c r="AK165" s="1">
        <f t="shared" si="34"/>
        <v>0</v>
      </c>
      <c r="AL165" s="1">
        <f t="shared" si="34"/>
        <v>0</v>
      </c>
      <c r="AM165" s="1">
        <f t="shared" si="34"/>
        <v>0</v>
      </c>
      <c r="AN165" s="1">
        <f t="shared" si="34"/>
        <v>0</v>
      </c>
      <c r="AO165" s="1">
        <f t="shared" si="34"/>
        <v>0</v>
      </c>
      <c r="AP165" s="1">
        <f t="shared" si="34"/>
        <v>0</v>
      </c>
      <c r="AQ165" s="1">
        <f t="shared" si="34"/>
        <v>0</v>
      </c>
      <c r="AR165" s="1">
        <f t="shared" si="34"/>
        <v>0</v>
      </c>
      <c r="AS165" s="1">
        <f t="shared" si="34"/>
        <v>0</v>
      </c>
      <c r="AT165" s="1">
        <f t="shared" si="34"/>
        <v>0</v>
      </c>
      <c r="AU165" s="1">
        <f t="shared" si="34"/>
        <v>0</v>
      </c>
      <c r="AV165" s="1">
        <f t="shared" si="34"/>
        <v>0</v>
      </c>
      <c r="AW165" s="1">
        <f t="shared" si="34"/>
        <v>0</v>
      </c>
      <c r="AX165" s="1">
        <f t="shared" si="34"/>
        <v>0</v>
      </c>
      <c r="AY165" s="1">
        <f t="shared" si="34"/>
        <v>0</v>
      </c>
      <c r="AZ165" s="1">
        <f t="shared" si="34"/>
        <v>0</v>
      </c>
      <c r="BA165" s="74">
        <f t="shared" si="34"/>
        <v>0</v>
      </c>
    </row>
    <row r="166" spans="1:53" ht="15.75" hidden="1" customHeight="1" outlineLevel="1" x14ac:dyDescent="0.35">
      <c r="A166" s="5"/>
      <c r="B166" s="5"/>
      <c r="C166" s="5"/>
      <c r="D166" s="5" t="s">
        <v>99</v>
      </c>
      <c r="E166" s="5"/>
      <c r="F166" s="5"/>
      <c r="G166" s="5"/>
      <c r="H166" s="5"/>
      <c r="I166" s="5"/>
      <c r="J166" s="5"/>
      <c r="K166" s="65"/>
      <c r="N166" s="11">
        <f t="shared" si="32"/>
        <v>0</v>
      </c>
      <c r="Q166" s="11">
        <f>-'Wariant 1'!Q$90</f>
        <v>0</v>
      </c>
      <c r="R166" s="11">
        <f>-'Wariant 1'!R$90</f>
        <v>0</v>
      </c>
      <c r="S166" s="11">
        <f>-'Wariant 1'!S$90</f>
        <v>0</v>
      </c>
      <c r="T166" s="11">
        <f>-'Wariant 1'!T$90</f>
        <v>0</v>
      </c>
      <c r="U166" s="11">
        <f>-'Wariant 1'!U$90</f>
        <v>0</v>
      </c>
      <c r="V166" s="11">
        <f>-'Wariant 1'!V$90</f>
        <v>0</v>
      </c>
      <c r="W166" s="11">
        <f>-'Wariant 1'!W$90</f>
        <v>0</v>
      </c>
      <c r="X166" s="11">
        <f>-'Wariant 1'!X$90</f>
        <v>0</v>
      </c>
      <c r="Y166" s="11">
        <f>-'Wariant 1'!Y$90</f>
        <v>0</v>
      </c>
      <c r="Z166" s="11">
        <f>-'Wariant 1'!Z$90</f>
        <v>0</v>
      </c>
      <c r="AA166" s="11">
        <f>-'Wariant 1'!AA$90</f>
        <v>0</v>
      </c>
      <c r="AB166" s="11">
        <f>-'Wariant 1'!AB$90</f>
        <v>0</v>
      </c>
      <c r="AC166" s="11">
        <f>-'Wariant 1'!AC$90</f>
        <v>0</v>
      </c>
      <c r="AD166" s="11">
        <f>-'Wariant 1'!AD$90</f>
        <v>0</v>
      </c>
      <c r="AE166" s="11">
        <f>-'Wariant 1'!AE$90</f>
        <v>0</v>
      </c>
      <c r="AF166" s="11">
        <f>-'Wariant 1'!AF$90</f>
        <v>0</v>
      </c>
      <c r="AG166" s="11">
        <f>-'Wariant 1'!AG$90</f>
        <v>0</v>
      </c>
      <c r="AH166" s="11">
        <f>-'Wariant 1'!AH$90</f>
        <v>0</v>
      </c>
      <c r="AI166" s="11">
        <f>-'Wariant 1'!AI$90</f>
        <v>0</v>
      </c>
      <c r="AJ166" s="11">
        <f>-'Wariant 1'!AJ$90</f>
        <v>0</v>
      </c>
      <c r="AK166" s="11">
        <f>-'Wariant 1'!AK$90</f>
        <v>0</v>
      </c>
      <c r="AL166" s="11">
        <f>-'Wariant 1'!AL$90</f>
        <v>0</v>
      </c>
      <c r="AM166" s="11">
        <f>-'Wariant 1'!AM$90</f>
        <v>0</v>
      </c>
      <c r="AN166" s="11">
        <f>-'Wariant 1'!AN$90</f>
        <v>0</v>
      </c>
      <c r="AO166" s="11">
        <f>-'Wariant 1'!AO$90</f>
        <v>0</v>
      </c>
      <c r="AP166" s="11">
        <f>-'Wariant 1'!AP$90</f>
        <v>0</v>
      </c>
      <c r="AQ166" s="11">
        <f>-'Wariant 1'!AQ$90</f>
        <v>0</v>
      </c>
      <c r="AR166" s="11">
        <f>-'Wariant 1'!AR$90</f>
        <v>0</v>
      </c>
      <c r="AS166" s="11">
        <f>-'Wariant 1'!AS$90</f>
        <v>0</v>
      </c>
      <c r="AT166" s="11">
        <f>-'Wariant 1'!AT$90</f>
        <v>0</v>
      </c>
      <c r="AU166" s="11">
        <f>-'Wariant 1'!AU$90</f>
        <v>0</v>
      </c>
      <c r="AV166" s="11">
        <f>-'Wariant 1'!AV$90</f>
        <v>0</v>
      </c>
      <c r="AW166" s="11">
        <f>-'Wariant 1'!AW$90</f>
        <v>0</v>
      </c>
      <c r="AX166" s="11">
        <f>-'Wariant 1'!AX$90</f>
        <v>0</v>
      </c>
      <c r="AY166" s="11">
        <f>-'Wariant 1'!AY$90</f>
        <v>0</v>
      </c>
      <c r="AZ166" s="11">
        <f>-'Wariant 1'!AZ$90</f>
        <v>0</v>
      </c>
      <c r="BA166" s="75">
        <f>-'Wariant 1'!BA$90</f>
        <v>0</v>
      </c>
    </row>
    <row r="167" spans="1:53" ht="15.75" hidden="1" customHeight="1" outlineLevel="1" x14ac:dyDescent="0.35">
      <c r="A167" s="5"/>
      <c r="B167" s="5"/>
      <c r="C167" s="5"/>
      <c r="D167" s="5" t="s">
        <v>100</v>
      </c>
      <c r="E167" s="5"/>
      <c r="F167" s="5"/>
      <c r="G167" s="5"/>
      <c r="H167" s="5"/>
      <c r="I167" s="5"/>
      <c r="J167" s="5"/>
      <c r="K167" s="65"/>
      <c r="N167" s="11">
        <f t="shared" si="32"/>
        <v>0</v>
      </c>
      <c r="Q167" s="11">
        <f>-'Wariant 1'!Q$91</f>
        <v>0</v>
      </c>
      <c r="R167" s="11">
        <f>-'Wariant 1'!R$91</f>
        <v>0</v>
      </c>
      <c r="S167" s="11">
        <f>-'Wariant 1'!S$91</f>
        <v>0</v>
      </c>
      <c r="T167" s="11">
        <f>-'Wariant 1'!T$91</f>
        <v>0</v>
      </c>
      <c r="U167" s="11">
        <f>-'Wariant 1'!U$91</f>
        <v>0</v>
      </c>
      <c r="V167" s="11">
        <f>-'Wariant 1'!V$91</f>
        <v>0</v>
      </c>
      <c r="W167" s="11">
        <f>-'Wariant 1'!W$91</f>
        <v>0</v>
      </c>
      <c r="X167" s="11">
        <f>-'Wariant 1'!X$91</f>
        <v>0</v>
      </c>
      <c r="Y167" s="11">
        <f>-'Wariant 1'!Y$91</f>
        <v>0</v>
      </c>
      <c r="Z167" s="11">
        <f>-'Wariant 1'!Z$91</f>
        <v>0</v>
      </c>
      <c r="AA167" s="11">
        <f>-'Wariant 1'!AA$91</f>
        <v>0</v>
      </c>
      <c r="AB167" s="11">
        <f>-'Wariant 1'!AB$91</f>
        <v>0</v>
      </c>
      <c r="AC167" s="11">
        <f>-'Wariant 1'!AC$91</f>
        <v>0</v>
      </c>
      <c r="AD167" s="11">
        <f>-'Wariant 1'!AD$91</f>
        <v>0</v>
      </c>
      <c r="AE167" s="11">
        <f>-'Wariant 1'!AE$91</f>
        <v>0</v>
      </c>
      <c r="AF167" s="11">
        <f>-'Wariant 1'!AF$91</f>
        <v>0</v>
      </c>
      <c r="AG167" s="11">
        <f>-'Wariant 1'!AG$91</f>
        <v>0</v>
      </c>
      <c r="AH167" s="11">
        <f>-'Wariant 1'!AH$91</f>
        <v>0</v>
      </c>
      <c r="AI167" s="11">
        <f>-'Wariant 1'!AI$91</f>
        <v>0</v>
      </c>
      <c r="AJ167" s="11">
        <f>-'Wariant 1'!AJ$91</f>
        <v>0</v>
      </c>
      <c r="AK167" s="11">
        <f>-'Wariant 1'!AK$91</f>
        <v>0</v>
      </c>
      <c r="AL167" s="11">
        <f>-'Wariant 1'!AL$91</f>
        <v>0</v>
      </c>
      <c r="AM167" s="11">
        <f>-'Wariant 1'!AM$91</f>
        <v>0</v>
      </c>
      <c r="AN167" s="11">
        <f>-'Wariant 1'!AN$91</f>
        <v>0</v>
      </c>
      <c r="AO167" s="11">
        <f>-'Wariant 1'!AO$91</f>
        <v>0</v>
      </c>
      <c r="AP167" s="11">
        <f>-'Wariant 1'!AP$91</f>
        <v>0</v>
      </c>
      <c r="AQ167" s="11">
        <f>-'Wariant 1'!AQ$91</f>
        <v>0</v>
      </c>
      <c r="AR167" s="11">
        <f>-'Wariant 1'!AR$91</f>
        <v>0</v>
      </c>
      <c r="AS167" s="11">
        <f>-'Wariant 1'!AS$91</f>
        <v>0</v>
      </c>
      <c r="AT167" s="11">
        <f>-'Wariant 1'!AT$91</f>
        <v>0</v>
      </c>
      <c r="AU167" s="11">
        <f>-'Wariant 1'!AU$91</f>
        <v>0</v>
      </c>
      <c r="AV167" s="11">
        <f>-'Wariant 1'!AV$91</f>
        <v>0</v>
      </c>
      <c r="AW167" s="11">
        <f>-'Wariant 1'!AW$91</f>
        <v>0</v>
      </c>
      <c r="AX167" s="11">
        <f>-'Wariant 1'!AX$91</f>
        <v>0</v>
      </c>
      <c r="AY167" s="11">
        <f>-'Wariant 1'!AY$91</f>
        <v>0</v>
      </c>
      <c r="AZ167" s="11">
        <f>-'Wariant 1'!AZ$91</f>
        <v>0</v>
      </c>
      <c r="BA167" s="75">
        <f>-'Wariant 1'!BA$91</f>
        <v>0</v>
      </c>
    </row>
    <row r="168" spans="1:53" ht="15.75" hidden="1" customHeight="1" outlineLevel="1" x14ac:dyDescent="0.35">
      <c r="A168" s="5"/>
      <c r="B168" s="5"/>
      <c r="C168" s="5"/>
      <c r="D168" s="5" t="s">
        <v>66</v>
      </c>
      <c r="E168" s="5"/>
      <c r="F168" s="5"/>
      <c r="G168" s="5"/>
      <c r="H168" s="5"/>
      <c r="I168" s="5"/>
      <c r="J168" s="5"/>
      <c r="K168" s="65"/>
      <c r="N168" s="11">
        <f t="shared" si="32"/>
        <v>0</v>
      </c>
      <c r="Q168" s="11">
        <f>-'Wariant 1'!Q$92</f>
        <v>0</v>
      </c>
      <c r="R168" s="11">
        <f>-'Wariant 1'!R$92</f>
        <v>0</v>
      </c>
      <c r="S168" s="11">
        <f>-'Wariant 1'!S$92</f>
        <v>0</v>
      </c>
      <c r="T168" s="11">
        <f>-'Wariant 1'!T$92</f>
        <v>0</v>
      </c>
      <c r="U168" s="11">
        <f>-'Wariant 1'!U$92</f>
        <v>0</v>
      </c>
      <c r="V168" s="11">
        <f>-'Wariant 1'!V$92</f>
        <v>0</v>
      </c>
      <c r="W168" s="11">
        <f>-'Wariant 1'!W$92</f>
        <v>0</v>
      </c>
      <c r="X168" s="11">
        <f>-'Wariant 1'!X$92</f>
        <v>0</v>
      </c>
      <c r="Y168" s="11">
        <f>-'Wariant 1'!Y$92</f>
        <v>0</v>
      </c>
      <c r="Z168" s="11">
        <f>-'Wariant 1'!Z$92</f>
        <v>0</v>
      </c>
      <c r="AA168" s="11">
        <f>-'Wariant 1'!AA$92</f>
        <v>0</v>
      </c>
      <c r="AB168" s="11">
        <f>-'Wariant 1'!AB$92</f>
        <v>0</v>
      </c>
      <c r="AC168" s="11">
        <f>-'Wariant 1'!AC$92</f>
        <v>0</v>
      </c>
      <c r="AD168" s="11">
        <f>-'Wariant 1'!AD$92</f>
        <v>0</v>
      </c>
      <c r="AE168" s="11">
        <f>-'Wariant 1'!AE$92</f>
        <v>0</v>
      </c>
      <c r="AF168" s="11">
        <f>-'Wariant 1'!AF$92</f>
        <v>0</v>
      </c>
      <c r="AG168" s="11">
        <f>-'Wariant 1'!AG$92</f>
        <v>0</v>
      </c>
      <c r="AH168" s="11">
        <f>-'Wariant 1'!AH$92</f>
        <v>0</v>
      </c>
      <c r="AI168" s="11">
        <f>-'Wariant 1'!AI$92</f>
        <v>0</v>
      </c>
      <c r="AJ168" s="11">
        <f>-'Wariant 1'!AJ$92</f>
        <v>0</v>
      </c>
      <c r="AK168" s="11">
        <f>-'Wariant 1'!AK$92</f>
        <v>0</v>
      </c>
      <c r="AL168" s="11">
        <f>-'Wariant 1'!AL$92</f>
        <v>0</v>
      </c>
      <c r="AM168" s="11">
        <f>-'Wariant 1'!AM$92</f>
        <v>0</v>
      </c>
      <c r="AN168" s="11">
        <f>-'Wariant 1'!AN$92</f>
        <v>0</v>
      </c>
      <c r="AO168" s="11">
        <f>-'Wariant 1'!AO$92</f>
        <v>0</v>
      </c>
      <c r="AP168" s="11">
        <f>-'Wariant 1'!AP$92</f>
        <v>0</v>
      </c>
      <c r="AQ168" s="11">
        <f>-'Wariant 1'!AQ$92</f>
        <v>0</v>
      </c>
      <c r="AR168" s="11">
        <f>-'Wariant 1'!AR$92</f>
        <v>0</v>
      </c>
      <c r="AS168" s="11">
        <f>-'Wariant 1'!AS$92</f>
        <v>0</v>
      </c>
      <c r="AT168" s="11">
        <f>-'Wariant 1'!AT$92</f>
        <v>0</v>
      </c>
      <c r="AU168" s="11">
        <f>-'Wariant 1'!AU$92</f>
        <v>0</v>
      </c>
      <c r="AV168" s="11">
        <f>-'Wariant 1'!AV$92</f>
        <v>0</v>
      </c>
      <c r="AW168" s="11">
        <f>-'Wariant 1'!AW$92</f>
        <v>0</v>
      </c>
      <c r="AX168" s="11">
        <f>-'Wariant 1'!AX$92</f>
        <v>0</v>
      </c>
      <c r="AY168" s="11">
        <f>-'Wariant 1'!AY$92</f>
        <v>0</v>
      </c>
      <c r="AZ168" s="11">
        <f>-'Wariant 1'!AZ$92</f>
        <v>0</v>
      </c>
      <c r="BA168" s="75">
        <f>-'Wariant 1'!BA$92</f>
        <v>0</v>
      </c>
    </row>
    <row r="169" spans="1:53" ht="15.75" hidden="1" customHeight="1" outlineLevel="1" x14ac:dyDescent="0.35">
      <c r="A169" s="5"/>
      <c r="B169" s="5"/>
      <c r="C169" s="5"/>
      <c r="D169" s="5" t="s">
        <v>72</v>
      </c>
      <c r="E169" s="5"/>
      <c r="F169" s="5"/>
      <c r="G169" s="5"/>
      <c r="H169" s="5"/>
      <c r="I169" s="5"/>
      <c r="J169" s="5"/>
      <c r="K169" s="65"/>
      <c r="N169" s="11">
        <f t="shared" si="32"/>
        <v>0</v>
      </c>
      <c r="Q169" s="11">
        <f>-'Wariant 1'!Q$93</f>
        <v>0</v>
      </c>
      <c r="R169" s="11">
        <f>-'Wariant 1'!R$93</f>
        <v>0</v>
      </c>
      <c r="S169" s="11">
        <f>-'Wariant 1'!S$93</f>
        <v>0</v>
      </c>
      <c r="T169" s="11">
        <f>-'Wariant 1'!T$93</f>
        <v>0</v>
      </c>
      <c r="U169" s="11">
        <f>-'Wariant 1'!U$93</f>
        <v>0</v>
      </c>
      <c r="V169" s="11">
        <f>-'Wariant 1'!V$93</f>
        <v>0</v>
      </c>
      <c r="W169" s="11">
        <f>-'Wariant 1'!W$93</f>
        <v>0</v>
      </c>
      <c r="X169" s="11">
        <f>-'Wariant 1'!X$93</f>
        <v>0</v>
      </c>
      <c r="Y169" s="11">
        <f>-'Wariant 1'!Y$93</f>
        <v>0</v>
      </c>
      <c r="Z169" s="11">
        <f>-'Wariant 1'!Z$93</f>
        <v>0</v>
      </c>
      <c r="AA169" s="11">
        <f>-'Wariant 1'!AA$93</f>
        <v>0</v>
      </c>
      <c r="AB169" s="11">
        <f>-'Wariant 1'!AB$93</f>
        <v>0</v>
      </c>
      <c r="AC169" s="11">
        <f>-'Wariant 1'!AC$93</f>
        <v>0</v>
      </c>
      <c r="AD169" s="11">
        <f>-'Wariant 1'!AD$93</f>
        <v>0</v>
      </c>
      <c r="AE169" s="11">
        <f>-'Wariant 1'!AE$93</f>
        <v>0</v>
      </c>
      <c r="AF169" s="11">
        <f>-'Wariant 1'!AF$93</f>
        <v>0</v>
      </c>
      <c r="AG169" s="11">
        <f>-'Wariant 1'!AG$93</f>
        <v>0</v>
      </c>
      <c r="AH169" s="11">
        <f>-'Wariant 1'!AH$93</f>
        <v>0</v>
      </c>
      <c r="AI169" s="11">
        <f>-'Wariant 1'!AI$93</f>
        <v>0</v>
      </c>
      <c r="AJ169" s="11">
        <f>-'Wariant 1'!AJ$93</f>
        <v>0</v>
      </c>
      <c r="AK169" s="11">
        <f>-'Wariant 1'!AK$93</f>
        <v>0</v>
      </c>
      <c r="AL169" s="11">
        <f>-'Wariant 1'!AL$93</f>
        <v>0</v>
      </c>
      <c r="AM169" s="11">
        <f>-'Wariant 1'!AM$93</f>
        <v>0</v>
      </c>
      <c r="AN169" s="11">
        <f>-'Wariant 1'!AN$93</f>
        <v>0</v>
      </c>
      <c r="AO169" s="11">
        <f>-'Wariant 1'!AO$93</f>
        <v>0</v>
      </c>
      <c r="AP169" s="11">
        <f>-'Wariant 1'!AP$93</f>
        <v>0</v>
      </c>
      <c r="AQ169" s="11">
        <f>-'Wariant 1'!AQ$93</f>
        <v>0</v>
      </c>
      <c r="AR169" s="11">
        <f>-'Wariant 1'!AR$93</f>
        <v>0</v>
      </c>
      <c r="AS169" s="11">
        <f>-'Wariant 1'!AS$93</f>
        <v>0</v>
      </c>
      <c r="AT169" s="11">
        <f>-'Wariant 1'!AT$93</f>
        <v>0</v>
      </c>
      <c r="AU169" s="11">
        <f>-'Wariant 1'!AU$93</f>
        <v>0</v>
      </c>
      <c r="AV169" s="11">
        <f>-'Wariant 1'!AV$93</f>
        <v>0</v>
      </c>
      <c r="AW169" s="11">
        <f>-'Wariant 1'!AW$93</f>
        <v>0</v>
      </c>
      <c r="AX169" s="11">
        <f>-'Wariant 1'!AX$93</f>
        <v>0</v>
      </c>
      <c r="AY169" s="11">
        <f>-'Wariant 1'!AY$93</f>
        <v>0</v>
      </c>
      <c r="AZ169" s="11">
        <f>-'Wariant 1'!AZ$93</f>
        <v>0</v>
      </c>
      <c r="BA169" s="75">
        <f>-'Wariant 1'!BA$93</f>
        <v>0</v>
      </c>
    </row>
    <row r="170" spans="1:53" ht="15.75" hidden="1" customHeight="1" outlineLevel="1" x14ac:dyDescent="0.35">
      <c r="A170" s="5"/>
      <c r="B170" s="5"/>
      <c r="C170" s="5"/>
      <c r="D170" s="5" t="s">
        <v>50</v>
      </c>
      <c r="E170" s="5"/>
      <c r="F170" s="5"/>
      <c r="G170" s="5"/>
      <c r="H170" s="5"/>
      <c r="I170" s="5"/>
      <c r="J170" s="5"/>
      <c r="K170" s="65"/>
      <c r="N170" s="11">
        <f t="shared" si="32"/>
        <v>0</v>
      </c>
      <c r="Q170" s="11">
        <f>-'Wariant 1'!Q$94</f>
        <v>0</v>
      </c>
      <c r="R170" s="11">
        <f>-'Wariant 1'!R$94</f>
        <v>0</v>
      </c>
      <c r="S170" s="11">
        <f>-'Wariant 1'!S$94</f>
        <v>0</v>
      </c>
      <c r="T170" s="11">
        <f>-'Wariant 1'!T$94</f>
        <v>0</v>
      </c>
      <c r="U170" s="11">
        <f>-'Wariant 1'!U$94</f>
        <v>0</v>
      </c>
      <c r="V170" s="11">
        <f>-'Wariant 1'!V$94</f>
        <v>0</v>
      </c>
      <c r="W170" s="11">
        <f>-'Wariant 1'!W$94</f>
        <v>0</v>
      </c>
      <c r="X170" s="11">
        <f>-'Wariant 1'!X$94</f>
        <v>0</v>
      </c>
      <c r="Y170" s="11">
        <f>-'Wariant 1'!Y$94</f>
        <v>0</v>
      </c>
      <c r="Z170" s="11">
        <f>-'Wariant 1'!Z$94</f>
        <v>0</v>
      </c>
      <c r="AA170" s="11">
        <f>-'Wariant 1'!AA$94</f>
        <v>0</v>
      </c>
      <c r="AB170" s="11">
        <f>-'Wariant 1'!AB$94</f>
        <v>0</v>
      </c>
      <c r="AC170" s="11">
        <f>-'Wariant 1'!AC$94</f>
        <v>0</v>
      </c>
      <c r="AD170" s="11">
        <f>-'Wariant 1'!AD$94</f>
        <v>0</v>
      </c>
      <c r="AE170" s="11">
        <f>-'Wariant 1'!AE$94</f>
        <v>0</v>
      </c>
      <c r="AF170" s="11">
        <f>-'Wariant 1'!AF$94</f>
        <v>0</v>
      </c>
      <c r="AG170" s="11">
        <f>-'Wariant 1'!AG$94</f>
        <v>0</v>
      </c>
      <c r="AH170" s="11">
        <f>-'Wariant 1'!AH$94</f>
        <v>0</v>
      </c>
      <c r="AI170" s="11">
        <f>-'Wariant 1'!AI$94</f>
        <v>0</v>
      </c>
      <c r="AJ170" s="11">
        <f>-'Wariant 1'!AJ$94</f>
        <v>0</v>
      </c>
      <c r="AK170" s="11">
        <f>-'Wariant 1'!AK$94</f>
        <v>0</v>
      </c>
      <c r="AL170" s="11">
        <f>-'Wariant 1'!AL$94</f>
        <v>0</v>
      </c>
      <c r="AM170" s="11">
        <f>-'Wariant 1'!AM$94</f>
        <v>0</v>
      </c>
      <c r="AN170" s="11">
        <f>-'Wariant 1'!AN$94</f>
        <v>0</v>
      </c>
      <c r="AO170" s="11">
        <f>-'Wariant 1'!AO$94</f>
        <v>0</v>
      </c>
      <c r="AP170" s="11">
        <f>-'Wariant 1'!AP$94</f>
        <v>0</v>
      </c>
      <c r="AQ170" s="11">
        <f>-'Wariant 1'!AQ$94</f>
        <v>0</v>
      </c>
      <c r="AR170" s="11">
        <f>-'Wariant 1'!AR$94</f>
        <v>0</v>
      </c>
      <c r="AS170" s="11">
        <f>-'Wariant 1'!AS$94</f>
        <v>0</v>
      </c>
      <c r="AT170" s="11">
        <f>-'Wariant 1'!AT$94</f>
        <v>0</v>
      </c>
      <c r="AU170" s="11">
        <f>-'Wariant 1'!AU$94</f>
        <v>0</v>
      </c>
      <c r="AV170" s="11">
        <f>-'Wariant 1'!AV$94</f>
        <v>0</v>
      </c>
      <c r="AW170" s="11">
        <f>-'Wariant 1'!AW$94</f>
        <v>0</v>
      </c>
      <c r="AX170" s="11">
        <f>-'Wariant 1'!AX$94</f>
        <v>0</v>
      </c>
      <c r="AY170" s="11">
        <f>-'Wariant 1'!AY$94</f>
        <v>0</v>
      </c>
      <c r="AZ170" s="11">
        <f>-'Wariant 1'!AZ$94</f>
        <v>0</v>
      </c>
      <c r="BA170" s="75">
        <f>-'Wariant 1'!BA$94</f>
        <v>0</v>
      </c>
    </row>
    <row r="171" spans="1:53" ht="15.75" hidden="1" customHeight="1" outlineLevel="1" x14ac:dyDescent="0.35">
      <c r="A171" s="5"/>
      <c r="B171" s="5"/>
      <c r="C171" s="5"/>
      <c r="D171" s="5" t="s">
        <v>33</v>
      </c>
      <c r="E171" s="5"/>
      <c r="F171" s="5"/>
      <c r="G171" s="5"/>
      <c r="H171" s="5"/>
      <c r="I171" s="5"/>
      <c r="J171" s="5"/>
      <c r="K171" s="65"/>
      <c r="N171" s="11">
        <f t="shared" si="32"/>
        <v>0</v>
      </c>
      <c r="Q171" s="11">
        <f>-'Wariant 1'!Q$102</f>
        <v>0</v>
      </c>
      <c r="R171" s="11">
        <f>-'Wariant 1'!R$102</f>
        <v>0</v>
      </c>
      <c r="S171" s="11">
        <f>-'Wariant 1'!S$102</f>
        <v>0</v>
      </c>
      <c r="T171" s="11">
        <f>-'Wariant 1'!T$102</f>
        <v>0</v>
      </c>
      <c r="U171" s="11">
        <f>-'Wariant 1'!U$102</f>
        <v>0</v>
      </c>
      <c r="V171" s="11">
        <f>-'Wariant 1'!V$102</f>
        <v>0</v>
      </c>
      <c r="W171" s="11">
        <f>-'Wariant 1'!W$102</f>
        <v>0</v>
      </c>
      <c r="X171" s="11">
        <f>-'Wariant 1'!X$102</f>
        <v>0</v>
      </c>
      <c r="Y171" s="11">
        <f>-'Wariant 1'!Y$102</f>
        <v>0</v>
      </c>
      <c r="Z171" s="11">
        <f>-'Wariant 1'!Z$102</f>
        <v>0</v>
      </c>
      <c r="AA171" s="11">
        <f>-'Wariant 1'!AA$102</f>
        <v>0</v>
      </c>
      <c r="AB171" s="11">
        <f>-'Wariant 1'!AB$102</f>
        <v>0</v>
      </c>
      <c r="AC171" s="11">
        <f>-'Wariant 1'!AC$102</f>
        <v>0</v>
      </c>
      <c r="AD171" s="11">
        <f>-'Wariant 1'!AD$102</f>
        <v>0</v>
      </c>
      <c r="AE171" s="11">
        <f>-'Wariant 1'!AE$102</f>
        <v>0</v>
      </c>
      <c r="AF171" s="11">
        <f>-'Wariant 1'!AF$102</f>
        <v>0</v>
      </c>
      <c r="AG171" s="11">
        <f>-'Wariant 1'!AG$102</f>
        <v>0</v>
      </c>
      <c r="AH171" s="11">
        <f>-'Wariant 1'!AH$102</f>
        <v>0</v>
      </c>
      <c r="AI171" s="11">
        <f>-'Wariant 1'!AI$102</f>
        <v>0</v>
      </c>
      <c r="AJ171" s="11">
        <f>-'Wariant 1'!AJ$102</f>
        <v>0</v>
      </c>
      <c r="AK171" s="11">
        <f>-'Wariant 1'!AK$102</f>
        <v>0</v>
      </c>
      <c r="AL171" s="11">
        <f>-'Wariant 1'!AL$102</f>
        <v>0</v>
      </c>
      <c r="AM171" s="11">
        <f>-'Wariant 1'!AM$102</f>
        <v>0</v>
      </c>
      <c r="AN171" s="11">
        <f>-'Wariant 1'!AN$102</f>
        <v>0</v>
      </c>
      <c r="AO171" s="11">
        <f>-'Wariant 1'!AO$102</f>
        <v>0</v>
      </c>
      <c r="AP171" s="11">
        <f>-'Wariant 1'!AP$102</f>
        <v>0</v>
      </c>
      <c r="AQ171" s="11">
        <f>-'Wariant 1'!AQ$102</f>
        <v>0</v>
      </c>
      <c r="AR171" s="11">
        <f>-'Wariant 1'!AR$102</f>
        <v>0</v>
      </c>
      <c r="AS171" s="11">
        <f>-'Wariant 1'!AS$102</f>
        <v>0</v>
      </c>
      <c r="AT171" s="11">
        <f>-'Wariant 1'!AT$102</f>
        <v>0</v>
      </c>
      <c r="AU171" s="11">
        <f>-'Wariant 1'!AU$102</f>
        <v>0</v>
      </c>
      <c r="AV171" s="11">
        <f>-'Wariant 1'!AV$102</f>
        <v>0</v>
      </c>
      <c r="AW171" s="11">
        <f>-'Wariant 1'!AW$102</f>
        <v>0</v>
      </c>
      <c r="AX171" s="11">
        <f>-'Wariant 1'!AX$102</f>
        <v>0</v>
      </c>
      <c r="AY171" s="11">
        <f>-'Wariant 1'!AY$102</f>
        <v>0</v>
      </c>
      <c r="AZ171" s="11">
        <f>-'Wariant 1'!AZ$102</f>
        <v>0</v>
      </c>
      <c r="BA171" s="75">
        <f>-'Wariant 1'!BA$102</f>
        <v>0</v>
      </c>
    </row>
    <row r="172" spans="1:53" ht="15.75" hidden="1" customHeight="1" outlineLevel="1" x14ac:dyDescent="0.35">
      <c r="A172" s="5"/>
      <c r="B172" s="5"/>
      <c r="C172" s="5" t="s">
        <v>159</v>
      </c>
      <c r="E172" s="5"/>
      <c r="F172" s="5"/>
      <c r="G172" s="5"/>
      <c r="H172" s="5"/>
      <c r="I172" s="5"/>
      <c r="J172" s="5"/>
      <c r="K172" s="65"/>
      <c r="N172" s="1">
        <f t="shared" si="32"/>
        <v>0</v>
      </c>
      <c r="Q172" s="1">
        <f t="shared" ref="Q172:BA172" si="35">SUM(Q173:Q174)</f>
        <v>0</v>
      </c>
      <c r="R172" s="1">
        <f>SUM(R173:R174)</f>
        <v>0</v>
      </c>
      <c r="S172" s="1">
        <f t="shared" si="35"/>
        <v>0</v>
      </c>
      <c r="T172" s="1">
        <f t="shared" si="35"/>
        <v>0</v>
      </c>
      <c r="U172" s="1">
        <f t="shared" si="35"/>
        <v>0</v>
      </c>
      <c r="V172" s="1">
        <f t="shared" si="35"/>
        <v>0</v>
      </c>
      <c r="W172" s="1">
        <f t="shared" si="35"/>
        <v>0</v>
      </c>
      <c r="X172" s="1">
        <f t="shared" si="35"/>
        <v>0</v>
      </c>
      <c r="Y172" s="1">
        <f t="shared" si="35"/>
        <v>0</v>
      </c>
      <c r="Z172" s="1">
        <f t="shared" si="35"/>
        <v>0</v>
      </c>
      <c r="AA172" s="1">
        <f t="shared" si="35"/>
        <v>0</v>
      </c>
      <c r="AB172" s="1">
        <f t="shared" si="35"/>
        <v>0</v>
      </c>
      <c r="AC172" s="1">
        <f t="shared" si="35"/>
        <v>0</v>
      </c>
      <c r="AD172" s="1">
        <f t="shared" si="35"/>
        <v>0</v>
      </c>
      <c r="AE172" s="1">
        <f t="shared" si="35"/>
        <v>0</v>
      </c>
      <c r="AF172" s="1">
        <f t="shared" si="35"/>
        <v>0</v>
      </c>
      <c r="AG172" s="1">
        <f t="shared" si="35"/>
        <v>0</v>
      </c>
      <c r="AH172" s="1">
        <f t="shared" si="35"/>
        <v>0</v>
      </c>
      <c r="AI172" s="1">
        <f t="shared" si="35"/>
        <v>0</v>
      </c>
      <c r="AJ172" s="1">
        <f t="shared" si="35"/>
        <v>0</v>
      </c>
      <c r="AK172" s="1">
        <f t="shared" si="35"/>
        <v>0</v>
      </c>
      <c r="AL172" s="1">
        <f t="shared" si="35"/>
        <v>0</v>
      </c>
      <c r="AM172" s="1">
        <f t="shared" si="35"/>
        <v>0</v>
      </c>
      <c r="AN172" s="1">
        <f t="shared" si="35"/>
        <v>0</v>
      </c>
      <c r="AO172" s="1">
        <f t="shared" si="35"/>
        <v>0</v>
      </c>
      <c r="AP172" s="1">
        <f t="shared" si="35"/>
        <v>0</v>
      </c>
      <c r="AQ172" s="1">
        <f t="shared" si="35"/>
        <v>0</v>
      </c>
      <c r="AR172" s="1">
        <f t="shared" si="35"/>
        <v>0</v>
      </c>
      <c r="AS172" s="1">
        <f t="shared" si="35"/>
        <v>0</v>
      </c>
      <c r="AT172" s="1">
        <f t="shared" si="35"/>
        <v>0</v>
      </c>
      <c r="AU172" s="1">
        <f t="shared" si="35"/>
        <v>0</v>
      </c>
      <c r="AV172" s="1">
        <f t="shared" si="35"/>
        <v>0</v>
      </c>
      <c r="AW172" s="1">
        <f t="shared" si="35"/>
        <v>0</v>
      </c>
      <c r="AX172" s="1">
        <f t="shared" si="35"/>
        <v>0</v>
      </c>
      <c r="AY172" s="1">
        <f t="shared" si="35"/>
        <v>0</v>
      </c>
      <c r="AZ172" s="1">
        <f t="shared" si="35"/>
        <v>0</v>
      </c>
      <c r="BA172" s="74">
        <f t="shared" si="35"/>
        <v>0</v>
      </c>
    </row>
    <row r="173" spans="1:53" ht="15.75" hidden="1" customHeight="1" outlineLevel="1" x14ac:dyDescent="0.35">
      <c r="A173" s="5"/>
      <c r="B173" s="5"/>
      <c r="C173" s="5"/>
      <c r="D173" s="5" t="s">
        <v>142</v>
      </c>
      <c r="E173" s="5"/>
      <c r="F173" s="5"/>
      <c r="G173" s="5"/>
      <c r="H173" s="5"/>
      <c r="I173" s="5"/>
      <c r="J173" s="5"/>
      <c r="K173" s="65"/>
      <c r="N173" s="11">
        <f t="shared" si="32"/>
        <v>0</v>
      </c>
      <c r="Q173" s="11">
        <f>-'Wariant 1'!Q$97</f>
        <v>0</v>
      </c>
      <c r="R173" s="11">
        <f>-'Wariant 1'!R$97</f>
        <v>0</v>
      </c>
      <c r="S173" s="11">
        <f>-'Wariant 1'!S$97</f>
        <v>0</v>
      </c>
      <c r="T173" s="11">
        <f>-'Wariant 1'!T$97</f>
        <v>0</v>
      </c>
      <c r="U173" s="11">
        <f>-'Wariant 1'!U$97</f>
        <v>0</v>
      </c>
      <c r="V173" s="11">
        <f>-'Wariant 1'!V$97</f>
        <v>0</v>
      </c>
      <c r="W173" s="11">
        <f>-'Wariant 1'!W$97</f>
        <v>0</v>
      </c>
      <c r="X173" s="11">
        <f>-'Wariant 1'!X$97</f>
        <v>0</v>
      </c>
      <c r="Y173" s="11">
        <f>-'Wariant 1'!Y$97</f>
        <v>0</v>
      </c>
      <c r="Z173" s="11">
        <f>-'Wariant 1'!Z$97</f>
        <v>0</v>
      </c>
      <c r="AA173" s="11">
        <f>-'Wariant 1'!AA$97</f>
        <v>0</v>
      </c>
      <c r="AB173" s="11">
        <f>-'Wariant 1'!AB$97</f>
        <v>0</v>
      </c>
      <c r="AC173" s="11">
        <f>-'Wariant 1'!AC$97</f>
        <v>0</v>
      </c>
      <c r="AD173" s="11">
        <f>-'Wariant 1'!AD$97</f>
        <v>0</v>
      </c>
      <c r="AE173" s="11">
        <f>-'Wariant 1'!AE$97</f>
        <v>0</v>
      </c>
      <c r="AF173" s="11">
        <f>-'Wariant 1'!AF$97</f>
        <v>0</v>
      </c>
      <c r="AG173" s="11">
        <f>-'Wariant 1'!AG$97</f>
        <v>0</v>
      </c>
      <c r="AH173" s="11">
        <f>-'Wariant 1'!AH$97</f>
        <v>0</v>
      </c>
      <c r="AI173" s="11">
        <f>-'Wariant 1'!AI$97</f>
        <v>0</v>
      </c>
      <c r="AJ173" s="11">
        <f>-'Wariant 1'!AJ$97</f>
        <v>0</v>
      </c>
      <c r="AK173" s="11">
        <f>-'Wariant 1'!AK$97</f>
        <v>0</v>
      </c>
      <c r="AL173" s="11">
        <f>-'Wariant 1'!AL$97</f>
        <v>0</v>
      </c>
      <c r="AM173" s="11">
        <f>-'Wariant 1'!AM$97</f>
        <v>0</v>
      </c>
      <c r="AN173" s="11">
        <f>-'Wariant 1'!AN$97</f>
        <v>0</v>
      </c>
      <c r="AO173" s="11">
        <f>-'Wariant 1'!AO$97</f>
        <v>0</v>
      </c>
      <c r="AP173" s="11">
        <f>-'Wariant 1'!AP$97</f>
        <v>0</v>
      </c>
      <c r="AQ173" s="11">
        <f>-'Wariant 1'!AQ$97</f>
        <v>0</v>
      </c>
      <c r="AR173" s="11">
        <f>-'Wariant 1'!AR$97</f>
        <v>0</v>
      </c>
      <c r="AS173" s="11">
        <f>-'Wariant 1'!AS$97</f>
        <v>0</v>
      </c>
      <c r="AT173" s="11">
        <f>-'Wariant 1'!AT$97</f>
        <v>0</v>
      </c>
      <c r="AU173" s="11">
        <f>-'Wariant 1'!AU$97</f>
        <v>0</v>
      </c>
      <c r="AV173" s="11">
        <f>-'Wariant 1'!AV$97</f>
        <v>0</v>
      </c>
      <c r="AW173" s="11">
        <f>-'Wariant 1'!AW$97</f>
        <v>0</v>
      </c>
      <c r="AX173" s="11">
        <f>-'Wariant 1'!AX$97</f>
        <v>0</v>
      </c>
      <c r="AY173" s="11">
        <f>-'Wariant 1'!AY$97</f>
        <v>0</v>
      </c>
      <c r="AZ173" s="11">
        <f>-'Wariant 1'!AZ$97</f>
        <v>0</v>
      </c>
      <c r="BA173" s="75">
        <f>-'Wariant 1'!BA$97</f>
        <v>0</v>
      </c>
    </row>
    <row r="174" spans="1:53" ht="15.75" hidden="1" customHeight="1" outlineLevel="1" x14ac:dyDescent="0.35">
      <c r="A174" s="5"/>
      <c r="B174" s="5"/>
      <c r="C174" s="5"/>
      <c r="D174" s="5" t="s">
        <v>33</v>
      </c>
      <c r="E174" s="5"/>
      <c r="F174" s="5"/>
      <c r="G174" s="5"/>
      <c r="H174" s="5"/>
      <c r="I174" s="5"/>
      <c r="J174" s="5"/>
      <c r="K174" s="65"/>
      <c r="N174" s="11">
        <f t="shared" si="32"/>
        <v>0</v>
      </c>
      <c r="Q174" s="11">
        <f>-'Wariant 1'!Q$107</f>
        <v>0</v>
      </c>
      <c r="R174" s="11">
        <f>-'Wariant 1'!R$107</f>
        <v>0</v>
      </c>
      <c r="S174" s="11">
        <f>-'Wariant 1'!S$107</f>
        <v>0</v>
      </c>
      <c r="T174" s="11">
        <f>-'Wariant 1'!T$107</f>
        <v>0</v>
      </c>
      <c r="U174" s="11">
        <f>-'Wariant 1'!U$107</f>
        <v>0</v>
      </c>
      <c r="V174" s="11">
        <f>-'Wariant 1'!V$107</f>
        <v>0</v>
      </c>
      <c r="W174" s="11">
        <f>-'Wariant 1'!W$107</f>
        <v>0</v>
      </c>
      <c r="X174" s="11">
        <f>-'Wariant 1'!X$107</f>
        <v>0</v>
      </c>
      <c r="Y174" s="11">
        <f>-'Wariant 1'!Y$107</f>
        <v>0</v>
      </c>
      <c r="Z174" s="11">
        <f>-'Wariant 1'!Z$107</f>
        <v>0</v>
      </c>
      <c r="AA174" s="11">
        <f>-'Wariant 1'!AA$107</f>
        <v>0</v>
      </c>
      <c r="AB174" s="11">
        <f>-'Wariant 1'!AB$107</f>
        <v>0</v>
      </c>
      <c r="AC174" s="11">
        <f>-'Wariant 1'!AC$107</f>
        <v>0</v>
      </c>
      <c r="AD174" s="11">
        <f>-'Wariant 1'!AD$107</f>
        <v>0</v>
      </c>
      <c r="AE174" s="11">
        <f>-'Wariant 1'!AE$107</f>
        <v>0</v>
      </c>
      <c r="AF174" s="11">
        <f>-'Wariant 1'!AF$107</f>
        <v>0</v>
      </c>
      <c r="AG174" s="11">
        <f>-'Wariant 1'!AG$107</f>
        <v>0</v>
      </c>
      <c r="AH174" s="11">
        <f>-'Wariant 1'!AH$107</f>
        <v>0</v>
      </c>
      <c r="AI174" s="11">
        <f>-'Wariant 1'!AI$107</f>
        <v>0</v>
      </c>
      <c r="AJ174" s="11">
        <f>-'Wariant 1'!AJ$107</f>
        <v>0</v>
      </c>
      <c r="AK174" s="11">
        <f>-'Wariant 1'!AK$107</f>
        <v>0</v>
      </c>
      <c r="AL174" s="11">
        <f>-'Wariant 1'!AL$107</f>
        <v>0</v>
      </c>
      <c r="AM174" s="11">
        <f>-'Wariant 1'!AM$107</f>
        <v>0</v>
      </c>
      <c r="AN174" s="11">
        <f>-'Wariant 1'!AN$107</f>
        <v>0</v>
      </c>
      <c r="AO174" s="11">
        <f>-'Wariant 1'!AO$107</f>
        <v>0</v>
      </c>
      <c r="AP174" s="11">
        <f>-'Wariant 1'!AP$107</f>
        <v>0</v>
      </c>
      <c r="AQ174" s="11">
        <f>-'Wariant 1'!AQ$107</f>
        <v>0</v>
      </c>
      <c r="AR174" s="11">
        <f>-'Wariant 1'!AR$107</f>
        <v>0</v>
      </c>
      <c r="AS174" s="11">
        <f>-'Wariant 1'!AS$107</f>
        <v>0</v>
      </c>
      <c r="AT174" s="11">
        <f>-'Wariant 1'!AT$107</f>
        <v>0</v>
      </c>
      <c r="AU174" s="11">
        <f>-'Wariant 1'!AU$107</f>
        <v>0</v>
      </c>
      <c r="AV174" s="11">
        <f>-'Wariant 1'!AV$107</f>
        <v>0</v>
      </c>
      <c r="AW174" s="11">
        <f>-'Wariant 1'!AW$107</f>
        <v>0</v>
      </c>
      <c r="AX174" s="11">
        <f>-'Wariant 1'!AX$107</f>
        <v>0</v>
      </c>
      <c r="AY174" s="11">
        <f>-'Wariant 1'!AY$107</f>
        <v>0</v>
      </c>
      <c r="AZ174" s="11">
        <f>-'Wariant 1'!AZ$107</f>
        <v>0</v>
      </c>
      <c r="BA174" s="75">
        <f>-'Wariant 1'!BA$107</f>
        <v>0</v>
      </c>
    </row>
    <row r="175" spans="1:53" ht="14.5" hidden="1" outlineLevel="1" x14ac:dyDescent="0.35"/>
    <row r="176" spans="1:53" ht="15.75" hidden="1" customHeight="1" outlineLevel="1" x14ac:dyDescent="0.35">
      <c r="A176" s="15"/>
      <c r="B176" s="16" t="s">
        <v>76</v>
      </c>
      <c r="C176" s="16"/>
      <c r="D176" s="16"/>
      <c r="E176" s="16"/>
      <c r="F176" s="16"/>
      <c r="G176" s="16"/>
      <c r="H176" s="16"/>
      <c r="I176" s="16"/>
      <c r="J176" s="16"/>
      <c r="K176" s="16"/>
      <c r="L176" s="3"/>
      <c r="M176" s="3"/>
      <c r="N176" s="4">
        <f t="shared" ref="N176:N182" si="36">SUM(Q176:BA176)</f>
        <v>0</v>
      </c>
      <c r="O176" s="3"/>
      <c r="P176" s="3"/>
      <c r="Q176" s="4">
        <f t="shared" ref="Q176:BA176" si="37">SUM(Q177,Q180)</f>
        <v>0</v>
      </c>
      <c r="R176" s="4">
        <f t="shared" si="37"/>
        <v>0</v>
      </c>
      <c r="S176" s="4">
        <f t="shared" si="37"/>
        <v>0</v>
      </c>
      <c r="T176" s="4">
        <f t="shared" si="37"/>
        <v>0</v>
      </c>
      <c r="U176" s="4">
        <f t="shared" si="37"/>
        <v>0</v>
      </c>
      <c r="V176" s="4">
        <f t="shared" si="37"/>
        <v>0</v>
      </c>
      <c r="W176" s="4">
        <f t="shared" si="37"/>
        <v>0</v>
      </c>
      <c r="X176" s="4">
        <f t="shared" si="37"/>
        <v>0</v>
      </c>
      <c r="Y176" s="4">
        <f t="shared" si="37"/>
        <v>0</v>
      </c>
      <c r="Z176" s="4">
        <f t="shared" si="37"/>
        <v>0</v>
      </c>
      <c r="AA176" s="4">
        <f t="shared" si="37"/>
        <v>0</v>
      </c>
      <c r="AB176" s="4">
        <f t="shared" si="37"/>
        <v>0</v>
      </c>
      <c r="AC176" s="4">
        <f t="shared" si="37"/>
        <v>0</v>
      </c>
      <c r="AD176" s="4">
        <f t="shared" si="37"/>
        <v>0</v>
      </c>
      <c r="AE176" s="4">
        <f t="shared" si="37"/>
        <v>0</v>
      </c>
      <c r="AF176" s="4">
        <f t="shared" si="37"/>
        <v>0</v>
      </c>
      <c r="AG176" s="4">
        <f t="shared" si="37"/>
        <v>0</v>
      </c>
      <c r="AH176" s="4">
        <f t="shared" si="37"/>
        <v>0</v>
      </c>
      <c r="AI176" s="4">
        <f t="shared" si="37"/>
        <v>0</v>
      </c>
      <c r="AJ176" s="4">
        <f t="shared" si="37"/>
        <v>0</v>
      </c>
      <c r="AK176" s="4">
        <f t="shared" si="37"/>
        <v>0</v>
      </c>
      <c r="AL176" s="4">
        <f t="shared" si="37"/>
        <v>0</v>
      </c>
      <c r="AM176" s="4">
        <f t="shared" si="37"/>
        <v>0</v>
      </c>
      <c r="AN176" s="4">
        <f t="shared" si="37"/>
        <v>0</v>
      </c>
      <c r="AO176" s="4">
        <f t="shared" si="37"/>
        <v>0</v>
      </c>
      <c r="AP176" s="4">
        <f t="shared" si="37"/>
        <v>0</v>
      </c>
      <c r="AQ176" s="4">
        <f t="shared" si="37"/>
        <v>0</v>
      </c>
      <c r="AR176" s="4">
        <f t="shared" si="37"/>
        <v>0</v>
      </c>
      <c r="AS176" s="4">
        <f t="shared" si="37"/>
        <v>0</v>
      </c>
      <c r="AT176" s="4">
        <f t="shared" si="37"/>
        <v>0</v>
      </c>
      <c r="AU176" s="4">
        <f t="shared" si="37"/>
        <v>0</v>
      </c>
      <c r="AV176" s="4">
        <f t="shared" si="37"/>
        <v>0</v>
      </c>
      <c r="AW176" s="4">
        <f t="shared" si="37"/>
        <v>0</v>
      </c>
      <c r="AX176" s="4">
        <f t="shared" si="37"/>
        <v>0</v>
      </c>
      <c r="AY176" s="4">
        <f t="shared" si="37"/>
        <v>0</v>
      </c>
      <c r="AZ176" s="4">
        <f t="shared" si="37"/>
        <v>0</v>
      </c>
      <c r="BA176" s="73">
        <f t="shared" si="37"/>
        <v>0</v>
      </c>
    </row>
    <row r="177" spans="1:53" ht="15.75" hidden="1" customHeight="1" outlineLevel="1" x14ac:dyDescent="0.35">
      <c r="A177" s="5"/>
      <c r="B177" s="5"/>
      <c r="C177" s="5" t="s">
        <v>160</v>
      </c>
      <c r="D177" s="5"/>
      <c r="E177" s="5"/>
      <c r="F177" s="5"/>
      <c r="G177" s="5"/>
      <c r="H177" s="5"/>
      <c r="I177" s="5"/>
      <c r="J177" s="5"/>
      <c r="K177" s="5"/>
      <c r="N177" s="1">
        <f t="shared" si="36"/>
        <v>0</v>
      </c>
      <c r="Q177" s="11">
        <f t="shared" ref="Q177:BA177" si="38">SUM(Q178:Q179)</f>
        <v>0</v>
      </c>
      <c r="R177" s="11">
        <f t="shared" si="38"/>
        <v>0</v>
      </c>
      <c r="S177" s="11">
        <f t="shared" si="38"/>
        <v>0</v>
      </c>
      <c r="T177" s="11">
        <f t="shared" si="38"/>
        <v>0</v>
      </c>
      <c r="U177" s="11">
        <f t="shared" si="38"/>
        <v>0</v>
      </c>
      <c r="V177" s="11">
        <f t="shared" si="38"/>
        <v>0</v>
      </c>
      <c r="W177" s="11">
        <f t="shared" si="38"/>
        <v>0</v>
      </c>
      <c r="X177" s="11">
        <f t="shared" si="38"/>
        <v>0</v>
      </c>
      <c r="Y177" s="11">
        <f t="shared" si="38"/>
        <v>0</v>
      </c>
      <c r="Z177" s="11">
        <f t="shared" si="38"/>
        <v>0</v>
      </c>
      <c r="AA177" s="11">
        <f t="shared" si="38"/>
        <v>0</v>
      </c>
      <c r="AB177" s="11">
        <f t="shared" si="38"/>
        <v>0</v>
      </c>
      <c r="AC177" s="11">
        <f t="shared" si="38"/>
        <v>0</v>
      </c>
      <c r="AD177" s="11">
        <f t="shared" si="38"/>
        <v>0</v>
      </c>
      <c r="AE177" s="11">
        <f t="shared" si="38"/>
        <v>0</v>
      </c>
      <c r="AF177" s="11">
        <f t="shared" si="38"/>
        <v>0</v>
      </c>
      <c r="AG177" s="11">
        <f t="shared" si="38"/>
        <v>0</v>
      </c>
      <c r="AH177" s="11">
        <f t="shared" si="38"/>
        <v>0</v>
      </c>
      <c r="AI177" s="11">
        <f t="shared" si="38"/>
        <v>0</v>
      </c>
      <c r="AJ177" s="11">
        <f t="shared" si="38"/>
        <v>0</v>
      </c>
      <c r="AK177" s="11">
        <f t="shared" si="38"/>
        <v>0</v>
      </c>
      <c r="AL177" s="11">
        <f t="shared" si="38"/>
        <v>0</v>
      </c>
      <c r="AM177" s="11">
        <f t="shared" si="38"/>
        <v>0</v>
      </c>
      <c r="AN177" s="11">
        <f t="shared" si="38"/>
        <v>0</v>
      </c>
      <c r="AO177" s="11">
        <f t="shared" si="38"/>
        <v>0</v>
      </c>
      <c r="AP177" s="11">
        <f t="shared" si="38"/>
        <v>0</v>
      </c>
      <c r="AQ177" s="11">
        <f t="shared" si="38"/>
        <v>0</v>
      </c>
      <c r="AR177" s="11">
        <f t="shared" si="38"/>
        <v>0</v>
      </c>
      <c r="AS177" s="11">
        <f t="shared" si="38"/>
        <v>0</v>
      </c>
      <c r="AT177" s="11">
        <f t="shared" si="38"/>
        <v>0</v>
      </c>
      <c r="AU177" s="11">
        <f t="shared" si="38"/>
        <v>0</v>
      </c>
      <c r="AV177" s="11">
        <f t="shared" si="38"/>
        <v>0</v>
      </c>
      <c r="AW177" s="11">
        <f t="shared" si="38"/>
        <v>0</v>
      </c>
      <c r="AX177" s="11">
        <f t="shared" si="38"/>
        <v>0</v>
      </c>
      <c r="AY177" s="11">
        <f t="shared" si="38"/>
        <v>0</v>
      </c>
      <c r="AZ177" s="11">
        <f t="shared" si="38"/>
        <v>0</v>
      </c>
      <c r="BA177" s="75">
        <f t="shared" si="38"/>
        <v>0</v>
      </c>
    </row>
    <row r="178" spans="1:53" ht="15.75" hidden="1" customHeight="1" outlineLevel="1" x14ac:dyDescent="0.35">
      <c r="A178" s="5"/>
      <c r="B178" s="5"/>
      <c r="C178" s="5"/>
      <c r="D178" s="5" t="s">
        <v>6</v>
      </c>
      <c r="E178" s="5"/>
      <c r="F178" s="5"/>
      <c r="G178" s="5"/>
      <c r="H178" s="5"/>
      <c r="I178" s="5"/>
      <c r="J178" s="5"/>
      <c r="K178" s="5"/>
      <c r="N178" s="1">
        <f t="shared" si="36"/>
        <v>0</v>
      </c>
      <c r="Q178" s="11">
        <f>-'Wariant 1'!Q$96</f>
        <v>0</v>
      </c>
      <c r="R178" s="11">
        <f>-'Wariant 1'!R$96</f>
        <v>0</v>
      </c>
      <c r="S178" s="11">
        <f>-'Wariant 1'!S$96</f>
        <v>0</v>
      </c>
      <c r="T178" s="11">
        <f>-'Wariant 1'!T$96</f>
        <v>0</v>
      </c>
      <c r="U178" s="11">
        <f>-'Wariant 1'!U$96</f>
        <v>0</v>
      </c>
      <c r="V178" s="11">
        <f>-'Wariant 1'!V$96</f>
        <v>0</v>
      </c>
      <c r="W178" s="11">
        <f>-'Wariant 1'!W$96</f>
        <v>0</v>
      </c>
      <c r="X178" s="11">
        <f>-'Wariant 1'!X$96</f>
        <v>0</v>
      </c>
      <c r="Y178" s="11">
        <f>-'Wariant 1'!Y$96</f>
        <v>0</v>
      </c>
      <c r="Z178" s="11">
        <f>-'Wariant 1'!Z$96</f>
        <v>0</v>
      </c>
      <c r="AA178" s="11">
        <f>-'Wariant 1'!AA$96</f>
        <v>0</v>
      </c>
      <c r="AB178" s="11">
        <f>-'Wariant 1'!AB$96</f>
        <v>0</v>
      </c>
      <c r="AC178" s="11">
        <f>-'Wariant 1'!AC$96</f>
        <v>0</v>
      </c>
      <c r="AD178" s="11">
        <f>-'Wariant 1'!AD$96</f>
        <v>0</v>
      </c>
      <c r="AE178" s="11">
        <f>-'Wariant 1'!AE$96</f>
        <v>0</v>
      </c>
      <c r="AF178" s="11">
        <f>-'Wariant 1'!AF$96</f>
        <v>0</v>
      </c>
      <c r="AG178" s="11">
        <f>-'Wariant 1'!AG$96</f>
        <v>0</v>
      </c>
      <c r="AH178" s="11">
        <f>-'Wariant 1'!AH$96</f>
        <v>0</v>
      </c>
      <c r="AI178" s="11">
        <f>-'Wariant 1'!AI$96</f>
        <v>0</v>
      </c>
      <c r="AJ178" s="11">
        <f>-'Wariant 1'!AJ$96</f>
        <v>0</v>
      </c>
      <c r="AK178" s="11">
        <f>-'Wariant 1'!AK$96</f>
        <v>0</v>
      </c>
      <c r="AL178" s="11">
        <f>-'Wariant 1'!AL$96</f>
        <v>0</v>
      </c>
      <c r="AM178" s="11">
        <f>-'Wariant 1'!AM$96</f>
        <v>0</v>
      </c>
      <c r="AN178" s="11">
        <f>-'Wariant 1'!AN$96</f>
        <v>0</v>
      </c>
      <c r="AO178" s="11">
        <f>-'Wariant 1'!AO$96</f>
        <v>0</v>
      </c>
      <c r="AP178" s="11">
        <f>-'Wariant 1'!AP$96</f>
        <v>0</v>
      </c>
      <c r="AQ178" s="11">
        <f>-'Wariant 1'!AQ$96</f>
        <v>0</v>
      </c>
      <c r="AR178" s="11">
        <f>-'Wariant 1'!AR$96</f>
        <v>0</v>
      </c>
      <c r="AS178" s="11">
        <f>-'Wariant 1'!AS$96</f>
        <v>0</v>
      </c>
      <c r="AT178" s="11">
        <f>-'Wariant 1'!AT$96</f>
        <v>0</v>
      </c>
      <c r="AU178" s="11">
        <f>-'Wariant 1'!AU$96</f>
        <v>0</v>
      </c>
      <c r="AV178" s="11">
        <f>-'Wariant 1'!AV$96</f>
        <v>0</v>
      </c>
      <c r="AW178" s="11">
        <f>-'Wariant 1'!AW$96</f>
        <v>0</v>
      </c>
      <c r="AX178" s="11">
        <f>-'Wariant 1'!AX$96</f>
        <v>0</v>
      </c>
      <c r="AY178" s="11">
        <f>-'Wariant 1'!AY$96</f>
        <v>0</v>
      </c>
      <c r="AZ178" s="11">
        <f>-'Wariant 1'!AZ$96</f>
        <v>0</v>
      </c>
      <c r="BA178" s="75">
        <f>-'Wariant 1'!BA$96</f>
        <v>0</v>
      </c>
    </row>
    <row r="179" spans="1:53" ht="15.75" hidden="1" customHeight="1" outlineLevel="1" x14ac:dyDescent="0.35">
      <c r="A179" s="5"/>
      <c r="B179" s="5"/>
      <c r="C179" s="5"/>
      <c r="D179" s="5" t="s">
        <v>33</v>
      </c>
      <c r="E179" s="5"/>
      <c r="F179" s="5"/>
      <c r="G179" s="5"/>
      <c r="H179" s="5"/>
      <c r="I179" s="5"/>
      <c r="J179" s="5"/>
      <c r="K179" s="5"/>
      <c r="N179" s="1">
        <f t="shared" si="36"/>
        <v>0</v>
      </c>
      <c r="Q179" s="11">
        <f>-'Wariant 1'!Q$106</f>
        <v>0</v>
      </c>
      <c r="R179" s="11">
        <f>-'Wariant 1'!R$106</f>
        <v>0</v>
      </c>
      <c r="S179" s="11">
        <f>-'Wariant 1'!S$106</f>
        <v>0</v>
      </c>
      <c r="T179" s="11">
        <f>-'Wariant 1'!T$106</f>
        <v>0</v>
      </c>
      <c r="U179" s="11">
        <f>-'Wariant 1'!U$106</f>
        <v>0</v>
      </c>
      <c r="V179" s="11">
        <f>-'Wariant 1'!V$106</f>
        <v>0</v>
      </c>
      <c r="W179" s="11">
        <f>-'Wariant 1'!W$106</f>
        <v>0</v>
      </c>
      <c r="X179" s="11">
        <f>-'Wariant 1'!X$106</f>
        <v>0</v>
      </c>
      <c r="Y179" s="11">
        <f>-'Wariant 1'!Y$106</f>
        <v>0</v>
      </c>
      <c r="Z179" s="11">
        <f>-'Wariant 1'!Z$106</f>
        <v>0</v>
      </c>
      <c r="AA179" s="11">
        <f>-'Wariant 1'!AA$106</f>
        <v>0</v>
      </c>
      <c r="AB179" s="11">
        <f>-'Wariant 1'!AB$106</f>
        <v>0</v>
      </c>
      <c r="AC179" s="11">
        <f>-'Wariant 1'!AC$106</f>
        <v>0</v>
      </c>
      <c r="AD179" s="11">
        <f>-'Wariant 1'!AD$106</f>
        <v>0</v>
      </c>
      <c r="AE179" s="11">
        <f>-'Wariant 1'!AE$106</f>
        <v>0</v>
      </c>
      <c r="AF179" s="11">
        <f>-'Wariant 1'!AF$106</f>
        <v>0</v>
      </c>
      <c r="AG179" s="11">
        <f>-'Wariant 1'!AG$106</f>
        <v>0</v>
      </c>
      <c r="AH179" s="11">
        <f>-'Wariant 1'!AH$106</f>
        <v>0</v>
      </c>
      <c r="AI179" s="11">
        <f>-'Wariant 1'!AI$106</f>
        <v>0</v>
      </c>
      <c r="AJ179" s="11">
        <f>-'Wariant 1'!AJ$106</f>
        <v>0</v>
      </c>
      <c r="AK179" s="11">
        <f>-'Wariant 1'!AK$106</f>
        <v>0</v>
      </c>
      <c r="AL179" s="11">
        <f>-'Wariant 1'!AL$106</f>
        <v>0</v>
      </c>
      <c r="AM179" s="11">
        <f>-'Wariant 1'!AM$106</f>
        <v>0</v>
      </c>
      <c r="AN179" s="11">
        <f>-'Wariant 1'!AN$106</f>
        <v>0</v>
      </c>
      <c r="AO179" s="11">
        <f>-'Wariant 1'!AO$106</f>
        <v>0</v>
      </c>
      <c r="AP179" s="11">
        <f>-'Wariant 1'!AP$106</f>
        <v>0</v>
      </c>
      <c r="AQ179" s="11">
        <f>-'Wariant 1'!AQ$106</f>
        <v>0</v>
      </c>
      <c r="AR179" s="11">
        <f>-'Wariant 1'!AR$106</f>
        <v>0</v>
      </c>
      <c r="AS179" s="11">
        <f>-'Wariant 1'!AS$106</f>
        <v>0</v>
      </c>
      <c r="AT179" s="11">
        <f>-'Wariant 1'!AT$106</f>
        <v>0</v>
      </c>
      <c r="AU179" s="11">
        <f>-'Wariant 1'!AU$106</f>
        <v>0</v>
      </c>
      <c r="AV179" s="11">
        <f>-'Wariant 1'!AV$106</f>
        <v>0</v>
      </c>
      <c r="AW179" s="11">
        <f>-'Wariant 1'!AW$106</f>
        <v>0</v>
      </c>
      <c r="AX179" s="11">
        <f>-'Wariant 1'!AX$106</f>
        <v>0</v>
      </c>
      <c r="AY179" s="11">
        <f>-'Wariant 1'!AY$106</f>
        <v>0</v>
      </c>
      <c r="AZ179" s="11">
        <f>-'Wariant 1'!AZ$106</f>
        <v>0</v>
      </c>
      <c r="BA179" s="75">
        <f>-'Wariant 1'!BA$106</f>
        <v>0</v>
      </c>
    </row>
    <row r="180" spans="1:53" ht="15.75" hidden="1" customHeight="1" outlineLevel="1" x14ac:dyDescent="0.35">
      <c r="A180" s="5"/>
      <c r="B180" s="5"/>
      <c r="C180" s="5" t="s">
        <v>161</v>
      </c>
      <c r="D180" s="5"/>
      <c r="E180" s="5"/>
      <c r="F180" s="5"/>
      <c r="G180" s="5"/>
      <c r="H180" s="5"/>
      <c r="I180" s="5"/>
      <c r="J180" s="5"/>
      <c r="K180" s="5"/>
      <c r="N180" s="1">
        <f t="shared" si="36"/>
        <v>0</v>
      </c>
      <c r="Q180" s="11">
        <f t="shared" ref="Q180:BA180" si="39">SUM(Q181:Q182)</f>
        <v>0</v>
      </c>
      <c r="R180" s="11">
        <f t="shared" si="39"/>
        <v>0</v>
      </c>
      <c r="S180" s="11">
        <f t="shared" si="39"/>
        <v>0</v>
      </c>
      <c r="T180" s="11">
        <f t="shared" si="39"/>
        <v>0</v>
      </c>
      <c r="U180" s="11">
        <f t="shared" si="39"/>
        <v>0</v>
      </c>
      <c r="V180" s="11">
        <f t="shared" si="39"/>
        <v>0</v>
      </c>
      <c r="W180" s="11">
        <f t="shared" si="39"/>
        <v>0</v>
      </c>
      <c r="X180" s="11">
        <f t="shared" si="39"/>
        <v>0</v>
      </c>
      <c r="Y180" s="11">
        <f t="shared" si="39"/>
        <v>0</v>
      </c>
      <c r="Z180" s="11">
        <f t="shared" si="39"/>
        <v>0</v>
      </c>
      <c r="AA180" s="11">
        <f t="shared" si="39"/>
        <v>0</v>
      </c>
      <c r="AB180" s="11">
        <f t="shared" si="39"/>
        <v>0</v>
      </c>
      <c r="AC180" s="11">
        <f t="shared" si="39"/>
        <v>0</v>
      </c>
      <c r="AD180" s="11">
        <f t="shared" si="39"/>
        <v>0</v>
      </c>
      <c r="AE180" s="11">
        <f t="shared" si="39"/>
        <v>0</v>
      </c>
      <c r="AF180" s="11">
        <f t="shared" si="39"/>
        <v>0</v>
      </c>
      <c r="AG180" s="11">
        <f t="shared" si="39"/>
        <v>0</v>
      </c>
      <c r="AH180" s="11">
        <f t="shared" si="39"/>
        <v>0</v>
      </c>
      <c r="AI180" s="11">
        <f t="shared" si="39"/>
        <v>0</v>
      </c>
      <c r="AJ180" s="11">
        <f t="shared" si="39"/>
        <v>0</v>
      </c>
      <c r="AK180" s="11">
        <f t="shared" si="39"/>
        <v>0</v>
      </c>
      <c r="AL180" s="11">
        <f t="shared" si="39"/>
        <v>0</v>
      </c>
      <c r="AM180" s="11">
        <f t="shared" si="39"/>
        <v>0</v>
      </c>
      <c r="AN180" s="11">
        <f t="shared" si="39"/>
        <v>0</v>
      </c>
      <c r="AO180" s="11">
        <f t="shared" si="39"/>
        <v>0</v>
      </c>
      <c r="AP180" s="11">
        <f t="shared" si="39"/>
        <v>0</v>
      </c>
      <c r="AQ180" s="11">
        <f t="shared" si="39"/>
        <v>0</v>
      </c>
      <c r="AR180" s="11">
        <f t="shared" si="39"/>
        <v>0</v>
      </c>
      <c r="AS180" s="11">
        <f t="shared" si="39"/>
        <v>0</v>
      </c>
      <c r="AT180" s="11">
        <f t="shared" si="39"/>
        <v>0</v>
      </c>
      <c r="AU180" s="11">
        <f t="shared" si="39"/>
        <v>0</v>
      </c>
      <c r="AV180" s="11">
        <f t="shared" si="39"/>
        <v>0</v>
      </c>
      <c r="AW180" s="11">
        <f t="shared" si="39"/>
        <v>0</v>
      </c>
      <c r="AX180" s="11">
        <f t="shared" si="39"/>
        <v>0</v>
      </c>
      <c r="AY180" s="11">
        <f t="shared" si="39"/>
        <v>0</v>
      </c>
      <c r="AZ180" s="11">
        <f t="shared" si="39"/>
        <v>0</v>
      </c>
      <c r="BA180" s="75">
        <f t="shared" si="39"/>
        <v>0</v>
      </c>
    </row>
    <row r="181" spans="1:53" ht="15.75" hidden="1" customHeight="1" outlineLevel="1" x14ac:dyDescent="0.35">
      <c r="A181" s="5"/>
      <c r="B181" s="5"/>
      <c r="C181" s="5"/>
      <c r="D181" s="5" t="s">
        <v>147</v>
      </c>
      <c r="E181" s="5"/>
      <c r="F181" s="5"/>
      <c r="G181" s="5"/>
      <c r="H181" s="5"/>
      <c r="I181" s="5"/>
      <c r="J181" s="5"/>
      <c r="K181" s="5"/>
      <c r="N181" s="1">
        <f t="shared" si="36"/>
        <v>0</v>
      </c>
      <c r="Q181" s="1">
        <f>-'Wariant 1'!Q$99</f>
        <v>0</v>
      </c>
      <c r="R181" s="1">
        <f>-'Wariant 1'!R$99</f>
        <v>0</v>
      </c>
      <c r="S181" s="1">
        <f>-'Wariant 1'!S$99</f>
        <v>0</v>
      </c>
      <c r="T181" s="1">
        <f>-'Wariant 1'!T$99</f>
        <v>0</v>
      </c>
      <c r="U181" s="1">
        <f>-'Wariant 1'!U$99</f>
        <v>0</v>
      </c>
      <c r="V181" s="1">
        <f>-'Wariant 1'!V$99</f>
        <v>0</v>
      </c>
      <c r="W181" s="1">
        <f>-'Wariant 1'!W$99</f>
        <v>0</v>
      </c>
      <c r="X181" s="1">
        <f>-'Wariant 1'!X$99</f>
        <v>0</v>
      </c>
      <c r="Y181" s="1">
        <f>-'Wariant 1'!Y$99</f>
        <v>0</v>
      </c>
      <c r="Z181" s="1">
        <f>-'Wariant 1'!Z$99</f>
        <v>0</v>
      </c>
      <c r="AA181" s="1">
        <f>-'Wariant 1'!AA$99</f>
        <v>0</v>
      </c>
      <c r="AB181" s="1">
        <f>-'Wariant 1'!AB$99</f>
        <v>0</v>
      </c>
      <c r="AC181" s="1">
        <f>-'Wariant 1'!AC$99</f>
        <v>0</v>
      </c>
      <c r="AD181" s="1">
        <f>-'Wariant 1'!AD$99</f>
        <v>0</v>
      </c>
      <c r="AE181" s="1">
        <f>-'Wariant 1'!AE$99</f>
        <v>0</v>
      </c>
      <c r="AF181" s="1">
        <f>-'Wariant 1'!AF$99</f>
        <v>0</v>
      </c>
      <c r="AG181" s="1">
        <f>-'Wariant 1'!AG$99</f>
        <v>0</v>
      </c>
      <c r="AH181" s="1">
        <f>-'Wariant 1'!AH$99</f>
        <v>0</v>
      </c>
      <c r="AI181" s="1">
        <f>-'Wariant 1'!AI$99</f>
        <v>0</v>
      </c>
      <c r="AJ181" s="1">
        <f>-'Wariant 1'!AJ$99</f>
        <v>0</v>
      </c>
      <c r="AK181" s="1">
        <f>-'Wariant 1'!AK$99</f>
        <v>0</v>
      </c>
      <c r="AL181" s="1">
        <f>-'Wariant 1'!AL$99</f>
        <v>0</v>
      </c>
      <c r="AM181" s="1">
        <f>-'Wariant 1'!AM$99</f>
        <v>0</v>
      </c>
      <c r="AN181" s="1">
        <f>-'Wariant 1'!AN$99</f>
        <v>0</v>
      </c>
      <c r="AO181" s="1">
        <f>-'Wariant 1'!AO$99</f>
        <v>0</v>
      </c>
      <c r="AP181" s="1">
        <f>-'Wariant 1'!AP$99</f>
        <v>0</v>
      </c>
      <c r="AQ181" s="1">
        <f>-'Wariant 1'!AQ$99</f>
        <v>0</v>
      </c>
      <c r="AR181" s="1">
        <f>-'Wariant 1'!AR$99</f>
        <v>0</v>
      </c>
      <c r="AS181" s="1">
        <f>-'Wariant 1'!AS$99</f>
        <v>0</v>
      </c>
      <c r="AT181" s="1">
        <f>-'Wariant 1'!AT$99</f>
        <v>0</v>
      </c>
      <c r="AU181" s="1">
        <f>-'Wariant 1'!AU$99</f>
        <v>0</v>
      </c>
      <c r="AV181" s="1">
        <f>-'Wariant 1'!AV$99</f>
        <v>0</v>
      </c>
      <c r="AW181" s="1">
        <f>-'Wariant 1'!AW$99</f>
        <v>0</v>
      </c>
      <c r="AX181" s="1">
        <f>-'Wariant 1'!AX$99</f>
        <v>0</v>
      </c>
      <c r="AY181" s="1">
        <f>-'Wariant 1'!AY$99</f>
        <v>0</v>
      </c>
      <c r="AZ181" s="1">
        <f>-'Wariant 1'!AZ$99</f>
        <v>0</v>
      </c>
      <c r="BA181" s="74">
        <f>-'Wariant 1'!BA$99</f>
        <v>0</v>
      </c>
    </row>
    <row r="182" spans="1:53" ht="15.75" hidden="1" customHeight="1" outlineLevel="1" x14ac:dyDescent="0.35">
      <c r="A182" s="5"/>
      <c r="B182" s="5"/>
      <c r="C182" s="5"/>
      <c r="D182" s="5" t="s">
        <v>52</v>
      </c>
      <c r="E182" s="5"/>
      <c r="F182" s="5"/>
      <c r="G182" s="5"/>
      <c r="H182" s="5"/>
      <c r="I182" s="5"/>
      <c r="J182" s="5"/>
      <c r="K182" s="5"/>
      <c r="N182" s="1">
        <f t="shared" si="36"/>
        <v>0</v>
      </c>
      <c r="Q182" s="1">
        <f>-'Wariant 1'!Q$100</f>
        <v>0</v>
      </c>
      <c r="R182" s="1">
        <f>-'Wariant 1'!R$100</f>
        <v>0</v>
      </c>
      <c r="S182" s="1">
        <f>-'Wariant 1'!S$100</f>
        <v>0</v>
      </c>
      <c r="T182" s="1">
        <f>-'Wariant 1'!T$100</f>
        <v>0</v>
      </c>
      <c r="U182" s="1">
        <f>-'Wariant 1'!U$100</f>
        <v>0</v>
      </c>
      <c r="V182" s="1">
        <f>-'Wariant 1'!V$100</f>
        <v>0</v>
      </c>
      <c r="W182" s="1">
        <f>-'Wariant 1'!W$100</f>
        <v>0</v>
      </c>
      <c r="X182" s="1">
        <f>-'Wariant 1'!X$100</f>
        <v>0</v>
      </c>
      <c r="Y182" s="1">
        <f>-'Wariant 1'!Y$100</f>
        <v>0</v>
      </c>
      <c r="Z182" s="1">
        <f>-'Wariant 1'!Z$100</f>
        <v>0</v>
      </c>
      <c r="AA182" s="1">
        <f>-'Wariant 1'!AA$100</f>
        <v>0</v>
      </c>
      <c r="AB182" s="1">
        <f>-'Wariant 1'!AB$100</f>
        <v>0</v>
      </c>
      <c r="AC182" s="1">
        <f>-'Wariant 1'!AC$100</f>
        <v>0</v>
      </c>
      <c r="AD182" s="1">
        <f>-'Wariant 1'!AD$100</f>
        <v>0</v>
      </c>
      <c r="AE182" s="1">
        <f>-'Wariant 1'!AE$100</f>
        <v>0</v>
      </c>
      <c r="AF182" s="1">
        <f>-'Wariant 1'!AF$100</f>
        <v>0</v>
      </c>
      <c r="AG182" s="1">
        <f>-'Wariant 1'!AG$100</f>
        <v>0</v>
      </c>
      <c r="AH182" s="1">
        <f>-'Wariant 1'!AH$100</f>
        <v>0</v>
      </c>
      <c r="AI182" s="1">
        <f>-'Wariant 1'!AI$100</f>
        <v>0</v>
      </c>
      <c r="AJ182" s="1">
        <f>-'Wariant 1'!AJ$100</f>
        <v>0</v>
      </c>
      <c r="AK182" s="1">
        <f>-'Wariant 1'!AK$100</f>
        <v>0</v>
      </c>
      <c r="AL182" s="1">
        <f>-'Wariant 1'!AL$100</f>
        <v>0</v>
      </c>
      <c r="AM182" s="1">
        <f>-'Wariant 1'!AM$100</f>
        <v>0</v>
      </c>
      <c r="AN182" s="1">
        <f>-'Wariant 1'!AN$100</f>
        <v>0</v>
      </c>
      <c r="AO182" s="1">
        <f>-'Wariant 1'!AO$100</f>
        <v>0</v>
      </c>
      <c r="AP182" s="1">
        <f>-'Wariant 1'!AP$100</f>
        <v>0</v>
      </c>
      <c r="AQ182" s="1">
        <f>-'Wariant 1'!AQ$100</f>
        <v>0</v>
      </c>
      <c r="AR182" s="1">
        <f>-'Wariant 1'!AR$100</f>
        <v>0</v>
      </c>
      <c r="AS182" s="1">
        <f>-'Wariant 1'!AS$100</f>
        <v>0</v>
      </c>
      <c r="AT182" s="1">
        <f>-'Wariant 1'!AT$100</f>
        <v>0</v>
      </c>
      <c r="AU182" s="1">
        <f>-'Wariant 1'!AU$100</f>
        <v>0</v>
      </c>
      <c r="AV182" s="1">
        <f>-'Wariant 1'!AV$100</f>
        <v>0</v>
      </c>
      <c r="AW182" s="1">
        <f>-'Wariant 1'!AW$100</f>
        <v>0</v>
      </c>
      <c r="AX182" s="1">
        <f>-'Wariant 1'!AX$100</f>
        <v>0</v>
      </c>
      <c r="AY182" s="1">
        <f>-'Wariant 1'!AY$100</f>
        <v>0</v>
      </c>
      <c r="AZ182" s="1">
        <f>-'Wariant 1'!AZ$100</f>
        <v>0</v>
      </c>
      <c r="BA182" s="74">
        <f>-'Wariant 1'!BA$100</f>
        <v>0</v>
      </c>
    </row>
    <row r="183" spans="1:53" ht="14.5" hidden="1" outlineLevel="1" x14ac:dyDescent="0.35"/>
    <row r="184" spans="1:53" ht="14.5" hidden="1" outlineLevel="1" x14ac:dyDescent="0.35">
      <c r="A184" s="7"/>
      <c r="B184" s="7" t="s">
        <v>49</v>
      </c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>
        <f>SUM(Q184:BA184)</f>
        <v>0</v>
      </c>
      <c r="O184" s="7"/>
      <c r="P184" s="7"/>
      <c r="Q184" s="7">
        <f>Q162+'Wariant 1'!Q$88</f>
        <v>0</v>
      </c>
      <c r="R184" s="7">
        <f>R162+'Wariant 1'!R$88</f>
        <v>0</v>
      </c>
      <c r="S184" s="7">
        <f>S162+'Wariant 1'!S$88</f>
        <v>0</v>
      </c>
      <c r="T184" s="7">
        <f>T162+'Wariant 1'!T$88</f>
        <v>0</v>
      </c>
      <c r="U184" s="7">
        <f>U162+'Wariant 1'!U$88</f>
        <v>0</v>
      </c>
      <c r="V184" s="7">
        <f>V162+'Wariant 1'!V$88</f>
        <v>0</v>
      </c>
      <c r="W184" s="7">
        <f>W162+'Wariant 1'!W$88</f>
        <v>0</v>
      </c>
      <c r="X184" s="7">
        <f>X162+'Wariant 1'!X$88</f>
        <v>0</v>
      </c>
      <c r="Y184" s="7">
        <f>Y162+'Wariant 1'!Y$88</f>
        <v>0</v>
      </c>
      <c r="Z184" s="7">
        <f>Z162+'Wariant 1'!Z$88</f>
        <v>0</v>
      </c>
      <c r="AA184" s="7">
        <f>AA162+'Wariant 1'!AA$88</f>
        <v>0</v>
      </c>
      <c r="AB184" s="7">
        <f>AB162+'Wariant 1'!AB$88</f>
        <v>0</v>
      </c>
      <c r="AC184" s="7">
        <f>AC162+'Wariant 1'!AC$88</f>
        <v>0</v>
      </c>
      <c r="AD184" s="7">
        <f>AD162+'Wariant 1'!AD$88</f>
        <v>0</v>
      </c>
      <c r="AE184" s="7">
        <f>AE162+'Wariant 1'!AE$88</f>
        <v>0</v>
      </c>
      <c r="AF184" s="7">
        <f>AF162+'Wariant 1'!AF$88</f>
        <v>0</v>
      </c>
      <c r="AG184" s="7">
        <f>AG162+'Wariant 1'!AG$88</f>
        <v>0</v>
      </c>
      <c r="AH184" s="7">
        <f>AH162+'Wariant 1'!AH$88</f>
        <v>0</v>
      </c>
      <c r="AI184" s="7">
        <f>AI162+'Wariant 1'!AI$88</f>
        <v>0</v>
      </c>
      <c r="AJ184" s="7">
        <f>AJ162+'Wariant 1'!AJ$88</f>
        <v>0</v>
      </c>
      <c r="AK184" s="7">
        <f>AK162+'Wariant 1'!AK$88</f>
        <v>0</v>
      </c>
      <c r="AL184" s="7">
        <f>AL162+'Wariant 1'!AL$88</f>
        <v>0</v>
      </c>
      <c r="AM184" s="7">
        <f>AM162+'Wariant 1'!AM$88</f>
        <v>0</v>
      </c>
      <c r="AN184" s="7">
        <f>AN162+'Wariant 1'!AN$88</f>
        <v>0</v>
      </c>
      <c r="AO184" s="7">
        <f>AO162+'Wariant 1'!AO$88</f>
        <v>0</v>
      </c>
      <c r="AP184" s="7">
        <f>AP162+'Wariant 1'!AP$88</f>
        <v>0</v>
      </c>
      <c r="AQ184" s="7">
        <f>AQ162+'Wariant 1'!AQ$88</f>
        <v>0</v>
      </c>
      <c r="AR184" s="7">
        <f>AR162+'Wariant 1'!AR$88</f>
        <v>0</v>
      </c>
      <c r="AS184" s="7">
        <f>AS162+'Wariant 1'!AS$88</f>
        <v>0</v>
      </c>
      <c r="AT184" s="7">
        <f>AT162+'Wariant 1'!AT$88</f>
        <v>0</v>
      </c>
      <c r="AU184" s="7">
        <f>AU162+'Wariant 1'!AU$88</f>
        <v>0</v>
      </c>
      <c r="AV184" s="7">
        <f>AV162+'Wariant 1'!AV$88</f>
        <v>0</v>
      </c>
      <c r="AW184" s="7">
        <f>AW162+'Wariant 1'!AW$88</f>
        <v>0</v>
      </c>
      <c r="AX184" s="7">
        <f>AX162+'Wariant 1'!AX$88</f>
        <v>0</v>
      </c>
      <c r="AY184" s="7">
        <f>AY162+'Wariant 1'!AY$88</f>
        <v>0</v>
      </c>
      <c r="AZ184" s="7">
        <f>AZ162+'Wariant 1'!AZ$88</f>
        <v>0</v>
      </c>
      <c r="BA184" s="7">
        <f>BA162+'Wariant 1'!BA$88</f>
        <v>0</v>
      </c>
    </row>
    <row r="185" spans="1:53" ht="14.5" hidden="1" outlineLevel="1" x14ac:dyDescent="0.35"/>
    <row r="186" spans="1:53" ht="15.75" hidden="1" customHeight="1" outlineLevel="1" x14ac:dyDescent="0.35">
      <c r="A186" s="59" t="s">
        <v>134</v>
      </c>
      <c r="B186" s="59" t="s">
        <v>137</v>
      </c>
      <c r="C186" s="59"/>
      <c r="D186" s="59"/>
      <c r="E186" s="59"/>
      <c r="F186" s="59"/>
      <c r="G186" s="59"/>
      <c r="H186" s="59"/>
      <c r="I186" s="59"/>
      <c r="J186" s="59"/>
      <c r="K186" s="59"/>
      <c r="L186" s="59"/>
      <c r="M186" s="59"/>
      <c r="N186" s="59">
        <f>SUM(Q186:BA186)</f>
        <v>0</v>
      </c>
      <c r="O186" s="59"/>
      <c r="P186" s="59"/>
      <c r="Q186" s="59">
        <f t="shared" ref="Q186:BA186" si="40">SUM(Q188:Q193)</f>
        <v>0</v>
      </c>
      <c r="R186" s="59">
        <f t="shared" si="40"/>
        <v>0</v>
      </c>
      <c r="S186" s="59">
        <f t="shared" si="40"/>
        <v>0</v>
      </c>
      <c r="T186" s="59">
        <f t="shared" si="40"/>
        <v>0</v>
      </c>
      <c r="U186" s="59">
        <f t="shared" si="40"/>
        <v>0</v>
      </c>
      <c r="V186" s="59">
        <f t="shared" si="40"/>
        <v>0</v>
      </c>
      <c r="W186" s="59">
        <f t="shared" si="40"/>
        <v>0</v>
      </c>
      <c r="X186" s="59">
        <f t="shared" si="40"/>
        <v>0</v>
      </c>
      <c r="Y186" s="59">
        <f t="shared" si="40"/>
        <v>0</v>
      </c>
      <c r="Z186" s="59">
        <f t="shared" si="40"/>
        <v>0</v>
      </c>
      <c r="AA186" s="59">
        <f t="shared" si="40"/>
        <v>0</v>
      </c>
      <c r="AB186" s="59">
        <f t="shared" si="40"/>
        <v>0</v>
      </c>
      <c r="AC186" s="59">
        <f t="shared" si="40"/>
        <v>0</v>
      </c>
      <c r="AD186" s="59">
        <f t="shared" si="40"/>
        <v>0</v>
      </c>
      <c r="AE186" s="59">
        <f t="shared" si="40"/>
        <v>0</v>
      </c>
      <c r="AF186" s="59">
        <f t="shared" si="40"/>
        <v>0</v>
      </c>
      <c r="AG186" s="59">
        <f t="shared" si="40"/>
        <v>0</v>
      </c>
      <c r="AH186" s="59">
        <f t="shared" si="40"/>
        <v>0</v>
      </c>
      <c r="AI186" s="59">
        <f t="shared" si="40"/>
        <v>0</v>
      </c>
      <c r="AJ186" s="59">
        <f t="shared" si="40"/>
        <v>0</v>
      </c>
      <c r="AK186" s="59">
        <f t="shared" si="40"/>
        <v>0</v>
      </c>
      <c r="AL186" s="59">
        <f t="shared" si="40"/>
        <v>0</v>
      </c>
      <c r="AM186" s="59">
        <f t="shared" si="40"/>
        <v>0</v>
      </c>
      <c r="AN186" s="59">
        <f t="shared" si="40"/>
        <v>0</v>
      </c>
      <c r="AO186" s="59">
        <f t="shared" si="40"/>
        <v>0</v>
      </c>
      <c r="AP186" s="59">
        <f t="shared" si="40"/>
        <v>0</v>
      </c>
      <c r="AQ186" s="59">
        <f t="shared" si="40"/>
        <v>0</v>
      </c>
      <c r="AR186" s="59">
        <f t="shared" si="40"/>
        <v>0</v>
      </c>
      <c r="AS186" s="59">
        <f t="shared" si="40"/>
        <v>0</v>
      </c>
      <c r="AT186" s="59">
        <f t="shared" si="40"/>
        <v>0</v>
      </c>
      <c r="AU186" s="59">
        <f t="shared" si="40"/>
        <v>0</v>
      </c>
      <c r="AV186" s="59">
        <f t="shared" si="40"/>
        <v>0</v>
      </c>
      <c r="AW186" s="59">
        <f t="shared" si="40"/>
        <v>0</v>
      </c>
      <c r="AX186" s="59">
        <f t="shared" si="40"/>
        <v>0</v>
      </c>
      <c r="AY186" s="59">
        <f t="shared" si="40"/>
        <v>0</v>
      </c>
      <c r="AZ186" s="59">
        <f t="shared" si="40"/>
        <v>0</v>
      </c>
      <c r="BA186" s="59">
        <f t="shared" si="40"/>
        <v>0</v>
      </c>
    </row>
    <row r="187" spans="1:53" ht="14.5" hidden="1" outlineLevel="1" x14ac:dyDescent="0.35"/>
    <row r="188" spans="1:53" ht="15.75" hidden="1" customHeight="1" outlineLevel="1" x14ac:dyDescent="0.35">
      <c r="A188" s="5"/>
      <c r="B188" s="5"/>
      <c r="C188" s="5" t="s">
        <v>136</v>
      </c>
      <c r="E188" s="5"/>
      <c r="F188" s="5"/>
      <c r="G188" s="5"/>
      <c r="H188" s="5"/>
      <c r="I188" s="5"/>
      <c r="J188" s="5"/>
      <c r="K188" s="5"/>
      <c r="N188" s="1">
        <f t="shared" ref="N188:N193" si="41">SUM(Q188:BA188)</f>
        <v>0</v>
      </c>
      <c r="Q188" s="1">
        <f t="shared" ref="Q188:BA188" si="42">Q162</f>
        <v>0</v>
      </c>
      <c r="R188" s="1">
        <f t="shared" si="42"/>
        <v>0</v>
      </c>
      <c r="S188" s="1">
        <f t="shared" si="42"/>
        <v>0</v>
      </c>
      <c r="T188" s="1">
        <f t="shared" si="42"/>
        <v>0</v>
      </c>
      <c r="U188" s="1">
        <f t="shared" si="42"/>
        <v>0</v>
      </c>
      <c r="V188" s="1">
        <f t="shared" si="42"/>
        <v>0</v>
      </c>
      <c r="W188" s="1">
        <f t="shared" si="42"/>
        <v>0</v>
      </c>
      <c r="X188" s="1">
        <f t="shared" si="42"/>
        <v>0</v>
      </c>
      <c r="Y188" s="1">
        <f t="shared" si="42"/>
        <v>0</v>
      </c>
      <c r="Z188" s="1">
        <f t="shared" si="42"/>
        <v>0</v>
      </c>
      <c r="AA188" s="1">
        <f t="shared" si="42"/>
        <v>0</v>
      </c>
      <c r="AB188" s="1">
        <f t="shared" si="42"/>
        <v>0</v>
      </c>
      <c r="AC188" s="1">
        <f t="shared" si="42"/>
        <v>0</v>
      </c>
      <c r="AD188" s="1">
        <f t="shared" si="42"/>
        <v>0</v>
      </c>
      <c r="AE188" s="1">
        <f t="shared" si="42"/>
        <v>0</v>
      </c>
      <c r="AF188" s="1">
        <f t="shared" si="42"/>
        <v>0</v>
      </c>
      <c r="AG188" s="1">
        <f t="shared" si="42"/>
        <v>0</v>
      </c>
      <c r="AH188" s="1">
        <f t="shared" si="42"/>
        <v>0</v>
      </c>
      <c r="AI188" s="1">
        <f t="shared" si="42"/>
        <v>0</v>
      </c>
      <c r="AJ188" s="1">
        <f t="shared" si="42"/>
        <v>0</v>
      </c>
      <c r="AK188" s="1">
        <f t="shared" si="42"/>
        <v>0</v>
      </c>
      <c r="AL188" s="1">
        <f t="shared" si="42"/>
        <v>0</v>
      </c>
      <c r="AM188" s="1">
        <f t="shared" si="42"/>
        <v>0</v>
      </c>
      <c r="AN188" s="1">
        <f t="shared" si="42"/>
        <v>0</v>
      </c>
      <c r="AO188" s="1">
        <f t="shared" si="42"/>
        <v>0</v>
      </c>
      <c r="AP188" s="1">
        <f t="shared" si="42"/>
        <v>0</v>
      </c>
      <c r="AQ188" s="1">
        <f t="shared" si="42"/>
        <v>0</v>
      </c>
      <c r="AR188" s="1">
        <f t="shared" si="42"/>
        <v>0</v>
      </c>
      <c r="AS188" s="1">
        <f t="shared" si="42"/>
        <v>0</v>
      </c>
      <c r="AT188" s="1">
        <f t="shared" si="42"/>
        <v>0</v>
      </c>
      <c r="AU188" s="1">
        <f t="shared" si="42"/>
        <v>0</v>
      </c>
      <c r="AV188" s="1">
        <f t="shared" si="42"/>
        <v>0</v>
      </c>
      <c r="AW188" s="1">
        <f t="shared" si="42"/>
        <v>0</v>
      </c>
      <c r="AX188" s="1">
        <f t="shared" si="42"/>
        <v>0</v>
      </c>
      <c r="AY188" s="1">
        <f t="shared" si="42"/>
        <v>0</v>
      </c>
      <c r="AZ188" s="1">
        <f t="shared" si="42"/>
        <v>0</v>
      </c>
      <c r="BA188" s="74">
        <f t="shared" si="42"/>
        <v>0</v>
      </c>
    </row>
    <row r="189" spans="1:53" ht="15.75" hidden="1" customHeight="1" outlineLevel="1" x14ac:dyDescent="0.35">
      <c r="A189" s="5"/>
      <c r="B189" s="5"/>
      <c r="C189" s="5" t="s">
        <v>101</v>
      </c>
      <c r="E189" s="5"/>
      <c r="F189" s="5"/>
      <c r="G189" s="5"/>
      <c r="H189" s="5"/>
      <c r="I189" s="5"/>
      <c r="J189" s="5"/>
      <c r="K189" s="5"/>
      <c r="N189" s="1">
        <f t="shared" si="41"/>
        <v>0</v>
      </c>
      <c r="Q189" s="1">
        <f>Założenia!$K$167*OEp.w1</f>
        <v>0</v>
      </c>
      <c r="R189" s="1">
        <f>Założenia!$K$167*OEp.w1</f>
        <v>0</v>
      </c>
      <c r="S189" s="1">
        <f>Założenia!$K$167*OEp.w1</f>
        <v>0</v>
      </c>
      <c r="T189" s="1">
        <f>Założenia!$K$167*OEp.w1</f>
        <v>0</v>
      </c>
      <c r="U189" s="1">
        <f>Założenia!$K$167*OEp.w1</f>
        <v>0</v>
      </c>
      <c r="V189" s="1">
        <f>Założenia!$K$167*OEp.w1</f>
        <v>0</v>
      </c>
      <c r="W189" s="1">
        <f>Założenia!$K$167*OEp.w1</f>
        <v>0</v>
      </c>
      <c r="X189" s="1">
        <f>Założenia!$K$167*OEp.w1</f>
        <v>0</v>
      </c>
      <c r="Y189" s="1">
        <f>Założenia!$K$167*OEp.w1</f>
        <v>0</v>
      </c>
      <c r="Z189" s="1">
        <f>Założenia!$K$167*OEp.w1</f>
        <v>0</v>
      </c>
      <c r="AA189" s="1">
        <f>Założenia!$K$167*OEp.w1</f>
        <v>0</v>
      </c>
      <c r="AB189" s="1">
        <f>Założenia!$K$167*OEp.w1</f>
        <v>0</v>
      </c>
      <c r="AC189" s="1">
        <f>Założenia!$K$167*OEp.w1</f>
        <v>0</v>
      </c>
      <c r="AD189" s="1">
        <f>Założenia!$K$167*OEp.w1</f>
        <v>0</v>
      </c>
      <c r="AE189" s="1">
        <f>Założenia!$K$167*OEp.w1</f>
        <v>0</v>
      </c>
      <c r="AF189" s="1">
        <f>Założenia!$K$167*OEp.w1</f>
        <v>0</v>
      </c>
      <c r="AG189" s="1">
        <f>Założenia!$K$167*OEp.w1</f>
        <v>0</v>
      </c>
      <c r="AH189" s="1">
        <f>Założenia!$K$167*OEp.w1</f>
        <v>0</v>
      </c>
      <c r="AI189" s="1">
        <f>Założenia!$K$167*OEp.w1</f>
        <v>0</v>
      </c>
      <c r="AJ189" s="1">
        <f>Założenia!$K$167*OEp.w1</f>
        <v>0</v>
      </c>
      <c r="AK189" s="1">
        <f>Założenia!$K$167*OEp.w1</f>
        <v>0</v>
      </c>
      <c r="AL189" s="1">
        <f>Założenia!$K$167*OEp.w1</f>
        <v>0</v>
      </c>
      <c r="AM189" s="1">
        <f>Założenia!$K$167*OEp.w1</f>
        <v>0</v>
      </c>
      <c r="AN189" s="1">
        <f>Założenia!$K$167*OEp.w1</f>
        <v>0</v>
      </c>
      <c r="AO189" s="1">
        <f>Założenia!$K$167*OEp.w1</f>
        <v>0</v>
      </c>
      <c r="AP189" s="1">
        <f>Założenia!$K$167*OEp.w1</f>
        <v>0</v>
      </c>
      <c r="AQ189" s="1">
        <f>Założenia!$K$167*OEp.w1</f>
        <v>0</v>
      </c>
      <c r="AR189" s="1">
        <f>Założenia!$K$167*OEp.w1</f>
        <v>0</v>
      </c>
      <c r="AS189" s="1">
        <f>Założenia!$K$167*OEp.w1</f>
        <v>0</v>
      </c>
      <c r="AT189" s="1">
        <f>Założenia!$K$167*OEp.w1</f>
        <v>0</v>
      </c>
      <c r="AU189" s="1">
        <f>Założenia!$K$167*OEp.w1</f>
        <v>0</v>
      </c>
      <c r="AV189" s="1">
        <f>Założenia!$K$167*OEp.w1</f>
        <v>0</v>
      </c>
      <c r="AW189" s="1">
        <f>Założenia!$K$167*OEp.w1</f>
        <v>0</v>
      </c>
      <c r="AX189" s="1">
        <f>Założenia!$K$167*OEp.w1</f>
        <v>0</v>
      </c>
      <c r="AY189" s="1">
        <f>Założenia!$K$167*OEp.w1</f>
        <v>0</v>
      </c>
      <c r="AZ189" s="1">
        <f>Założenia!$K$167*OEp.w1</f>
        <v>0</v>
      </c>
      <c r="BA189" s="74">
        <f>Założenia!$K$167*OEp.w1</f>
        <v>0</v>
      </c>
    </row>
    <row r="190" spans="1:53" ht="15.75" hidden="1" customHeight="1" outlineLevel="1" x14ac:dyDescent="0.35">
      <c r="A190" s="5"/>
      <c r="B190" s="5"/>
      <c r="C190" s="5" t="s">
        <v>102</v>
      </c>
      <c r="E190" s="5"/>
      <c r="F190" s="5"/>
      <c r="G190" s="5"/>
      <c r="H190" s="5"/>
      <c r="I190" s="5"/>
      <c r="J190" s="5"/>
      <c r="K190" s="5"/>
      <c r="N190" s="1">
        <f t="shared" si="41"/>
        <v>0</v>
      </c>
      <c r="Q190" s="1">
        <f>Założenia!$K$168*OEp.w1</f>
        <v>0</v>
      </c>
      <c r="R190" s="1">
        <f>Założenia!$K$168*OEp.w1</f>
        <v>0</v>
      </c>
      <c r="S190" s="1">
        <f>Założenia!$K$168*OEp.w1</f>
        <v>0</v>
      </c>
      <c r="T190" s="1">
        <f>Założenia!$K$168*OEp.w1</f>
        <v>0</v>
      </c>
      <c r="U190" s="1">
        <f>Założenia!$K$168*OEp.w1</f>
        <v>0</v>
      </c>
      <c r="V190" s="1">
        <f>Założenia!$K$168*OEp.w1</f>
        <v>0</v>
      </c>
      <c r="W190" s="1">
        <f>Założenia!$K$168*OEp.w1</f>
        <v>0</v>
      </c>
      <c r="X190" s="1">
        <f>Założenia!$K$168*OEp.w1</f>
        <v>0</v>
      </c>
      <c r="Y190" s="1">
        <f>Założenia!$K$168*OEp.w1</f>
        <v>0</v>
      </c>
      <c r="Z190" s="1">
        <f>Założenia!$K$168*OEp.w1</f>
        <v>0</v>
      </c>
      <c r="AA190" s="1">
        <f>Założenia!$K$168*OEp.w1</f>
        <v>0</v>
      </c>
      <c r="AB190" s="1">
        <f>Założenia!$K$168*OEp.w1</f>
        <v>0</v>
      </c>
      <c r="AC190" s="1">
        <f>Założenia!$K$168*OEp.w1</f>
        <v>0</v>
      </c>
      <c r="AD190" s="1">
        <f>Założenia!$K$168*OEp.w1</f>
        <v>0</v>
      </c>
      <c r="AE190" s="1">
        <f>Założenia!$K$168*OEp.w1</f>
        <v>0</v>
      </c>
      <c r="AF190" s="1">
        <f>Założenia!$K$168*OEp.w1</f>
        <v>0</v>
      </c>
      <c r="AG190" s="1">
        <f>Założenia!$K$168*OEp.w1</f>
        <v>0</v>
      </c>
      <c r="AH190" s="1">
        <f>Założenia!$K$168*OEp.w1</f>
        <v>0</v>
      </c>
      <c r="AI190" s="1">
        <f>Założenia!$K$168*OEp.w1</f>
        <v>0</v>
      </c>
      <c r="AJ190" s="1">
        <f>Założenia!$K$168*OEp.w1</f>
        <v>0</v>
      </c>
      <c r="AK190" s="1">
        <f>Założenia!$K$168*OEp.w1</f>
        <v>0</v>
      </c>
      <c r="AL190" s="1">
        <f>Założenia!$K$168*OEp.w1</f>
        <v>0</v>
      </c>
      <c r="AM190" s="1">
        <f>Założenia!$K$168*OEp.w1</f>
        <v>0</v>
      </c>
      <c r="AN190" s="1">
        <f>Założenia!$K$168*OEp.w1</f>
        <v>0</v>
      </c>
      <c r="AO190" s="1">
        <f>Założenia!$K$168*OEp.w1</f>
        <v>0</v>
      </c>
      <c r="AP190" s="1">
        <f>Założenia!$K$168*OEp.w1</f>
        <v>0</v>
      </c>
      <c r="AQ190" s="1">
        <f>Założenia!$K$168*OEp.w1</f>
        <v>0</v>
      </c>
      <c r="AR190" s="1">
        <f>Założenia!$K$168*OEp.w1</f>
        <v>0</v>
      </c>
      <c r="AS190" s="1">
        <f>Założenia!$K$168*OEp.w1</f>
        <v>0</v>
      </c>
      <c r="AT190" s="1">
        <f>Założenia!$K$168*OEp.w1</f>
        <v>0</v>
      </c>
      <c r="AU190" s="1">
        <f>Założenia!$K$168*OEp.w1</f>
        <v>0</v>
      </c>
      <c r="AV190" s="1">
        <f>Założenia!$K$168*OEp.w1</f>
        <v>0</v>
      </c>
      <c r="AW190" s="1">
        <f>Założenia!$K$168*OEp.w1</f>
        <v>0</v>
      </c>
      <c r="AX190" s="1">
        <f>Założenia!$K$168*OEp.w1</f>
        <v>0</v>
      </c>
      <c r="AY190" s="1">
        <f>Założenia!$K$168*OEp.w1</f>
        <v>0</v>
      </c>
      <c r="AZ190" s="1">
        <f>Założenia!$K$168*OEp.w1</f>
        <v>0</v>
      </c>
      <c r="BA190" s="74">
        <f>Założenia!$K$168*OEp.w1</f>
        <v>0</v>
      </c>
    </row>
    <row r="191" spans="1:53" ht="15.75" hidden="1" customHeight="1" outlineLevel="1" x14ac:dyDescent="0.35">
      <c r="A191" s="5"/>
      <c r="B191" s="5"/>
      <c r="C191" s="5" t="s">
        <v>135</v>
      </c>
      <c r="E191" s="5"/>
      <c r="F191" s="5"/>
      <c r="G191" s="5"/>
      <c r="H191" s="5"/>
      <c r="I191" s="5"/>
      <c r="J191" s="5"/>
      <c r="K191" s="5"/>
      <c r="N191" s="1">
        <f t="shared" si="41"/>
        <v>0</v>
      </c>
      <c r="Q191" s="1">
        <f>SUM(-SUM(Q179,Q174)*(Założenia!$K$172="tak")*Założenia!$K$173,'Wariant 1'!Q$169)</f>
        <v>0</v>
      </c>
      <c r="R191" s="1">
        <f>SUM(-SUM(R179,R174)*(Założenia!$K$172="tak")*Założenia!$K$173,'Wariant 1'!R$169)</f>
        <v>0</v>
      </c>
      <c r="S191" s="1">
        <f>SUM(-SUM(S179,S174)*(Założenia!$K$172="tak")*Założenia!$K$173,'Wariant 1'!S$169)</f>
        <v>0</v>
      </c>
      <c r="T191" s="1">
        <f>SUM(-SUM(T179,T174)*(Założenia!$K$172="tak")*Założenia!$K$173,'Wariant 1'!T$169)</f>
        <v>0</v>
      </c>
      <c r="U191" s="1">
        <f>SUM(-SUM(U179,U174)*(Założenia!$K$172="tak")*Założenia!$K$173,'Wariant 1'!U$169)</f>
        <v>0</v>
      </c>
      <c r="V191" s="1">
        <f>SUM(-SUM(V179,V174)*(Założenia!$K$172="tak")*Założenia!$K$173,'Wariant 1'!V$169)</f>
        <v>0</v>
      </c>
      <c r="W191" s="1">
        <f>SUM(-SUM(W179,W174)*(Założenia!$K$172="tak")*Założenia!$K$173,'Wariant 1'!W$169)</f>
        <v>0</v>
      </c>
      <c r="X191" s="1">
        <f>SUM(-SUM(X179,X174)*(Założenia!$K$172="tak")*Założenia!$K$173,'Wariant 1'!X$169)</f>
        <v>0</v>
      </c>
      <c r="Y191" s="1">
        <f>SUM(-SUM(Y179,Y174)*(Założenia!$K$172="tak")*Założenia!$K$173,'Wariant 1'!Y$169)</f>
        <v>0</v>
      </c>
      <c r="Z191" s="1">
        <f>SUM(-SUM(Z179,Z174)*(Założenia!$K$172="tak")*Założenia!$K$173,'Wariant 1'!Z$169)</f>
        <v>0</v>
      </c>
      <c r="AA191" s="1">
        <f>SUM(-SUM(AA179,AA174)*(Założenia!$K$172="tak")*Założenia!$K$173,'Wariant 1'!AA$169)</f>
        <v>0</v>
      </c>
      <c r="AB191" s="1">
        <f>SUM(-SUM(AB179,AB174)*(Założenia!$K$172="tak")*Założenia!$K$173,'Wariant 1'!AB$169)</f>
        <v>0</v>
      </c>
      <c r="AC191" s="1">
        <f>SUM(-SUM(AC179,AC174)*(Założenia!$K$172="tak")*Założenia!$K$173,'Wariant 1'!AC$169)</f>
        <v>0</v>
      </c>
      <c r="AD191" s="1">
        <f>SUM(-SUM(AD179,AD174)*(Założenia!$K$172="tak")*Założenia!$K$173,'Wariant 1'!AD$169)</f>
        <v>0</v>
      </c>
      <c r="AE191" s="1">
        <f>SUM(-SUM(AE179,AE174)*(Założenia!$K$172="tak")*Założenia!$K$173,'Wariant 1'!AE$169)</f>
        <v>0</v>
      </c>
      <c r="AF191" s="1">
        <f>SUM(-SUM(AF179,AF174)*(Założenia!$K$172="tak")*Założenia!$K$173,'Wariant 1'!AF$169)</f>
        <v>0</v>
      </c>
      <c r="AG191" s="1">
        <f>SUM(-SUM(AG179,AG174)*(Założenia!$K$172="tak")*Założenia!$K$173,'Wariant 1'!AG$169)</f>
        <v>0</v>
      </c>
      <c r="AH191" s="1">
        <f>SUM(-SUM(AH179,AH174)*(Założenia!$K$172="tak")*Założenia!$K$173,'Wariant 1'!AH$169)</f>
        <v>0</v>
      </c>
      <c r="AI191" s="1">
        <f>SUM(-SUM(AI179,AI174)*(Założenia!$K$172="tak")*Założenia!$K$173,'Wariant 1'!AI$169)</f>
        <v>0</v>
      </c>
      <c r="AJ191" s="1">
        <f>SUM(-SUM(AJ179,AJ174)*(Założenia!$K$172="tak")*Założenia!$K$173,'Wariant 1'!AJ$169)</f>
        <v>0</v>
      </c>
      <c r="AK191" s="1">
        <f>SUM(-SUM(AK179,AK174)*(Założenia!$K$172="tak")*Założenia!$K$173,'Wariant 1'!AK$169)</f>
        <v>0</v>
      </c>
      <c r="AL191" s="1">
        <f>SUM(-SUM(AL179,AL174)*(Założenia!$K$172="tak")*Założenia!$K$173,'Wariant 1'!AL$169)</f>
        <v>0</v>
      </c>
      <c r="AM191" s="1">
        <f>SUM(-SUM(AM179,AM174)*(Założenia!$K$172="tak")*Założenia!$K$173,'Wariant 1'!AM$169)</f>
        <v>0</v>
      </c>
      <c r="AN191" s="1">
        <f>SUM(-SUM(AN179,AN174)*(Założenia!$K$172="tak")*Założenia!$K$173,'Wariant 1'!AN$169)</f>
        <v>0</v>
      </c>
      <c r="AO191" s="1">
        <f>SUM(-SUM(AO179,AO174)*(Założenia!$K$172="tak")*Założenia!$K$173,'Wariant 1'!AO$169)</f>
        <v>0</v>
      </c>
      <c r="AP191" s="1">
        <f>SUM(-SUM(AP179,AP174)*(Założenia!$K$172="tak")*Założenia!$K$173,'Wariant 1'!AP$169)</f>
        <v>0</v>
      </c>
      <c r="AQ191" s="1">
        <f>SUM(-SUM(AQ179,AQ174)*(Założenia!$K$172="tak")*Założenia!$K$173,'Wariant 1'!AQ$169)</f>
        <v>0</v>
      </c>
      <c r="AR191" s="1">
        <f>SUM(-SUM(AR179,AR174)*(Założenia!$K$172="tak")*Założenia!$K$173,'Wariant 1'!AR$169)</f>
        <v>0</v>
      </c>
      <c r="AS191" s="1">
        <f>SUM(-SUM(AS179,AS174)*(Założenia!$K$172="tak")*Założenia!$K$173,'Wariant 1'!AS$169)</f>
        <v>0</v>
      </c>
      <c r="AT191" s="1">
        <f>SUM(-SUM(AT179,AT174)*(Założenia!$K$172="tak")*Założenia!$K$173,'Wariant 1'!AT$169)</f>
        <v>0</v>
      </c>
      <c r="AU191" s="1">
        <f>SUM(-SUM(AU179,AU174)*(Założenia!$K$172="tak")*Założenia!$K$173,'Wariant 1'!AU$169)</f>
        <v>0</v>
      </c>
      <c r="AV191" s="1">
        <f>SUM(-SUM(AV179,AV174)*(Założenia!$K$172="tak")*Założenia!$K$173,'Wariant 1'!AV$169)</f>
        <v>0</v>
      </c>
      <c r="AW191" s="1">
        <f>SUM(-SUM(AW179,AW174)*(Założenia!$K$172="tak")*Założenia!$K$173,'Wariant 1'!AW$169)</f>
        <v>0</v>
      </c>
      <c r="AX191" s="1">
        <f>SUM(-SUM(AX179,AX174)*(Założenia!$K$172="tak")*Założenia!$K$173,'Wariant 1'!AX$169)</f>
        <v>0</v>
      </c>
      <c r="AY191" s="1">
        <f>SUM(-SUM(AY179,AY174)*(Założenia!$K$172="tak")*Założenia!$K$173,'Wariant 1'!AY$169)</f>
        <v>0</v>
      </c>
      <c r="AZ191" s="1">
        <f>SUM(-SUM(AZ179,AZ174)*(Założenia!$K$172="tak")*Założenia!$K$173,'Wariant 1'!AZ$169)</f>
        <v>0</v>
      </c>
      <c r="BA191" s="74">
        <f>SUM(-SUM(BA179,BA174)*(Założenia!$K$172="tak")*Założenia!$K$173,'Wariant 1'!BA$169)</f>
        <v>0</v>
      </c>
    </row>
    <row r="192" spans="1:53" ht="15.75" hidden="1" customHeight="1" outlineLevel="1" x14ac:dyDescent="0.35">
      <c r="A192" s="5"/>
      <c r="B192" s="5"/>
      <c r="C192" s="5" t="s">
        <v>144</v>
      </c>
      <c r="E192" s="5"/>
      <c r="F192" s="5"/>
      <c r="G192" s="5"/>
      <c r="H192" s="5"/>
      <c r="I192" s="5"/>
      <c r="J192" s="5"/>
      <c r="K192" s="5"/>
      <c r="N192" s="1">
        <f t="shared" si="41"/>
        <v>0</v>
      </c>
      <c r="Q192" s="1">
        <f>ABS(INDEX(Założenia!$K$87:$K$123,MATCH(Q$1,Założenia!$J$87:$J$123,0)))*CPIc*PPPt.w1</f>
        <v>0</v>
      </c>
      <c r="R192" s="1">
        <f>ABS(INDEX(Założenia!$K$87:$K$123,MATCH(R$1,Założenia!$J$87:$J$123,0)))*CPIc*PPPt.w1</f>
        <v>0</v>
      </c>
      <c r="S192" s="1">
        <f>ABS(INDEX(Założenia!$K$87:$K$123,MATCH(S$1,Założenia!$J$87:$J$123,0)))*CPIc*PPPt.w1</f>
        <v>0</v>
      </c>
      <c r="T192" s="1">
        <f>ABS(INDEX(Założenia!$K$87:$K$123,MATCH(T$1,Założenia!$J$87:$J$123,0)))*CPIc*PPPt.w1</f>
        <v>0</v>
      </c>
      <c r="U192" s="1">
        <f>ABS(INDEX(Założenia!$K$87:$K$123,MATCH(U$1,Założenia!$J$87:$J$123,0)))*CPIc*PPPt.w1</f>
        <v>0</v>
      </c>
      <c r="V192" s="1">
        <f>ABS(INDEX(Założenia!$K$87:$K$123,MATCH(V$1,Założenia!$J$87:$J$123,0)))*CPIc*PPPt.w1</f>
        <v>0</v>
      </c>
      <c r="W192" s="1">
        <f>ABS(INDEX(Założenia!$K$87:$K$123,MATCH(W$1,Założenia!$J$87:$J$123,0)))*CPIc*PPPt.w1</f>
        <v>0</v>
      </c>
      <c r="X192" s="1">
        <f>ABS(INDEX(Założenia!$K$87:$K$123,MATCH(X$1,Założenia!$J$87:$J$123,0)))*CPIc*PPPt.w1</f>
        <v>0</v>
      </c>
      <c r="Y192" s="1">
        <f>ABS(INDEX(Założenia!$K$87:$K$123,MATCH(Y$1,Założenia!$J$87:$J$123,0)))*CPIc*PPPt.w1</f>
        <v>0</v>
      </c>
      <c r="Z192" s="1">
        <f>ABS(INDEX(Założenia!$K$87:$K$123,MATCH(Z$1,Założenia!$J$87:$J$123,0)))*CPIc*PPPt.w1</f>
        <v>0</v>
      </c>
      <c r="AA192" s="1">
        <f>ABS(INDEX(Założenia!$K$87:$K$123,MATCH(AA$1,Założenia!$J$87:$J$123,0)))*CPIc*PPPt.w1</f>
        <v>0</v>
      </c>
      <c r="AB192" s="1">
        <f>ABS(INDEX(Założenia!$K$87:$K$123,MATCH(AB$1,Założenia!$J$87:$J$123,0)))*CPIc*PPPt.w1</f>
        <v>0</v>
      </c>
      <c r="AC192" s="1">
        <f>ABS(INDEX(Założenia!$K$87:$K$123,MATCH(AC$1,Założenia!$J$87:$J$123,0)))*CPIc*PPPt.w1</f>
        <v>0</v>
      </c>
      <c r="AD192" s="1">
        <f>ABS(INDEX(Założenia!$K$87:$K$123,MATCH(AD$1,Założenia!$J$87:$J$123,0)))*CPIc*PPPt.w1</f>
        <v>0</v>
      </c>
      <c r="AE192" s="1">
        <f>ABS(INDEX(Założenia!$K$87:$K$123,MATCH(AE$1,Założenia!$J$87:$J$123,0)))*CPIc*PPPt.w1</f>
        <v>0</v>
      </c>
      <c r="AF192" s="1">
        <f>ABS(INDEX(Założenia!$K$87:$K$123,MATCH(AF$1,Założenia!$J$87:$J$123,0)))*CPIc*PPPt.w1</f>
        <v>0</v>
      </c>
      <c r="AG192" s="1">
        <f>ABS(INDEX(Założenia!$K$87:$K$123,MATCH(AG$1,Założenia!$J$87:$J$123,0)))*CPIc*PPPt.w1</f>
        <v>0</v>
      </c>
      <c r="AH192" s="1">
        <f>ABS(INDEX(Założenia!$K$87:$K$123,MATCH(AH$1,Założenia!$J$87:$J$123,0)))*CPIc*PPPt.w1</f>
        <v>0</v>
      </c>
      <c r="AI192" s="1">
        <f>ABS(INDEX(Założenia!$K$87:$K$123,MATCH(AI$1,Założenia!$J$87:$J$123,0)))*CPIc*PPPt.w1</f>
        <v>0</v>
      </c>
      <c r="AJ192" s="1">
        <f>ABS(INDEX(Założenia!$K$87:$K$123,MATCH(AJ$1,Założenia!$J$87:$J$123,0)))*CPIc*PPPt.w1</f>
        <v>0</v>
      </c>
      <c r="AK192" s="1">
        <f>ABS(INDEX(Założenia!$K$87:$K$123,MATCH(AK$1,Założenia!$J$87:$J$123,0)))*CPIc*PPPt.w1</f>
        <v>0</v>
      </c>
      <c r="AL192" s="1">
        <f>ABS(INDEX(Założenia!$K$87:$K$123,MATCH(AL$1,Założenia!$J$87:$J$123,0)))*CPIc*PPPt.w1</f>
        <v>0</v>
      </c>
      <c r="AM192" s="1">
        <f>ABS(INDEX(Założenia!$K$87:$K$123,MATCH(AM$1,Założenia!$J$87:$J$123,0)))*CPIc*PPPt.w1</f>
        <v>0</v>
      </c>
      <c r="AN192" s="1">
        <f>ABS(INDEX(Założenia!$K$87:$K$123,MATCH(AN$1,Założenia!$J$87:$J$123,0)))*CPIc*PPPt.w1</f>
        <v>0</v>
      </c>
      <c r="AO192" s="1">
        <f>ABS(INDEX(Założenia!$K$87:$K$123,MATCH(AO$1,Założenia!$J$87:$J$123,0)))*CPIc*PPPt.w1</f>
        <v>0</v>
      </c>
      <c r="AP192" s="1">
        <f>ABS(INDEX(Założenia!$K$87:$K$123,MATCH(AP$1,Założenia!$J$87:$J$123,0)))*CPIc*PPPt.w1</f>
        <v>0</v>
      </c>
      <c r="AQ192" s="1">
        <f>ABS(INDEX(Założenia!$K$87:$K$123,MATCH(AQ$1,Założenia!$J$87:$J$123,0)))*CPIc*PPPt.w1</f>
        <v>0</v>
      </c>
      <c r="AR192" s="1">
        <f>ABS(INDEX(Założenia!$K$87:$K$123,MATCH(AR$1,Założenia!$J$87:$J$123,0)))*CPIc*PPPt.w1</f>
        <v>0</v>
      </c>
      <c r="AS192" s="1">
        <f>ABS(INDEX(Założenia!$K$87:$K$123,MATCH(AS$1,Założenia!$J$87:$J$123,0)))*CPIc*PPPt.w1</f>
        <v>0</v>
      </c>
      <c r="AT192" s="1">
        <f>ABS(INDEX(Założenia!$K$87:$K$123,MATCH(AT$1,Założenia!$J$87:$J$123,0)))*CPIc*PPPt.w1</f>
        <v>0</v>
      </c>
      <c r="AU192" s="1">
        <f>ABS(INDEX(Założenia!$K$87:$K$123,MATCH(AU$1,Założenia!$J$87:$J$123,0)))*CPIc*PPPt.w1</f>
        <v>0</v>
      </c>
      <c r="AV192" s="1">
        <f>ABS(INDEX(Założenia!$K$87:$K$123,MATCH(AV$1,Założenia!$J$87:$J$123,0)))*CPIc*PPPt.w1</f>
        <v>0</v>
      </c>
      <c r="AW192" s="1">
        <f>ABS(INDEX(Założenia!$K$87:$K$123,MATCH(AW$1,Założenia!$J$87:$J$123,0)))*CPIc*PPPt.w1</f>
        <v>0</v>
      </c>
      <c r="AX192" s="1">
        <f>ABS(INDEX(Założenia!$K$87:$K$123,MATCH(AX$1,Założenia!$J$87:$J$123,0)))*CPIc*PPPt.w1</f>
        <v>0</v>
      </c>
      <c r="AY192" s="1">
        <f>ABS(INDEX(Założenia!$K$87:$K$123,MATCH(AY$1,Założenia!$J$87:$J$123,0)))*CPIc*PPPt.w1</f>
        <v>0</v>
      </c>
      <c r="AZ192" s="1">
        <f>ABS(INDEX(Założenia!$K$87:$K$123,MATCH(AZ$1,Założenia!$J$87:$J$123,0)))*CPIc*PPPt.w1</f>
        <v>0</v>
      </c>
      <c r="BA192" s="74">
        <f>ABS(INDEX(Założenia!$K$87:$K$123,MATCH(BA$1,Założenia!$J$87:$J$123,0)))*CPIc*PPPt.w1</f>
        <v>0</v>
      </c>
    </row>
    <row r="193" spans="1:53" ht="15.75" hidden="1" customHeight="1" outlineLevel="1" x14ac:dyDescent="0.35">
      <c r="A193" s="5"/>
      <c r="B193" s="5"/>
      <c r="C193" s="5" t="s">
        <v>141</v>
      </c>
      <c r="E193" s="5"/>
      <c r="F193" s="5"/>
      <c r="G193" s="5"/>
      <c r="H193" s="5"/>
      <c r="I193" s="5"/>
      <c r="J193" s="5"/>
      <c r="K193" s="5"/>
      <c r="N193" s="1">
        <f t="shared" si="41"/>
        <v>0</v>
      </c>
      <c r="Q193" s="1">
        <f>-ABS(INDEX(Założenia!$K$126:$K$162,MATCH(Q$1,Założenia!$J$126:$J$162,0)))*CPIc*PPPt.w1</f>
        <v>0</v>
      </c>
      <c r="R193" s="1">
        <f>-ABS(INDEX(Założenia!$K$126:$K$162,MATCH(R$1,Założenia!$J$126:$J$162,0)))*CPIc*PPPt.w1</f>
        <v>0</v>
      </c>
      <c r="S193" s="1">
        <f>-ABS(INDEX(Założenia!$K$126:$K$162,MATCH(S$1,Założenia!$J$126:$J$162,0)))*CPIc*PPPt.w1</f>
        <v>0</v>
      </c>
      <c r="T193" s="1">
        <f>-ABS(INDEX(Założenia!$K$126:$K$162,MATCH(T$1,Założenia!$J$126:$J$162,0)))*CPIc*PPPt.w1</f>
        <v>0</v>
      </c>
      <c r="U193" s="1">
        <f>-ABS(INDEX(Założenia!$K$126:$K$162,MATCH(U$1,Założenia!$J$126:$J$162,0)))*CPIc*PPPt.w1</f>
        <v>0</v>
      </c>
      <c r="V193" s="1">
        <f>-ABS(INDEX(Założenia!$K$126:$K$162,MATCH(V$1,Założenia!$J$126:$J$162,0)))*CPIc*PPPt.w1</f>
        <v>0</v>
      </c>
      <c r="W193" s="1">
        <f>-ABS(INDEX(Założenia!$K$126:$K$162,MATCH(W$1,Założenia!$J$126:$J$162,0)))*CPIc*PPPt.w1</f>
        <v>0</v>
      </c>
      <c r="X193" s="1">
        <f>-ABS(INDEX(Założenia!$K$126:$K$162,MATCH(X$1,Założenia!$J$126:$J$162,0)))*CPIc*PPPt.w1</f>
        <v>0</v>
      </c>
      <c r="Y193" s="1">
        <f>-ABS(INDEX(Założenia!$K$126:$K$162,MATCH(Y$1,Założenia!$J$126:$J$162,0)))*CPIc*PPPt.w1</f>
        <v>0</v>
      </c>
      <c r="Z193" s="1">
        <f>-ABS(INDEX(Założenia!$K$126:$K$162,MATCH(Z$1,Założenia!$J$126:$J$162,0)))*CPIc*PPPt.w1</f>
        <v>0</v>
      </c>
      <c r="AA193" s="1">
        <f>-ABS(INDEX(Założenia!$K$126:$K$162,MATCH(AA$1,Założenia!$J$126:$J$162,0)))*CPIc*PPPt.w1</f>
        <v>0</v>
      </c>
      <c r="AB193" s="1">
        <f>-ABS(INDEX(Założenia!$K$126:$K$162,MATCH(AB$1,Założenia!$J$126:$J$162,0)))*CPIc*PPPt.w1</f>
        <v>0</v>
      </c>
      <c r="AC193" s="1">
        <f>-ABS(INDEX(Założenia!$K$126:$K$162,MATCH(AC$1,Założenia!$J$126:$J$162,0)))*CPIc*PPPt.w1</f>
        <v>0</v>
      </c>
      <c r="AD193" s="1">
        <f>-ABS(INDEX(Założenia!$K$126:$K$162,MATCH(AD$1,Założenia!$J$126:$J$162,0)))*CPIc*PPPt.w1</f>
        <v>0</v>
      </c>
      <c r="AE193" s="1">
        <f>-ABS(INDEX(Założenia!$K$126:$K$162,MATCH(AE$1,Założenia!$J$126:$J$162,0)))*CPIc*PPPt.w1</f>
        <v>0</v>
      </c>
      <c r="AF193" s="1">
        <f>-ABS(INDEX(Założenia!$K$126:$K$162,MATCH(AF$1,Założenia!$J$126:$J$162,0)))*CPIc*PPPt.w1</f>
        <v>0</v>
      </c>
      <c r="AG193" s="1">
        <f>-ABS(INDEX(Założenia!$K$126:$K$162,MATCH(AG$1,Założenia!$J$126:$J$162,0)))*CPIc*PPPt.w1</f>
        <v>0</v>
      </c>
      <c r="AH193" s="1">
        <f>-ABS(INDEX(Założenia!$K$126:$K$162,MATCH(AH$1,Założenia!$J$126:$J$162,0)))*CPIc*PPPt.w1</f>
        <v>0</v>
      </c>
      <c r="AI193" s="1">
        <f>-ABS(INDEX(Założenia!$K$126:$K$162,MATCH(AI$1,Założenia!$J$126:$J$162,0)))*CPIc*PPPt.w1</f>
        <v>0</v>
      </c>
      <c r="AJ193" s="1">
        <f>-ABS(INDEX(Założenia!$K$126:$K$162,MATCH(AJ$1,Założenia!$J$126:$J$162,0)))*CPIc*PPPt.w1</f>
        <v>0</v>
      </c>
      <c r="AK193" s="1">
        <f>-ABS(INDEX(Założenia!$K$126:$K$162,MATCH(AK$1,Założenia!$J$126:$J$162,0)))*CPIc*PPPt.w1</f>
        <v>0</v>
      </c>
      <c r="AL193" s="1">
        <f>-ABS(INDEX(Założenia!$K$126:$K$162,MATCH(AL$1,Założenia!$J$126:$J$162,0)))*CPIc*PPPt.w1</f>
        <v>0</v>
      </c>
      <c r="AM193" s="1">
        <f>-ABS(INDEX(Założenia!$K$126:$K$162,MATCH(AM$1,Założenia!$J$126:$J$162,0)))*CPIc*PPPt.w1</f>
        <v>0</v>
      </c>
      <c r="AN193" s="1">
        <f>-ABS(INDEX(Założenia!$K$126:$K$162,MATCH(AN$1,Założenia!$J$126:$J$162,0)))*CPIc*PPPt.w1</f>
        <v>0</v>
      </c>
      <c r="AO193" s="1">
        <f>-ABS(INDEX(Założenia!$K$126:$K$162,MATCH(AO$1,Założenia!$J$126:$J$162,0)))*CPIc*PPPt.w1</f>
        <v>0</v>
      </c>
      <c r="AP193" s="1">
        <f>-ABS(INDEX(Założenia!$K$126:$K$162,MATCH(AP$1,Założenia!$J$126:$J$162,0)))*CPIc*PPPt.w1</f>
        <v>0</v>
      </c>
      <c r="AQ193" s="1">
        <f>-ABS(INDEX(Założenia!$K$126:$K$162,MATCH(AQ$1,Założenia!$J$126:$J$162,0)))*CPIc*PPPt.w1</f>
        <v>0</v>
      </c>
      <c r="AR193" s="1">
        <f>-ABS(INDEX(Założenia!$K$126:$K$162,MATCH(AR$1,Założenia!$J$126:$J$162,0)))*CPIc*PPPt.w1</f>
        <v>0</v>
      </c>
      <c r="AS193" s="1">
        <f>-ABS(INDEX(Założenia!$K$126:$K$162,MATCH(AS$1,Założenia!$J$126:$J$162,0)))*CPIc*PPPt.w1</f>
        <v>0</v>
      </c>
      <c r="AT193" s="1">
        <f>-ABS(INDEX(Założenia!$K$126:$K$162,MATCH(AT$1,Założenia!$J$126:$J$162,0)))*CPIc*PPPt.w1</f>
        <v>0</v>
      </c>
      <c r="AU193" s="1">
        <f>-ABS(INDEX(Założenia!$K$126:$K$162,MATCH(AU$1,Założenia!$J$126:$J$162,0)))*CPIc*PPPt.w1</f>
        <v>0</v>
      </c>
      <c r="AV193" s="1">
        <f>-ABS(INDEX(Założenia!$K$126:$K$162,MATCH(AV$1,Założenia!$J$126:$J$162,0)))*CPIc*PPPt.w1</f>
        <v>0</v>
      </c>
      <c r="AW193" s="1">
        <f>-ABS(INDEX(Założenia!$K$126:$K$162,MATCH(AW$1,Założenia!$J$126:$J$162,0)))*CPIc*PPPt.w1</f>
        <v>0</v>
      </c>
      <c r="AX193" s="1">
        <f>-ABS(INDEX(Założenia!$K$126:$K$162,MATCH(AX$1,Założenia!$J$126:$J$162,0)))*CPIc*PPPt.w1</f>
        <v>0</v>
      </c>
      <c r="AY193" s="1">
        <f>-ABS(INDEX(Założenia!$K$126:$K$162,MATCH(AY$1,Założenia!$J$126:$J$162,0)))*CPIc*PPPt.w1</f>
        <v>0</v>
      </c>
      <c r="AZ193" s="1">
        <f>-ABS(INDEX(Założenia!$K$126:$K$162,MATCH(AZ$1,Założenia!$J$126:$J$162,0)))*CPIc*PPPt.w1</f>
        <v>0</v>
      </c>
      <c r="BA193" s="74">
        <f>-ABS(INDEX(Założenia!$K$126:$K$162,MATCH(BA$1,Założenia!$J$126:$J$162,0)))*CPIc*PPPt.w1</f>
        <v>0</v>
      </c>
    </row>
    <row r="194" spans="1:53" ht="14.5" hidden="1" outlineLevel="1" x14ac:dyDescent="0.35">
      <c r="Q194" s="19"/>
      <c r="R194" s="19"/>
      <c r="S194" s="19"/>
      <c r="T194" s="19"/>
      <c r="U194" s="19"/>
    </row>
    <row r="195" spans="1:53" ht="14.5" hidden="1" outlineLevel="1" x14ac:dyDescent="0.35">
      <c r="Q195" s="19"/>
      <c r="R195" s="19"/>
      <c r="S195" s="19"/>
      <c r="T195" s="19"/>
      <c r="U195" s="19"/>
    </row>
    <row r="196" spans="1:53" hidden="1" outlineLevel="1" thickBot="1" x14ac:dyDescent="0.4">
      <c r="A196" s="60" t="s">
        <v>97</v>
      </c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58"/>
      <c r="AW196" s="58"/>
      <c r="AX196" s="58"/>
      <c r="AY196" s="58"/>
      <c r="AZ196" s="58"/>
      <c r="BA196" s="58"/>
    </row>
    <row r="197" spans="1:53" ht="14.5" hidden="1" outlineLevel="1" x14ac:dyDescent="0.35"/>
    <row r="198" spans="1:53" ht="15.75" hidden="1" customHeight="1" outlineLevel="1" x14ac:dyDescent="0.35">
      <c r="A198" s="59" t="s">
        <v>133</v>
      </c>
      <c r="B198" s="59" t="s">
        <v>136</v>
      </c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>
        <f>SUM(Q198:BA198)</f>
        <v>0</v>
      </c>
      <c r="O198" s="59"/>
      <c r="P198" s="59"/>
      <c r="Q198" s="59">
        <f t="shared" ref="Q198:BA198" si="43">SUM(Q200,Q212)</f>
        <v>0</v>
      </c>
      <c r="R198" s="59">
        <f t="shared" si="43"/>
        <v>0</v>
      </c>
      <c r="S198" s="59">
        <f t="shared" si="43"/>
        <v>0</v>
      </c>
      <c r="T198" s="59">
        <f t="shared" si="43"/>
        <v>0</v>
      </c>
      <c r="U198" s="59">
        <f t="shared" si="43"/>
        <v>0</v>
      </c>
      <c r="V198" s="59">
        <f t="shared" si="43"/>
        <v>0</v>
      </c>
      <c r="W198" s="59">
        <f t="shared" si="43"/>
        <v>0</v>
      </c>
      <c r="X198" s="59">
        <f t="shared" si="43"/>
        <v>0</v>
      </c>
      <c r="Y198" s="59">
        <f t="shared" si="43"/>
        <v>0</v>
      </c>
      <c r="Z198" s="59">
        <f t="shared" si="43"/>
        <v>0</v>
      </c>
      <c r="AA198" s="59">
        <f t="shared" si="43"/>
        <v>0</v>
      </c>
      <c r="AB198" s="59">
        <f t="shared" si="43"/>
        <v>0</v>
      </c>
      <c r="AC198" s="59">
        <f t="shared" si="43"/>
        <v>0</v>
      </c>
      <c r="AD198" s="59">
        <f t="shared" si="43"/>
        <v>0</v>
      </c>
      <c r="AE198" s="59">
        <f t="shared" si="43"/>
        <v>0</v>
      </c>
      <c r="AF198" s="59">
        <f t="shared" si="43"/>
        <v>0</v>
      </c>
      <c r="AG198" s="59">
        <f t="shared" si="43"/>
        <v>0</v>
      </c>
      <c r="AH198" s="59">
        <f t="shared" si="43"/>
        <v>0</v>
      </c>
      <c r="AI198" s="59">
        <f t="shared" si="43"/>
        <v>0</v>
      </c>
      <c r="AJ198" s="59">
        <f t="shared" si="43"/>
        <v>0</v>
      </c>
      <c r="AK198" s="59">
        <f t="shared" si="43"/>
        <v>0</v>
      </c>
      <c r="AL198" s="59">
        <f t="shared" si="43"/>
        <v>0</v>
      </c>
      <c r="AM198" s="59">
        <f t="shared" si="43"/>
        <v>0</v>
      </c>
      <c r="AN198" s="59">
        <f t="shared" si="43"/>
        <v>0</v>
      </c>
      <c r="AO198" s="59">
        <f t="shared" si="43"/>
        <v>0</v>
      </c>
      <c r="AP198" s="59">
        <f t="shared" si="43"/>
        <v>0</v>
      </c>
      <c r="AQ198" s="59">
        <f t="shared" si="43"/>
        <v>0</v>
      </c>
      <c r="AR198" s="59">
        <f t="shared" si="43"/>
        <v>0</v>
      </c>
      <c r="AS198" s="59">
        <f t="shared" si="43"/>
        <v>0</v>
      </c>
      <c r="AT198" s="59">
        <f t="shared" si="43"/>
        <v>0</v>
      </c>
      <c r="AU198" s="59">
        <f t="shared" si="43"/>
        <v>0</v>
      </c>
      <c r="AV198" s="59">
        <f t="shared" si="43"/>
        <v>0</v>
      </c>
      <c r="AW198" s="59">
        <f t="shared" si="43"/>
        <v>0</v>
      </c>
      <c r="AX198" s="59">
        <f t="shared" si="43"/>
        <v>0</v>
      </c>
      <c r="AY198" s="59">
        <f t="shared" si="43"/>
        <v>0</v>
      </c>
      <c r="AZ198" s="59">
        <f t="shared" si="43"/>
        <v>0</v>
      </c>
      <c r="BA198" s="59">
        <f t="shared" si="43"/>
        <v>0</v>
      </c>
    </row>
    <row r="199" spans="1:53" ht="12.75" hidden="1" customHeight="1" outlineLevel="1" x14ac:dyDescent="0.35"/>
    <row r="200" spans="1:53" ht="15.75" hidden="1" customHeight="1" outlineLevel="1" x14ac:dyDescent="0.35">
      <c r="A200" s="15"/>
      <c r="B200" s="16" t="s">
        <v>75</v>
      </c>
      <c r="C200" s="16"/>
      <c r="D200" s="16"/>
      <c r="E200" s="16"/>
      <c r="F200" s="16"/>
      <c r="G200" s="16"/>
      <c r="H200" s="16"/>
      <c r="I200" s="16"/>
      <c r="J200" s="16"/>
      <c r="K200" s="16"/>
      <c r="L200" s="3"/>
      <c r="M200" s="3"/>
      <c r="N200" s="4">
        <f t="shared" ref="N200:N210" si="44">SUM(Q200:BA200)</f>
        <v>0</v>
      </c>
      <c r="O200" s="3"/>
      <c r="P200" s="3"/>
      <c r="Q200" s="4">
        <f t="shared" ref="Q200:BA200" si="45">SUM(Q201,Q208)</f>
        <v>0</v>
      </c>
      <c r="R200" s="4">
        <f t="shared" si="45"/>
        <v>0</v>
      </c>
      <c r="S200" s="4">
        <f t="shared" si="45"/>
        <v>0</v>
      </c>
      <c r="T200" s="4">
        <f t="shared" si="45"/>
        <v>0</v>
      </c>
      <c r="U200" s="4">
        <f t="shared" si="45"/>
        <v>0</v>
      </c>
      <c r="V200" s="4">
        <f t="shared" si="45"/>
        <v>0</v>
      </c>
      <c r="W200" s="4">
        <f t="shared" si="45"/>
        <v>0</v>
      </c>
      <c r="X200" s="4">
        <f t="shared" si="45"/>
        <v>0</v>
      </c>
      <c r="Y200" s="4">
        <f t="shared" si="45"/>
        <v>0</v>
      </c>
      <c r="Z200" s="4">
        <f t="shared" si="45"/>
        <v>0</v>
      </c>
      <c r="AA200" s="4">
        <f t="shared" si="45"/>
        <v>0</v>
      </c>
      <c r="AB200" s="4">
        <f t="shared" si="45"/>
        <v>0</v>
      </c>
      <c r="AC200" s="4">
        <f t="shared" si="45"/>
        <v>0</v>
      </c>
      <c r="AD200" s="4">
        <f t="shared" si="45"/>
        <v>0</v>
      </c>
      <c r="AE200" s="4">
        <f t="shared" si="45"/>
        <v>0</v>
      </c>
      <c r="AF200" s="4">
        <f t="shared" si="45"/>
        <v>0</v>
      </c>
      <c r="AG200" s="4">
        <f t="shared" si="45"/>
        <v>0</v>
      </c>
      <c r="AH200" s="4">
        <f t="shared" si="45"/>
        <v>0</v>
      </c>
      <c r="AI200" s="4">
        <f t="shared" si="45"/>
        <v>0</v>
      </c>
      <c r="AJ200" s="4">
        <f t="shared" si="45"/>
        <v>0</v>
      </c>
      <c r="AK200" s="4">
        <f t="shared" si="45"/>
        <v>0</v>
      </c>
      <c r="AL200" s="4">
        <f t="shared" si="45"/>
        <v>0</v>
      </c>
      <c r="AM200" s="4">
        <f t="shared" si="45"/>
        <v>0</v>
      </c>
      <c r="AN200" s="4">
        <f t="shared" si="45"/>
        <v>0</v>
      </c>
      <c r="AO200" s="4">
        <f t="shared" si="45"/>
        <v>0</v>
      </c>
      <c r="AP200" s="4">
        <f t="shared" si="45"/>
        <v>0</v>
      </c>
      <c r="AQ200" s="4">
        <f t="shared" si="45"/>
        <v>0</v>
      </c>
      <c r="AR200" s="4">
        <f t="shared" si="45"/>
        <v>0</v>
      </c>
      <c r="AS200" s="4">
        <f t="shared" si="45"/>
        <v>0</v>
      </c>
      <c r="AT200" s="4">
        <f t="shared" si="45"/>
        <v>0</v>
      </c>
      <c r="AU200" s="4">
        <f t="shared" si="45"/>
        <v>0</v>
      </c>
      <c r="AV200" s="4">
        <f t="shared" si="45"/>
        <v>0</v>
      </c>
      <c r="AW200" s="4">
        <f t="shared" si="45"/>
        <v>0</v>
      </c>
      <c r="AX200" s="4">
        <f t="shared" si="45"/>
        <v>0</v>
      </c>
      <c r="AY200" s="4">
        <f t="shared" si="45"/>
        <v>0</v>
      </c>
      <c r="AZ200" s="4">
        <f t="shared" si="45"/>
        <v>0</v>
      </c>
      <c r="BA200" s="73">
        <f t="shared" si="45"/>
        <v>0</v>
      </c>
    </row>
    <row r="201" spans="1:53" ht="15.75" hidden="1" customHeight="1" outlineLevel="1" x14ac:dyDescent="0.35">
      <c r="A201" s="5"/>
      <c r="B201" s="5"/>
      <c r="C201" s="5" t="s">
        <v>156</v>
      </c>
      <c r="E201" s="5"/>
      <c r="F201" s="5"/>
      <c r="G201" s="5"/>
      <c r="H201" s="5"/>
      <c r="I201" s="5"/>
      <c r="J201" s="5"/>
      <c r="K201" s="5"/>
      <c r="N201" s="1">
        <f t="shared" si="44"/>
        <v>0</v>
      </c>
      <c r="Q201" s="1">
        <f t="shared" ref="Q201" si="46">SUM(Q202:Q207)</f>
        <v>0</v>
      </c>
      <c r="R201" s="1">
        <f t="shared" ref="R201:BA201" si="47">SUM(R202:R207)</f>
        <v>0</v>
      </c>
      <c r="S201" s="1">
        <f t="shared" si="47"/>
        <v>0</v>
      </c>
      <c r="T201" s="1">
        <f t="shared" si="47"/>
        <v>0</v>
      </c>
      <c r="U201" s="1">
        <f t="shared" si="47"/>
        <v>0</v>
      </c>
      <c r="V201" s="1">
        <f t="shared" si="47"/>
        <v>0</v>
      </c>
      <c r="W201" s="1">
        <f t="shared" si="47"/>
        <v>0</v>
      </c>
      <c r="X201" s="1">
        <f t="shared" si="47"/>
        <v>0</v>
      </c>
      <c r="Y201" s="1">
        <f t="shared" si="47"/>
        <v>0</v>
      </c>
      <c r="Z201" s="1">
        <f t="shared" si="47"/>
        <v>0</v>
      </c>
      <c r="AA201" s="1">
        <f t="shared" si="47"/>
        <v>0</v>
      </c>
      <c r="AB201" s="1">
        <f t="shared" si="47"/>
        <v>0</v>
      </c>
      <c r="AC201" s="1">
        <f t="shared" si="47"/>
        <v>0</v>
      </c>
      <c r="AD201" s="1">
        <f t="shared" si="47"/>
        <v>0</v>
      </c>
      <c r="AE201" s="1">
        <f t="shared" si="47"/>
        <v>0</v>
      </c>
      <c r="AF201" s="1">
        <f t="shared" si="47"/>
        <v>0</v>
      </c>
      <c r="AG201" s="1">
        <f t="shared" si="47"/>
        <v>0</v>
      </c>
      <c r="AH201" s="1">
        <f t="shared" si="47"/>
        <v>0</v>
      </c>
      <c r="AI201" s="1">
        <f t="shared" si="47"/>
        <v>0</v>
      </c>
      <c r="AJ201" s="1">
        <f t="shared" si="47"/>
        <v>0</v>
      </c>
      <c r="AK201" s="1">
        <f t="shared" si="47"/>
        <v>0</v>
      </c>
      <c r="AL201" s="1">
        <f t="shared" si="47"/>
        <v>0</v>
      </c>
      <c r="AM201" s="1">
        <f t="shared" si="47"/>
        <v>0</v>
      </c>
      <c r="AN201" s="1">
        <f t="shared" si="47"/>
        <v>0</v>
      </c>
      <c r="AO201" s="1">
        <f t="shared" si="47"/>
        <v>0</v>
      </c>
      <c r="AP201" s="1">
        <f t="shared" si="47"/>
        <v>0</v>
      </c>
      <c r="AQ201" s="1">
        <f t="shared" si="47"/>
        <v>0</v>
      </c>
      <c r="AR201" s="1">
        <f t="shared" si="47"/>
        <v>0</v>
      </c>
      <c r="AS201" s="1">
        <f t="shared" si="47"/>
        <v>0</v>
      </c>
      <c r="AT201" s="1">
        <f t="shared" si="47"/>
        <v>0</v>
      </c>
      <c r="AU201" s="1">
        <f t="shared" si="47"/>
        <v>0</v>
      </c>
      <c r="AV201" s="1">
        <f t="shared" si="47"/>
        <v>0</v>
      </c>
      <c r="AW201" s="1">
        <f t="shared" si="47"/>
        <v>0</v>
      </c>
      <c r="AX201" s="1">
        <f t="shared" si="47"/>
        <v>0</v>
      </c>
      <c r="AY201" s="1">
        <f t="shared" si="47"/>
        <v>0</v>
      </c>
      <c r="AZ201" s="1">
        <f t="shared" si="47"/>
        <v>0</v>
      </c>
      <c r="BA201" s="74">
        <f t="shared" si="47"/>
        <v>0</v>
      </c>
    </row>
    <row r="202" spans="1:53" ht="15.75" hidden="1" customHeight="1" outlineLevel="1" x14ac:dyDescent="0.35">
      <c r="A202" s="5"/>
      <c r="B202" s="5"/>
      <c r="C202" s="5"/>
      <c r="D202" s="5" t="s">
        <v>99</v>
      </c>
      <c r="E202" s="5"/>
      <c r="F202" s="5"/>
      <c r="G202" s="5"/>
      <c r="H202" s="5"/>
      <c r="I202" s="5"/>
      <c r="J202" s="5"/>
      <c r="K202" s="5"/>
      <c r="N202" s="11">
        <f t="shared" si="44"/>
        <v>0</v>
      </c>
      <c r="Q202" s="11">
        <f>-'Wariant 2'!Q$90</f>
        <v>0</v>
      </c>
      <c r="R202" s="11">
        <f>-'Wariant 2'!R$90</f>
        <v>0</v>
      </c>
      <c r="S202" s="11">
        <f>-'Wariant 2'!S$90</f>
        <v>0</v>
      </c>
      <c r="T202" s="11">
        <f>-'Wariant 2'!T$90</f>
        <v>0</v>
      </c>
      <c r="U202" s="11">
        <f>-'Wariant 2'!U$90</f>
        <v>0</v>
      </c>
      <c r="V202" s="11">
        <f>-'Wariant 2'!V$90</f>
        <v>0</v>
      </c>
      <c r="W202" s="11">
        <f>-'Wariant 2'!W$90</f>
        <v>0</v>
      </c>
      <c r="X202" s="11">
        <f>-'Wariant 2'!X$90</f>
        <v>0</v>
      </c>
      <c r="Y202" s="11">
        <f>-'Wariant 2'!Y$90</f>
        <v>0</v>
      </c>
      <c r="Z202" s="11">
        <f>-'Wariant 2'!Z$90</f>
        <v>0</v>
      </c>
      <c r="AA202" s="11">
        <f>-'Wariant 2'!AA$90</f>
        <v>0</v>
      </c>
      <c r="AB202" s="11">
        <f>-'Wariant 2'!AB$90</f>
        <v>0</v>
      </c>
      <c r="AC202" s="11">
        <f>-'Wariant 2'!AC$90</f>
        <v>0</v>
      </c>
      <c r="AD202" s="11">
        <f>-'Wariant 2'!AD$90</f>
        <v>0</v>
      </c>
      <c r="AE202" s="11">
        <f>-'Wariant 2'!AE$90</f>
        <v>0</v>
      </c>
      <c r="AF202" s="11">
        <f>-'Wariant 2'!AF$90</f>
        <v>0</v>
      </c>
      <c r="AG202" s="11">
        <f>-'Wariant 2'!AG$90</f>
        <v>0</v>
      </c>
      <c r="AH202" s="11">
        <f>-'Wariant 2'!AH$90</f>
        <v>0</v>
      </c>
      <c r="AI202" s="11">
        <f>-'Wariant 2'!AI$90</f>
        <v>0</v>
      </c>
      <c r="AJ202" s="11">
        <f>-'Wariant 2'!AJ$90</f>
        <v>0</v>
      </c>
      <c r="AK202" s="11">
        <f>-'Wariant 2'!AK$90</f>
        <v>0</v>
      </c>
      <c r="AL202" s="11">
        <f>-'Wariant 2'!AL$90</f>
        <v>0</v>
      </c>
      <c r="AM202" s="11">
        <f>-'Wariant 2'!AM$90</f>
        <v>0</v>
      </c>
      <c r="AN202" s="11">
        <f>-'Wariant 2'!AN$90</f>
        <v>0</v>
      </c>
      <c r="AO202" s="11">
        <f>-'Wariant 2'!AO$90</f>
        <v>0</v>
      </c>
      <c r="AP202" s="11">
        <f>-'Wariant 2'!AP$90</f>
        <v>0</v>
      </c>
      <c r="AQ202" s="11">
        <f>-'Wariant 2'!AQ$90</f>
        <v>0</v>
      </c>
      <c r="AR202" s="11">
        <f>-'Wariant 2'!AR$90</f>
        <v>0</v>
      </c>
      <c r="AS202" s="11">
        <f>-'Wariant 2'!AS$90</f>
        <v>0</v>
      </c>
      <c r="AT202" s="11">
        <f>-'Wariant 2'!AT$90</f>
        <v>0</v>
      </c>
      <c r="AU202" s="11">
        <f>-'Wariant 2'!AU$90</f>
        <v>0</v>
      </c>
      <c r="AV202" s="11">
        <f>-'Wariant 2'!AV$90</f>
        <v>0</v>
      </c>
      <c r="AW202" s="11">
        <f>-'Wariant 2'!AW$90</f>
        <v>0</v>
      </c>
      <c r="AX202" s="11">
        <f>-'Wariant 2'!AX$90</f>
        <v>0</v>
      </c>
      <c r="AY202" s="11">
        <f>-'Wariant 2'!AY$90</f>
        <v>0</v>
      </c>
      <c r="AZ202" s="11">
        <f>-'Wariant 2'!AZ$90</f>
        <v>0</v>
      </c>
      <c r="BA202" s="75">
        <f>-'Wariant 2'!BA$90</f>
        <v>0</v>
      </c>
    </row>
    <row r="203" spans="1:53" ht="15.75" hidden="1" customHeight="1" outlineLevel="1" x14ac:dyDescent="0.35">
      <c r="A203" s="5"/>
      <c r="B203" s="5"/>
      <c r="C203" s="5"/>
      <c r="D203" s="5" t="s">
        <v>100</v>
      </c>
      <c r="E203" s="5"/>
      <c r="F203" s="5"/>
      <c r="G203" s="5"/>
      <c r="H203" s="5"/>
      <c r="I203" s="5"/>
      <c r="J203" s="5"/>
      <c r="K203" s="5"/>
      <c r="N203" s="11">
        <f t="shared" si="44"/>
        <v>0</v>
      </c>
      <c r="Q203" s="11">
        <f>-'Wariant 2'!Q$91</f>
        <v>0</v>
      </c>
      <c r="R203" s="11">
        <f>-'Wariant 2'!R$91</f>
        <v>0</v>
      </c>
      <c r="S203" s="11">
        <f>-'Wariant 2'!S$91</f>
        <v>0</v>
      </c>
      <c r="T203" s="11">
        <f>-'Wariant 2'!T$91</f>
        <v>0</v>
      </c>
      <c r="U203" s="11">
        <f>-'Wariant 2'!U$91</f>
        <v>0</v>
      </c>
      <c r="V203" s="11">
        <f>-'Wariant 2'!V$91</f>
        <v>0</v>
      </c>
      <c r="W203" s="11">
        <f>-'Wariant 2'!W$91</f>
        <v>0</v>
      </c>
      <c r="X203" s="11">
        <f>-'Wariant 2'!X$91</f>
        <v>0</v>
      </c>
      <c r="Y203" s="11">
        <f>-'Wariant 2'!Y$91</f>
        <v>0</v>
      </c>
      <c r="Z203" s="11">
        <f>-'Wariant 2'!Z$91</f>
        <v>0</v>
      </c>
      <c r="AA203" s="11">
        <f>-'Wariant 2'!AA$91</f>
        <v>0</v>
      </c>
      <c r="AB203" s="11">
        <f>-'Wariant 2'!AB$91</f>
        <v>0</v>
      </c>
      <c r="AC203" s="11">
        <f>-'Wariant 2'!AC$91</f>
        <v>0</v>
      </c>
      <c r="AD203" s="11">
        <f>-'Wariant 2'!AD$91</f>
        <v>0</v>
      </c>
      <c r="AE203" s="11">
        <f>-'Wariant 2'!AE$91</f>
        <v>0</v>
      </c>
      <c r="AF203" s="11">
        <f>-'Wariant 2'!AF$91</f>
        <v>0</v>
      </c>
      <c r="AG203" s="11">
        <f>-'Wariant 2'!AG$91</f>
        <v>0</v>
      </c>
      <c r="AH203" s="11">
        <f>-'Wariant 2'!AH$91</f>
        <v>0</v>
      </c>
      <c r="AI203" s="11">
        <f>-'Wariant 2'!AI$91</f>
        <v>0</v>
      </c>
      <c r="AJ203" s="11">
        <f>-'Wariant 2'!AJ$91</f>
        <v>0</v>
      </c>
      <c r="AK203" s="11">
        <f>-'Wariant 2'!AK$91</f>
        <v>0</v>
      </c>
      <c r="AL203" s="11">
        <f>-'Wariant 2'!AL$91</f>
        <v>0</v>
      </c>
      <c r="AM203" s="11">
        <f>-'Wariant 2'!AM$91</f>
        <v>0</v>
      </c>
      <c r="AN203" s="11">
        <f>-'Wariant 2'!AN$91</f>
        <v>0</v>
      </c>
      <c r="AO203" s="11">
        <f>-'Wariant 2'!AO$91</f>
        <v>0</v>
      </c>
      <c r="AP203" s="11">
        <f>-'Wariant 2'!AP$91</f>
        <v>0</v>
      </c>
      <c r="AQ203" s="11">
        <f>-'Wariant 2'!AQ$91</f>
        <v>0</v>
      </c>
      <c r="AR203" s="11">
        <f>-'Wariant 2'!AR$91</f>
        <v>0</v>
      </c>
      <c r="AS203" s="11">
        <f>-'Wariant 2'!AS$91</f>
        <v>0</v>
      </c>
      <c r="AT203" s="11">
        <f>-'Wariant 2'!AT$91</f>
        <v>0</v>
      </c>
      <c r="AU203" s="11">
        <f>-'Wariant 2'!AU$91</f>
        <v>0</v>
      </c>
      <c r="AV203" s="11">
        <f>-'Wariant 2'!AV$91</f>
        <v>0</v>
      </c>
      <c r="AW203" s="11">
        <f>-'Wariant 2'!AW$91</f>
        <v>0</v>
      </c>
      <c r="AX203" s="11">
        <f>-'Wariant 2'!AX$91</f>
        <v>0</v>
      </c>
      <c r="AY203" s="11">
        <f>-'Wariant 2'!AY$91</f>
        <v>0</v>
      </c>
      <c r="AZ203" s="11">
        <f>-'Wariant 2'!AZ$91</f>
        <v>0</v>
      </c>
      <c r="BA203" s="75">
        <f>-'Wariant 2'!BA$91</f>
        <v>0</v>
      </c>
    </row>
    <row r="204" spans="1:53" ht="15.75" hidden="1" customHeight="1" outlineLevel="1" x14ac:dyDescent="0.35">
      <c r="A204" s="5"/>
      <c r="B204" s="5"/>
      <c r="C204" s="5"/>
      <c r="D204" s="5" t="s">
        <v>66</v>
      </c>
      <c r="E204" s="5"/>
      <c r="F204" s="5"/>
      <c r="G204" s="5"/>
      <c r="H204" s="5"/>
      <c r="I204" s="5"/>
      <c r="J204" s="5"/>
      <c r="K204" s="5"/>
      <c r="N204" s="11">
        <f t="shared" si="44"/>
        <v>0</v>
      </c>
      <c r="Q204" s="11">
        <f>-'Wariant 2'!Q$92</f>
        <v>0</v>
      </c>
      <c r="R204" s="11">
        <f>-'Wariant 2'!R$92</f>
        <v>0</v>
      </c>
      <c r="S204" s="11">
        <f>-'Wariant 2'!S$92</f>
        <v>0</v>
      </c>
      <c r="T204" s="11">
        <f>-'Wariant 2'!T$92</f>
        <v>0</v>
      </c>
      <c r="U204" s="11">
        <f>-'Wariant 2'!U$92</f>
        <v>0</v>
      </c>
      <c r="V204" s="11">
        <f>-'Wariant 2'!V$92</f>
        <v>0</v>
      </c>
      <c r="W204" s="11">
        <f>-'Wariant 2'!W$92</f>
        <v>0</v>
      </c>
      <c r="X204" s="11">
        <f>-'Wariant 2'!X$92</f>
        <v>0</v>
      </c>
      <c r="Y204" s="11">
        <f>-'Wariant 2'!Y$92</f>
        <v>0</v>
      </c>
      <c r="Z204" s="11">
        <f>-'Wariant 2'!Z$92</f>
        <v>0</v>
      </c>
      <c r="AA204" s="11">
        <f>-'Wariant 2'!AA$92</f>
        <v>0</v>
      </c>
      <c r="AB204" s="11">
        <f>-'Wariant 2'!AB$92</f>
        <v>0</v>
      </c>
      <c r="AC204" s="11">
        <f>-'Wariant 2'!AC$92</f>
        <v>0</v>
      </c>
      <c r="AD204" s="11">
        <f>-'Wariant 2'!AD$92</f>
        <v>0</v>
      </c>
      <c r="AE204" s="11">
        <f>-'Wariant 2'!AE$92</f>
        <v>0</v>
      </c>
      <c r="AF204" s="11">
        <f>-'Wariant 2'!AF$92</f>
        <v>0</v>
      </c>
      <c r="AG204" s="11">
        <f>-'Wariant 2'!AG$92</f>
        <v>0</v>
      </c>
      <c r="AH204" s="11">
        <f>-'Wariant 2'!AH$92</f>
        <v>0</v>
      </c>
      <c r="AI204" s="11">
        <f>-'Wariant 2'!AI$92</f>
        <v>0</v>
      </c>
      <c r="AJ204" s="11">
        <f>-'Wariant 2'!AJ$92</f>
        <v>0</v>
      </c>
      <c r="AK204" s="11">
        <f>-'Wariant 2'!AK$92</f>
        <v>0</v>
      </c>
      <c r="AL204" s="11">
        <f>-'Wariant 2'!AL$92</f>
        <v>0</v>
      </c>
      <c r="AM204" s="11">
        <f>-'Wariant 2'!AM$92</f>
        <v>0</v>
      </c>
      <c r="AN204" s="11">
        <f>-'Wariant 2'!AN$92</f>
        <v>0</v>
      </c>
      <c r="AO204" s="11">
        <f>-'Wariant 2'!AO$92</f>
        <v>0</v>
      </c>
      <c r="AP204" s="11">
        <f>-'Wariant 2'!AP$92</f>
        <v>0</v>
      </c>
      <c r="AQ204" s="11">
        <f>-'Wariant 2'!AQ$92</f>
        <v>0</v>
      </c>
      <c r="AR204" s="11">
        <f>-'Wariant 2'!AR$92</f>
        <v>0</v>
      </c>
      <c r="AS204" s="11">
        <f>-'Wariant 2'!AS$92</f>
        <v>0</v>
      </c>
      <c r="AT204" s="11">
        <f>-'Wariant 2'!AT$92</f>
        <v>0</v>
      </c>
      <c r="AU204" s="11">
        <f>-'Wariant 2'!AU$92</f>
        <v>0</v>
      </c>
      <c r="AV204" s="11">
        <f>-'Wariant 2'!AV$92</f>
        <v>0</v>
      </c>
      <c r="AW204" s="11">
        <f>-'Wariant 2'!AW$92</f>
        <v>0</v>
      </c>
      <c r="AX204" s="11">
        <f>-'Wariant 2'!AX$92</f>
        <v>0</v>
      </c>
      <c r="AY204" s="11">
        <f>-'Wariant 2'!AY$92</f>
        <v>0</v>
      </c>
      <c r="AZ204" s="11">
        <f>-'Wariant 2'!AZ$92</f>
        <v>0</v>
      </c>
      <c r="BA204" s="75">
        <f>-'Wariant 2'!BA$92</f>
        <v>0</v>
      </c>
    </row>
    <row r="205" spans="1:53" ht="15.75" hidden="1" customHeight="1" outlineLevel="1" x14ac:dyDescent="0.35">
      <c r="A205" s="5"/>
      <c r="B205" s="5"/>
      <c r="C205" s="5"/>
      <c r="D205" s="5" t="s">
        <v>72</v>
      </c>
      <c r="E205" s="5"/>
      <c r="F205" s="5"/>
      <c r="G205" s="5"/>
      <c r="H205" s="5"/>
      <c r="I205" s="5"/>
      <c r="J205" s="5"/>
      <c r="K205" s="5"/>
      <c r="N205" s="11">
        <f t="shared" si="44"/>
        <v>0</v>
      </c>
      <c r="Q205" s="11">
        <f>-'Wariant 2'!Q$93</f>
        <v>0</v>
      </c>
      <c r="R205" s="11">
        <f>-'Wariant 2'!R$93</f>
        <v>0</v>
      </c>
      <c r="S205" s="11">
        <f>-'Wariant 2'!S$93</f>
        <v>0</v>
      </c>
      <c r="T205" s="11">
        <f>-'Wariant 2'!T$93</f>
        <v>0</v>
      </c>
      <c r="U205" s="11">
        <f>-'Wariant 2'!U$93</f>
        <v>0</v>
      </c>
      <c r="V205" s="11">
        <f>-'Wariant 2'!V$93</f>
        <v>0</v>
      </c>
      <c r="W205" s="11">
        <f>-'Wariant 2'!W$93</f>
        <v>0</v>
      </c>
      <c r="X205" s="11">
        <f>-'Wariant 2'!X$93</f>
        <v>0</v>
      </c>
      <c r="Y205" s="11">
        <f>-'Wariant 2'!Y$93</f>
        <v>0</v>
      </c>
      <c r="Z205" s="11">
        <f>-'Wariant 2'!Z$93</f>
        <v>0</v>
      </c>
      <c r="AA205" s="11">
        <f>-'Wariant 2'!AA$93</f>
        <v>0</v>
      </c>
      <c r="AB205" s="11">
        <f>-'Wariant 2'!AB$93</f>
        <v>0</v>
      </c>
      <c r="AC205" s="11">
        <f>-'Wariant 2'!AC$93</f>
        <v>0</v>
      </c>
      <c r="AD205" s="11">
        <f>-'Wariant 2'!AD$93</f>
        <v>0</v>
      </c>
      <c r="AE205" s="11">
        <f>-'Wariant 2'!AE$93</f>
        <v>0</v>
      </c>
      <c r="AF205" s="11">
        <f>-'Wariant 2'!AF$93</f>
        <v>0</v>
      </c>
      <c r="AG205" s="11">
        <f>-'Wariant 2'!AG$93</f>
        <v>0</v>
      </c>
      <c r="AH205" s="11">
        <f>-'Wariant 2'!AH$93</f>
        <v>0</v>
      </c>
      <c r="AI205" s="11">
        <f>-'Wariant 2'!AI$93</f>
        <v>0</v>
      </c>
      <c r="AJ205" s="11">
        <f>-'Wariant 2'!AJ$93</f>
        <v>0</v>
      </c>
      <c r="AK205" s="11">
        <f>-'Wariant 2'!AK$93</f>
        <v>0</v>
      </c>
      <c r="AL205" s="11">
        <f>-'Wariant 2'!AL$93</f>
        <v>0</v>
      </c>
      <c r="AM205" s="11">
        <f>-'Wariant 2'!AM$93</f>
        <v>0</v>
      </c>
      <c r="AN205" s="11">
        <f>-'Wariant 2'!AN$93</f>
        <v>0</v>
      </c>
      <c r="AO205" s="11">
        <f>-'Wariant 2'!AO$93</f>
        <v>0</v>
      </c>
      <c r="AP205" s="11">
        <f>-'Wariant 2'!AP$93</f>
        <v>0</v>
      </c>
      <c r="AQ205" s="11">
        <f>-'Wariant 2'!AQ$93</f>
        <v>0</v>
      </c>
      <c r="AR205" s="11">
        <f>-'Wariant 2'!AR$93</f>
        <v>0</v>
      </c>
      <c r="AS205" s="11">
        <f>-'Wariant 2'!AS$93</f>
        <v>0</v>
      </c>
      <c r="AT205" s="11">
        <f>-'Wariant 2'!AT$93</f>
        <v>0</v>
      </c>
      <c r="AU205" s="11">
        <f>-'Wariant 2'!AU$93</f>
        <v>0</v>
      </c>
      <c r="AV205" s="11">
        <f>-'Wariant 2'!AV$93</f>
        <v>0</v>
      </c>
      <c r="AW205" s="11">
        <f>-'Wariant 2'!AW$93</f>
        <v>0</v>
      </c>
      <c r="AX205" s="11">
        <f>-'Wariant 2'!AX$93</f>
        <v>0</v>
      </c>
      <c r="AY205" s="11">
        <f>-'Wariant 2'!AY$93</f>
        <v>0</v>
      </c>
      <c r="AZ205" s="11">
        <f>-'Wariant 2'!AZ$93</f>
        <v>0</v>
      </c>
      <c r="BA205" s="75">
        <f>-'Wariant 2'!BA$93</f>
        <v>0</v>
      </c>
    </row>
    <row r="206" spans="1:53" ht="15.75" hidden="1" customHeight="1" outlineLevel="1" x14ac:dyDescent="0.35">
      <c r="A206" s="5"/>
      <c r="B206" s="5"/>
      <c r="C206" s="5"/>
      <c r="D206" s="5" t="s">
        <v>50</v>
      </c>
      <c r="E206" s="5"/>
      <c r="F206" s="5"/>
      <c r="G206" s="5"/>
      <c r="H206" s="5"/>
      <c r="I206" s="5"/>
      <c r="J206" s="5"/>
      <c r="K206" s="5"/>
      <c r="N206" s="11">
        <f t="shared" si="44"/>
        <v>0</v>
      </c>
      <c r="Q206" s="11">
        <f>-'Wariant 2'!Q$94</f>
        <v>0</v>
      </c>
      <c r="R206" s="11">
        <f>-'Wariant 2'!R$94</f>
        <v>0</v>
      </c>
      <c r="S206" s="11">
        <f>-'Wariant 2'!S$94</f>
        <v>0</v>
      </c>
      <c r="T206" s="11">
        <f>-'Wariant 2'!T$94</f>
        <v>0</v>
      </c>
      <c r="U206" s="11">
        <f>-'Wariant 2'!U$94</f>
        <v>0</v>
      </c>
      <c r="V206" s="11">
        <f>-'Wariant 2'!V$94</f>
        <v>0</v>
      </c>
      <c r="W206" s="11">
        <f>-'Wariant 2'!W$94</f>
        <v>0</v>
      </c>
      <c r="X206" s="11">
        <f>-'Wariant 2'!X$94</f>
        <v>0</v>
      </c>
      <c r="Y206" s="11">
        <f>-'Wariant 2'!Y$94</f>
        <v>0</v>
      </c>
      <c r="Z206" s="11">
        <f>-'Wariant 2'!Z$94</f>
        <v>0</v>
      </c>
      <c r="AA206" s="11">
        <f>-'Wariant 2'!AA$94</f>
        <v>0</v>
      </c>
      <c r="AB206" s="11">
        <f>-'Wariant 2'!AB$94</f>
        <v>0</v>
      </c>
      <c r="AC206" s="11">
        <f>-'Wariant 2'!AC$94</f>
        <v>0</v>
      </c>
      <c r="AD206" s="11">
        <f>-'Wariant 2'!AD$94</f>
        <v>0</v>
      </c>
      <c r="AE206" s="11">
        <f>-'Wariant 2'!AE$94</f>
        <v>0</v>
      </c>
      <c r="AF206" s="11">
        <f>-'Wariant 2'!AF$94</f>
        <v>0</v>
      </c>
      <c r="AG206" s="11">
        <f>-'Wariant 2'!AG$94</f>
        <v>0</v>
      </c>
      <c r="AH206" s="11">
        <f>-'Wariant 2'!AH$94</f>
        <v>0</v>
      </c>
      <c r="AI206" s="11">
        <f>-'Wariant 2'!AI$94</f>
        <v>0</v>
      </c>
      <c r="AJ206" s="11">
        <f>-'Wariant 2'!AJ$94</f>
        <v>0</v>
      </c>
      <c r="AK206" s="11">
        <f>-'Wariant 2'!AK$94</f>
        <v>0</v>
      </c>
      <c r="AL206" s="11">
        <f>-'Wariant 2'!AL$94</f>
        <v>0</v>
      </c>
      <c r="AM206" s="11">
        <f>-'Wariant 2'!AM$94</f>
        <v>0</v>
      </c>
      <c r="AN206" s="11">
        <f>-'Wariant 2'!AN$94</f>
        <v>0</v>
      </c>
      <c r="AO206" s="11">
        <f>-'Wariant 2'!AO$94</f>
        <v>0</v>
      </c>
      <c r="AP206" s="11">
        <f>-'Wariant 2'!AP$94</f>
        <v>0</v>
      </c>
      <c r="AQ206" s="11">
        <f>-'Wariant 2'!AQ$94</f>
        <v>0</v>
      </c>
      <c r="AR206" s="11">
        <f>-'Wariant 2'!AR$94</f>
        <v>0</v>
      </c>
      <c r="AS206" s="11">
        <f>-'Wariant 2'!AS$94</f>
        <v>0</v>
      </c>
      <c r="AT206" s="11">
        <f>-'Wariant 2'!AT$94</f>
        <v>0</v>
      </c>
      <c r="AU206" s="11">
        <f>-'Wariant 2'!AU$94</f>
        <v>0</v>
      </c>
      <c r="AV206" s="11">
        <f>-'Wariant 2'!AV$94</f>
        <v>0</v>
      </c>
      <c r="AW206" s="11">
        <f>-'Wariant 2'!AW$94</f>
        <v>0</v>
      </c>
      <c r="AX206" s="11">
        <f>-'Wariant 2'!AX$94</f>
        <v>0</v>
      </c>
      <c r="AY206" s="11">
        <f>-'Wariant 2'!AY$94</f>
        <v>0</v>
      </c>
      <c r="AZ206" s="11">
        <f>-'Wariant 2'!AZ$94</f>
        <v>0</v>
      </c>
      <c r="BA206" s="75">
        <f>-'Wariant 2'!BA$94</f>
        <v>0</v>
      </c>
    </row>
    <row r="207" spans="1:53" ht="15.75" hidden="1" customHeight="1" outlineLevel="1" x14ac:dyDescent="0.35">
      <c r="A207" s="5"/>
      <c r="B207" s="5"/>
      <c r="C207" s="5"/>
      <c r="D207" s="5" t="s">
        <v>33</v>
      </c>
      <c r="E207" s="5"/>
      <c r="F207" s="5"/>
      <c r="G207" s="5"/>
      <c r="H207" s="5"/>
      <c r="I207" s="5"/>
      <c r="J207" s="5"/>
      <c r="K207" s="5"/>
      <c r="N207" s="11">
        <f t="shared" si="44"/>
        <v>0</v>
      </c>
      <c r="Q207" s="11">
        <f>-'Wariant 2'!Q$102</f>
        <v>0</v>
      </c>
      <c r="R207" s="11">
        <f>-'Wariant 2'!R$102</f>
        <v>0</v>
      </c>
      <c r="S207" s="11">
        <f>-'Wariant 2'!S$102</f>
        <v>0</v>
      </c>
      <c r="T207" s="11">
        <f>-'Wariant 2'!T$102</f>
        <v>0</v>
      </c>
      <c r="U207" s="11">
        <f>-'Wariant 2'!U$102</f>
        <v>0</v>
      </c>
      <c r="V207" s="11">
        <f>-'Wariant 2'!V$102</f>
        <v>0</v>
      </c>
      <c r="W207" s="11">
        <f>-'Wariant 2'!W$102</f>
        <v>0</v>
      </c>
      <c r="X207" s="11">
        <f>-'Wariant 2'!X$102</f>
        <v>0</v>
      </c>
      <c r="Y207" s="11">
        <f>-'Wariant 2'!Y$102</f>
        <v>0</v>
      </c>
      <c r="Z207" s="11">
        <f>-'Wariant 2'!Z$102</f>
        <v>0</v>
      </c>
      <c r="AA207" s="11">
        <f>-'Wariant 2'!AA$102</f>
        <v>0</v>
      </c>
      <c r="AB207" s="11">
        <f>-'Wariant 2'!AB$102</f>
        <v>0</v>
      </c>
      <c r="AC207" s="11">
        <f>-'Wariant 2'!AC$102</f>
        <v>0</v>
      </c>
      <c r="AD207" s="11">
        <f>-'Wariant 2'!AD$102</f>
        <v>0</v>
      </c>
      <c r="AE207" s="11">
        <f>-'Wariant 2'!AE$102</f>
        <v>0</v>
      </c>
      <c r="AF207" s="11">
        <f>-'Wariant 2'!AF$102</f>
        <v>0</v>
      </c>
      <c r="AG207" s="11">
        <f>-'Wariant 2'!AG$102</f>
        <v>0</v>
      </c>
      <c r="AH207" s="11">
        <f>-'Wariant 2'!AH$102</f>
        <v>0</v>
      </c>
      <c r="AI207" s="11">
        <f>-'Wariant 2'!AI$102</f>
        <v>0</v>
      </c>
      <c r="AJ207" s="11">
        <f>-'Wariant 2'!AJ$102</f>
        <v>0</v>
      </c>
      <c r="AK207" s="11">
        <f>-'Wariant 2'!AK$102</f>
        <v>0</v>
      </c>
      <c r="AL207" s="11">
        <f>-'Wariant 2'!AL$102</f>
        <v>0</v>
      </c>
      <c r="AM207" s="11">
        <f>-'Wariant 2'!AM$102</f>
        <v>0</v>
      </c>
      <c r="AN207" s="11">
        <f>-'Wariant 2'!AN$102</f>
        <v>0</v>
      </c>
      <c r="AO207" s="11">
        <f>-'Wariant 2'!AO$102</f>
        <v>0</v>
      </c>
      <c r="AP207" s="11">
        <f>-'Wariant 2'!AP$102</f>
        <v>0</v>
      </c>
      <c r="AQ207" s="11">
        <f>-'Wariant 2'!AQ$102</f>
        <v>0</v>
      </c>
      <c r="AR207" s="11">
        <f>-'Wariant 2'!AR$102</f>
        <v>0</v>
      </c>
      <c r="AS207" s="11">
        <f>-'Wariant 2'!AS$102</f>
        <v>0</v>
      </c>
      <c r="AT207" s="11">
        <f>-'Wariant 2'!AT$102</f>
        <v>0</v>
      </c>
      <c r="AU207" s="11">
        <f>-'Wariant 2'!AU$102</f>
        <v>0</v>
      </c>
      <c r="AV207" s="11">
        <f>-'Wariant 2'!AV$102</f>
        <v>0</v>
      </c>
      <c r="AW207" s="11">
        <f>-'Wariant 2'!AW$102</f>
        <v>0</v>
      </c>
      <c r="AX207" s="11">
        <f>-'Wariant 2'!AX$102</f>
        <v>0</v>
      </c>
      <c r="AY207" s="11">
        <f>-'Wariant 2'!AY$102</f>
        <v>0</v>
      </c>
      <c r="AZ207" s="11">
        <f>-'Wariant 2'!AZ$102</f>
        <v>0</v>
      </c>
      <c r="BA207" s="75">
        <f>-'Wariant 2'!BA$102</f>
        <v>0</v>
      </c>
    </row>
    <row r="208" spans="1:53" ht="15.75" hidden="1" customHeight="1" outlineLevel="1" x14ac:dyDescent="0.35">
      <c r="A208" s="5"/>
      <c r="B208" s="5"/>
      <c r="C208" s="5" t="s">
        <v>159</v>
      </c>
      <c r="E208" s="5"/>
      <c r="F208" s="5"/>
      <c r="G208" s="5"/>
      <c r="H208" s="5"/>
      <c r="I208" s="5"/>
      <c r="J208" s="5"/>
      <c r="K208" s="5"/>
      <c r="N208" s="1">
        <f t="shared" si="44"/>
        <v>0</v>
      </c>
      <c r="Q208" s="1">
        <f t="shared" ref="Q208:BA208" si="48">SUM(Q209:Q210)</f>
        <v>0</v>
      </c>
      <c r="R208" s="1">
        <f t="shared" si="48"/>
        <v>0</v>
      </c>
      <c r="S208" s="1">
        <f t="shared" si="48"/>
        <v>0</v>
      </c>
      <c r="T208" s="1">
        <f t="shared" si="48"/>
        <v>0</v>
      </c>
      <c r="U208" s="1">
        <f t="shared" si="48"/>
        <v>0</v>
      </c>
      <c r="V208" s="1">
        <f t="shared" si="48"/>
        <v>0</v>
      </c>
      <c r="W208" s="1">
        <f t="shared" si="48"/>
        <v>0</v>
      </c>
      <c r="X208" s="1">
        <f t="shared" si="48"/>
        <v>0</v>
      </c>
      <c r="Y208" s="1">
        <f t="shared" si="48"/>
        <v>0</v>
      </c>
      <c r="Z208" s="1">
        <f t="shared" si="48"/>
        <v>0</v>
      </c>
      <c r="AA208" s="1">
        <f t="shared" si="48"/>
        <v>0</v>
      </c>
      <c r="AB208" s="1">
        <f t="shared" si="48"/>
        <v>0</v>
      </c>
      <c r="AC208" s="1">
        <f t="shared" si="48"/>
        <v>0</v>
      </c>
      <c r="AD208" s="1">
        <f t="shared" si="48"/>
        <v>0</v>
      </c>
      <c r="AE208" s="1">
        <f t="shared" si="48"/>
        <v>0</v>
      </c>
      <c r="AF208" s="1">
        <f t="shared" si="48"/>
        <v>0</v>
      </c>
      <c r="AG208" s="1">
        <f t="shared" si="48"/>
        <v>0</v>
      </c>
      <c r="AH208" s="1">
        <f t="shared" si="48"/>
        <v>0</v>
      </c>
      <c r="AI208" s="1">
        <f t="shared" si="48"/>
        <v>0</v>
      </c>
      <c r="AJ208" s="1">
        <f t="shared" si="48"/>
        <v>0</v>
      </c>
      <c r="AK208" s="1">
        <f t="shared" si="48"/>
        <v>0</v>
      </c>
      <c r="AL208" s="1">
        <f t="shared" si="48"/>
        <v>0</v>
      </c>
      <c r="AM208" s="1">
        <f t="shared" si="48"/>
        <v>0</v>
      </c>
      <c r="AN208" s="1">
        <f t="shared" si="48"/>
        <v>0</v>
      </c>
      <c r="AO208" s="1">
        <f t="shared" si="48"/>
        <v>0</v>
      </c>
      <c r="AP208" s="1">
        <f t="shared" si="48"/>
        <v>0</v>
      </c>
      <c r="AQ208" s="1">
        <f t="shared" si="48"/>
        <v>0</v>
      </c>
      <c r="AR208" s="1">
        <f t="shared" si="48"/>
        <v>0</v>
      </c>
      <c r="AS208" s="1">
        <f t="shared" si="48"/>
        <v>0</v>
      </c>
      <c r="AT208" s="1">
        <f t="shared" si="48"/>
        <v>0</v>
      </c>
      <c r="AU208" s="1">
        <f t="shared" si="48"/>
        <v>0</v>
      </c>
      <c r="AV208" s="1">
        <f t="shared" si="48"/>
        <v>0</v>
      </c>
      <c r="AW208" s="1">
        <f t="shared" si="48"/>
        <v>0</v>
      </c>
      <c r="AX208" s="1">
        <f t="shared" si="48"/>
        <v>0</v>
      </c>
      <c r="AY208" s="1">
        <f t="shared" si="48"/>
        <v>0</v>
      </c>
      <c r="AZ208" s="1">
        <f t="shared" si="48"/>
        <v>0</v>
      </c>
      <c r="BA208" s="74">
        <f t="shared" si="48"/>
        <v>0</v>
      </c>
    </row>
    <row r="209" spans="1:53" ht="15.75" hidden="1" customHeight="1" outlineLevel="1" x14ac:dyDescent="0.35">
      <c r="A209" s="5"/>
      <c r="B209" s="5"/>
      <c r="C209" s="5"/>
      <c r="D209" s="5" t="s">
        <v>142</v>
      </c>
      <c r="E209" s="5"/>
      <c r="F209" s="5"/>
      <c r="G209" s="5"/>
      <c r="H209" s="5"/>
      <c r="I209" s="5"/>
      <c r="J209" s="5"/>
      <c r="K209" s="5"/>
      <c r="N209" s="11">
        <f t="shared" si="44"/>
        <v>0</v>
      </c>
      <c r="Q209" s="11">
        <f>-'Wariant 2'!Q$97</f>
        <v>0</v>
      </c>
      <c r="R209" s="11">
        <f>-'Wariant 2'!R$97</f>
        <v>0</v>
      </c>
      <c r="S209" s="11">
        <f>-'Wariant 2'!S$97</f>
        <v>0</v>
      </c>
      <c r="T209" s="11">
        <f>-'Wariant 2'!T$97</f>
        <v>0</v>
      </c>
      <c r="U209" s="11">
        <f>-'Wariant 2'!U$97</f>
        <v>0</v>
      </c>
      <c r="V209" s="11">
        <f>-'Wariant 2'!V$97</f>
        <v>0</v>
      </c>
      <c r="W209" s="11">
        <f>-'Wariant 2'!W$97</f>
        <v>0</v>
      </c>
      <c r="X209" s="11">
        <f>-'Wariant 2'!X$97</f>
        <v>0</v>
      </c>
      <c r="Y209" s="11">
        <f>-'Wariant 2'!Y$97</f>
        <v>0</v>
      </c>
      <c r="Z209" s="11">
        <f>-'Wariant 2'!Z$97</f>
        <v>0</v>
      </c>
      <c r="AA209" s="11">
        <f>-'Wariant 2'!AA$97</f>
        <v>0</v>
      </c>
      <c r="AB209" s="11">
        <f>-'Wariant 2'!AB$97</f>
        <v>0</v>
      </c>
      <c r="AC209" s="11">
        <f>-'Wariant 2'!AC$97</f>
        <v>0</v>
      </c>
      <c r="AD209" s="11">
        <f>-'Wariant 2'!AD$97</f>
        <v>0</v>
      </c>
      <c r="AE209" s="11">
        <f>-'Wariant 2'!AE$97</f>
        <v>0</v>
      </c>
      <c r="AF209" s="11">
        <f>-'Wariant 2'!AF$97</f>
        <v>0</v>
      </c>
      <c r="AG209" s="11">
        <f>-'Wariant 2'!AG$97</f>
        <v>0</v>
      </c>
      <c r="AH209" s="11">
        <f>-'Wariant 2'!AH$97</f>
        <v>0</v>
      </c>
      <c r="AI209" s="11">
        <f>-'Wariant 2'!AI$97</f>
        <v>0</v>
      </c>
      <c r="AJ209" s="11">
        <f>-'Wariant 2'!AJ$97</f>
        <v>0</v>
      </c>
      <c r="AK209" s="11">
        <f>-'Wariant 2'!AK$97</f>
        <v>0</v>
      </c>
      <c r="AL209" s="11">
        <f>-'Wariant 2'!AL$97</f>
        <v>0</v>
      </c>
      <c r="AM209" s="11">
        <f>-'Wariant 2'!AM$97</f>
        <v>0</v>
      </c>
      <c r="AN209" s="11">
        <f>-'Wariant 2'!AN$97</f>
        <v>0</v>
      </c>
      <c r="AO209" s="11">
        <f>-'Wariant 2'!AO$97</f>
        <v>0</v>
      </c>
      <c r="AP209" s="11">
        <f>-'Wariant 2'!AP$97</f>
        <v>0</v>
      </c>
      <c r="AQ209" s="11">
        <f>-'Wariant 2'!AQ$97</f>
        <v>0</v>
      </c>
      <c r="AR209" s="11">
        <f>-'Wariant 2'!AR$97</f>
        <v>0</v>
      </c>
      <c r="AS209" s="11">
        <f>-'Wariant 2'!AS$97</f>
        <v>0</v>
      </c>
      <c r="AT209" s="11">
        <f>-'Wariant 2'!AT$97</f>
        <v>0</v>
      </c>
      <c r="AU209" s="11">
        <f>-'Wariant 2'!AU$97</f>
        <v>0</v>
      </c>
      <c r="AV209" s="11">
        <f>-'Wariant 2'!AV$97</f>
        <v>0</v>
      </c>
      <c r="AW209" s="11">
        <f>-'Wariant 2'!AW$97</f>
        <v>0</v>
      </c>
      <c r="AX209" s="11">
        <f>-'Wariant 2'!AX$97</f>
        <v>0</v>
      </c>
      <c r="AY209" s="11">
        <f>-'Wariant 2'!AY$97</f>
        <v>0</v>
      </c>
      <c r="AZ209" s="11">
        <f>-'Wariant 2'!AZ$97</f>
        <v>0</v>
      </c>
      <c r="BA209" s="75">
        <f>-'Wariant 2'!BA$97</f>
        <v>0</v>
      </c>
    </row>
    <row r="210" spans="1:53" ht="15.75" hidden="1" customHeight="1" outlineLevel="1" x14ac:dyDescent="0.35">
      <c r="A210" s="5"/>
      <c r="B210" s="5"/>
      <c r="C210" s="5"/>
      <c r="D210" s="5" t="s">
        <v>33</v>
      </c>
      <c r="E210" s="5"/>
      <c r="F210" s="5"/>
      <c r="G210" s="5"/>
      <c r="H210" s="5"/>
      <c r="I210" s="5"/>
      <c r="J210" s="5"/>
      <c r="K210" s="5"/>
      <c r="N210" s="11">
        <f t="shared" si="44"/>
        <v>0</v>
      </c>
      <c r="Q210" s="11">
        <f>-'Wariant 2'!Q$107</f>
        <v>0</v>
      </c>
      <c r="R210" s="11">
        <f>-'Wariant 2'!R$107</f>
        <v>0</v>
      </c>
      <c r="S210" s="11">
        <f>-'Wariant 2'!S$107</f>
        <v>0</v>
      </c>
      <c r="T210" s="11">
        <f>-'Wariant 2'!T$107</f>
        <v>0</v>
      </c>
      <c r="U210" s="11">
        <f>-'Wariant 2'!U$107</f>
        <v>0</v>
      </c>
      <c r="V210" s="11">
        <f>-'Wariant 2'!V$107</f>
        <v>0</v>
      </c>
      <c r="W210" s="11">
        <f>-'Wariant 2'!W$107</f>
        <v>0</v>
      </c>
      <c r="X210" s="11">
        <f>-'Wariant 2'!X$107</f>
        <v>0</v>
      </c>
      <c r="Y210" s="11">
        <f>-'Wariant 2'!Y$107</f>
        <v>0</v>
      </c>
      <c r="Z210" s="11">
        <f>-'Wariant 2'!Z$107</f>
        <v>0</v>
      </c>
      <c r="AA210" s="11">
        <f>-'Wariant 2'!AA$107</f>
        <v>0</v>
      </c>
      <c r="AB210" s="11">
        <f>-'Wariant 2'!AB$107</f>
        <v>0</v>
      </c>
      <c r="AC210" s="11">
        <f>-'Wariant 2'!AC$107</f>
        <v>0</v>
      </c>
      <c r="AD210" s="11">
        <f>-'Wariant 2'!AD$107</f>
        <v>0</v>
      </c>
      <c r="AE210" s="11">
        <f>-'Wariant 2'!AE$107</f>
        <v>0</v>
      </c>
      <c r="AF210" s="11">
        <f>-'Wariant 2'!AF$107</f>
        <v>0</v>
      </c>
      <c r="AG210" s="11">
        <f>-'Wariant 2'!AG$107</f>
        <v>0</v>
      </c>
      <c r="AH210" s="11">
        <f>-'Wariant 2'!AH$107</f>
        <v>0</v>
      </c>
      <c r="AI210" s="11">
        <f>-'Wariant 2'!AI$107</f>
        <v>0</v>
      </c>
      <c r="AJ210" s="11">
        <f>-'Wariant 2'!AJ$107</f>
        <v>0</v>
      </c>
      <c r="AK210" s="11">
        <f>-'Wariant 2'!AK$107</f>
        <v>0</v>
      </c>
      <c r="AL210" s="11">
        <f>-'Wariant 2'!AL$107</f>
        <v>0</v>
      </c>
      <c r="AM210" s="11">
        <f>-'Wariant 2'!AM$107</f>
        <v>0</v>
      </c>
      <c r="AN210" s="11">
        <f>-'Wariant 2'!AN$107</f>
        <v>0</v>
      </c>
      <c r="AO210" s="11">
        <f>-'Wariant 2'!AO$107</f>
        <v>0</v>
      </c>
      <c r="AP210" s="11">
        <f>-'Wariant 2'!AP$107</f>
        <v>0</v>
      </c>
      <c r="AQ210" s="11">
        <f>-'Wariant 2'!AQ$107</f>
        <v>0</v>
      </c>
      <c r="AR210" s="11">
        <f>-'Wariant 2'!AR$107</f>
        <v>0</v>
      </c>
      <c r="AS210" s="11">
        <f>-'Wariant 2'!AS$107</f>
        <v>0</v>
      </c>
      <c r="AT210" s="11">
        <f>-'Wariant 2'!AT$107</f>
        <v>0</v>
      </c>
      <c r="AU210" s="11">
        <f>-'Wariant 2'!AU$107</f>
        <v>0</v>
      </c>
      <c r="AV210" s="11">
        <f>-'Wariant 2'!AV$107</f>
        <v>0</v>
      </c>
      <c r="AW210" s="11">
        <f>-'Wariant 2'!AW$107</f>
        <v>0</v>
      </c>
      <c r="AX210" s="11">
        <f>-'Wariant 2'!AX$107</f>
        <v>0</v>
      </c>
      <c r="AY210" s="11">
        <f>-'Wariant 2'!AY$107</f>
        <v>0</v>
      </c>
      <c r="AZ210" s="11">
        <f>-'Wariant 2'!AZ$107</f>
        <v>0</v>
      </c>
      <c r="BA210" s="75">
        <f>-'Wariant 2'!BA$107</f>
        <v>0</v>
      </c>
    </row>
    <row r="211" spans="1:53" ht="14.5" hidden="1" outlineLevel="1" x14ac:dyDescent="0.35"/>
    <row r="212" spans="1:53" ht="15.75" hidden="1" customHeight="1" outlineLevel="1" x14ac:dyDescent="0.35">
      <c r="A212" s="15"/>
      <c r="B212" s="16" t="s">
        <v>76</v>
      </c>
      <c r="C212" s="16"/>
      <c r="D212" s="16"/>
      <c r="E212" s="16"/>
      <c r="F212" s="16"/>
      <c r="G212" s="16"/>
      <c r="H212" s="16"/>
      <c r="I212" s="16"/>
      <c r="J212" s="16"/>
      <c r="K212" s="16"/>
      <c r="L212" s="3"/>
      <c r="M212" s="3"/>
      <c r="N212" s="4">
        <f t="shared" ref="N212:N218" si="49">SUM(Q212:BA212)</f>
        <v>0</v>
      </c>
      <c r="O212" s="3"/>
      <c r="P212" s="3"/>
      <c r="Q212" s="4">
        <f t="shared" ref="Q212:BA212" si="50">SUM(Q213,Q216)</f>
        <v>0</v>
      </c>
      <c r="R212" s="4">
        <f t="shared" si="50"/>
        <v>0</v>
      </c>
      <c r="S212" s="4">
        <f t="shared" si="50"/>
        <v>0</v>
      </c>
      <c r="T212" s="4">
        <f t="shared" si="50"/>
        <v>0</v>
      </c>
      <c r="U212" s="4">
        <f t="shared" si="50"/>
        <v>0</v>
      </c>
      <c r="V212" s="4">
        <f t="shared" si="50"/>
        <v>0</v>
      </c>
      <c r="W212" s="4">
        <f t="shared" si="50"/>
        <v>0</v>
      </c>
      <c r="X212" s="4">
        <f t="shared" si="50"/>
        <v>0</v>
      </c>
      <c r="Y212" s="4">
        <f t="shared" si="50"/>
        <v>0</v>
      </c>
      <c r="Z212" s="4">
        <f t="shared" si="50"/>
        <v>0</v>
      </c>
      <c r="AA212" s="4">
        <f t="shared" si="50"/>
        <v>0</v>
      </c>
      <c r="AB212" s="4">
        <f t="shared" si="50"/>
        <v>0</v>
      </c>
      <c r="AC212" s="4">
        <f t="shared" si="50"/>
        <v>0</v>
      </c>
      <c r="AD212" s="4">
        <f t="shared" si="50"/>
        <v>0</v>
      </c>
      <c r="AE212" s="4">
        <f t="shared" si="50"/>
        <v>0</v>
      </c>
      <c r="AF212" s="4">
        <f t="shared" si="50"/>
        <v>0</v>
      </c>
      <c r="AG212" s="4">
        <f t="shared" si="50"/>
        <v>0</v>
      </c>
      <c r="AH212" s="4">
        <f t="shared" si="50"/>
        <v>0</v>
      </c>
      <c r="AI212" s="4">
        <f t="shared" si="50"/>
        <v>0</v>
      </c>
      <c r="AJ212" s="4">
        <f t="shared" si="50"/>
        <v>0</v>
      </c>
      <c r="AK212" s="4">
        <f t="shared" si="50"/>
        <v>0</v>
      </c>
      <c r="AL212" s="4">
        <f t="shared" si="50"/>
        <v>0</v>
      </c>
      <c r="AM212" s="4">
        <f t="shared" si="50"/>
        <v>0</v>
      </c>
      <c r="AN212" s="4">
        <f t="shared" si="50"/>
        <v>0</v>
      </c>
      <c r="AO212" s="4">
        <f t="shared" si="50"/>
        <v>0</v>
      </c>
      <c r="AP212" s="4">
        <f t="shared" si="50"/>
        <v>0</v>
      </c>
      <c r="AQ212" s="4">
        <f t="shared" si="50"/>
        <v>0</v>
      </c>
      <c r="AR212" s="4">
        <f t="shared" si="50"/>
        <v>0</v>
      </c>
      <c r="AS212" s="4">
        <f t="shared" si="50"/>
        <v>0</v>
      </c>
      <c r="AT212" s="4">
        <f t="shared" si="50"/>
        <v>0</v>
      </c>
      <c r="AU212" s="4">
        <f t="shared" si="50"/>
        <v>0</v>
      </c>
      <c r="AV212" s="4">
        <f t="shared" si="50"/>
        <v>0</v>
      </c>
      <c r="AW212" s="4">
        <f t="shared" si="50"/>
        <v>0</v>
      </c>
      <c r="AX212" s="4">
        <f t="shared" si="50"/>
        <v>0</v>
      </c>
      <c r="AY212" s="4">
        <f t="shared" si="50"/>
        <v>0</v>
      </c>
      <c r="AZ212" s="4">
        <f t="shared" si="50"/>
        <v>0</v>
      </c>
      <c r="BA212" s="73">
        <f t="shared" si="50"/>
        <v>0</v>
      </c>
    </row>
    <row r="213" spans="1:53" ht="15.75" hidden="1" customHeight="1" outlineLevel="1" x14ac:dyDescent="0.35">
      <c r="A213" s="5"/>
      <c r="B213" s="5"/>
      <c r="C213" s="5" t="s">
        <v>160</v>
      </c>
      <c r="D213" s="5"/>
      <c r="E213" s="5"/>
      <c r="F213" s="5"/>
      <c r="G213" s="5"/>
      <c r="H213" s="5"/>
      <c r="I213" s="5"/>
      <c r="J213" s="5"/>
      <c r="K213" s="5"/>
      <c r="N213" s="1">
        <f t="shared" si="49"/>
        <v>0</v>
      </c>
      <c r="Q213" s="11">
        <f t="shared" ref="Q213" si="51">SUM(Q214:Q215)</f>
        <v>0</v>
      </c>
      <c r="R213" s="11">
        <f t="shared" ref="R213:BA213" si="52">SUM(R214:R215)</f>
        <v>0</v>
      </c>
      <c r="S213" s="11">
        <f t="shared" si="52"/>
        <v>0</v>
      </c>
      <c r="T213" s="11">
        <f t="shared" si="52"/>
        <v>0</v>
      </c>
      <c r="U213" s="11">
        <f t="shared" si="52"/>
        <v>0</v>
      </c>
      <c r="V213" s="11">
        <f t="shared" si="52"/>
        <v>0</v>
      </c>
      <c r="W213" s="11">
        <f t="shared" si="52"/>
        <v>0</v>
      </c>
      <c r="X213" s="11">
        <f t="shared" si="52"/>
        <v>0</v>
      </c>
      <c r="Y213" s="11">
        <f t="shared" si="52"/>
        <v>0</v>
      </c>
      <c r="Z213" s="11">
        <f t="shared" si="52"/>
        <v>0</v>
      </c>
      <c r="AA213" s="11">
        <f t="shared" si="52"/>
        <v>0</v>
      </c>
      <c r="AB213" s="11">
        <f t="shared" si="52"/>
        <v>0</v>
      </c>
      <c r="AC213" s="11">
        <f t="shared" si="52"/>
        <v>0</v>
      </c>
      <c r="AD213" s="11">
        <f t="shared" si="52"/>
        <v>0</v>
      </c>
      <c r="AE213" s="11">
        <f t="shared" si="52"/>
        <v>0</v>
      </c>
      <c r="AF213" s="11">
        <f t="shared" si="52"/>
        <v>0</v>
      </c>
      <c r="AG213" s="11">
        <f t="shared" si="52"/>
        <v>0</v>
      </c>
      <c r="AH213" s="11">
        <f t="shared" si="52"/>
        <v>0</v>
      </c>
      <c r="AI213" s="11">
        <f t="shared" si="52"/>
        <v>0</v>
      </c>
      <c r="AJ213" s="11">
        <f t="shared" si="52"/>
        <v>0</v>
      </c>
      <c r="AK213" s="11">
        <f t="shared" si="52"/>
        <v>0</v>
      </c>
      <c r="AL213" s="11">
        <f t="shared" si="52"/>
        <v>0</v>
      </c>
      <c r="AM213" s="11">
        <f t="shared" si="52"/>
        <v>0</v>
      </c>
      <c r="AN213" s="11">
        <f t="shared" si="52"/>
        <v>0</v>
      </c>
      <c r="AO213" s="11">
        <f t="shared" si="52"/>
        <v>0</v>
      </c>
      <c r="AP213" s="11">
        <f t="shared" si="52"/>
        <v>0</v>
      </c>
      <c r="AQ213" s="11">
        <f t="shared" si="52"/>
        <v>0</v>
      </c>
      <c r="AR213" s="11">
        <f t="shared" si="52"/>
        <v>0</v>
      </c>
      <c r="AS213" s="11">
        <f t="shared" si="52"/>
        <v>0</v>
      </c>
      <c r="AT213" s="11">
        <f t="shared" si="52"/>
        <v>0</v>
      </c>
      <c r="AU213" s="11">
        <f t="shared" si="52"/>
        <v>0</v>
      </c>
      <c r="AV213" s="11">
        <f t="shared" si="52"/>
        <v>0</v>
      </c>
      <c r="AW213" s="11">
        <f t="shared" si="52"/>
        <v>0</v>
      </c>
      <c r="AX213" s="11">
        <f t="shared" si="52"/>
        <v>0</v>
      </c>
      <c r="AY213" s="11">
        <f t="shared" si="52"/>
        <v>0</v>
      </c>
      <c r="AZ213" s="11">
        <f t="shared" si="52"/>
        <v>0</v>
      </c>
      <c r="BA213" s="75">
        <f t="shared" si="52"/>
        <v>0</v>
      </c>
    </row>
    <row r="214" spans="1:53" ht="15.75" hidden="1" customHeight="1" outlineLevel="1" x14ac:dyDescent="0.35">
      <c r="A214" s="5"/>
      <c r="B214" s="5"/>
      <c r="C214" s="5"/>
      <c r="D214" s="5" t="s">
        <v>6</v>
      </c>
      <c r="E214" s="5"/>
      <c r="F214" s="5"/>
      <c r="G214" s="5"/>
      <c r="H214" s="5"/>
      <c r="I214" s="5"/>
      <c r="J214" s="5"/>
      <c r="K214" s="5"/>
      <c r="N214" s="1">
        <f t="shared" si="49"/>
        <v>0</v>
      </c>
      <c r="Q214" s="11">
        <f>-'Wariant 2'!Q$96</f>
        <v>0</v>
      </c>
      <c r="R214" s="11">
        <f>-'Wariant 2'!R$96</f>
        <v>0</v>
      </c>
      <c r="S214" s="11">
        <f>-'Wariant 2'!S$96</f>
        <v>0</v>
      </c>
      <c r="T214" s="11">
        <f>-'Wariant 2'!T$96</f>
        <v>0</v>
      </c>
      <c r="U214" s="11">
        <f>-'Wariant 2'!U$96</f>
        <v>0</v>
      </c>
      <c r="V214" s="11">
        <f>-'Wariant 2'!V$96</f>
        <v>0</v>
      </c>
      <c r="W214" s="11">
        <f>-'Wariant 2'!W$96</f>
        <v>0</v>
      </c>
      <c r="X214" s="11">
        <f>-'Wariant 2'!X$96</f>
        <v>0</v>
      </c>
      <c r="Y214" s="11">
        <f>-'Wariant 2'!Y$96</f>
        <v>0</v>
      </c>
      <c r="Z214" s="11">
        <f>-'Wariant 2'!Z$96</f>
        <v>0</v>
      </c>
      <c r="AA214" s="11">
        <f>-'Wariant 2'!AA$96</f>
        <v>0</v>
      </c>
      <c r="AB214" s="11">
        <f>-'Wariant 2'!AB$96</f>
        <v>0</v>
      </c>
      <c r="AC214" s="11">
        <f>-'Wariant 2'!AC$96</f>
        <v>0</v>
      </c>
      <c r="AD214" s="11">
        <f>-'Wariant 2'!AD$96</f>
        <v>0</v>
      </c>
      <c r="AE214" s="11">
        <f>-'Wariant 2'!AE$96</f>
        <v>0</v>
      </c>
      <c r="AF214" s="11">
        <f>-'Wariant 2'!AF$96</f>
        <v>0</v>
      </c>
      <c r="AG214" s="11">
        <f>-'Wariant 2'!AG$96</f>
        <v>0</v>
      </c>
      <c r="AH214" s="11">
        <f>-'Wariant 2'!AH$96</f>
        <v>0</v>
      </c>
      <c r="AI214" s="11">
        <f>-'Wariant 2'!AI$96</f>
        <v>0</v>
      </c>
      <c r="AJ214" s="11">
        <f>-'Wariant 2'!AJ$96</f>
        <v>0</v>
      </c>
      <c r="AK214" s="11">
        <f>-'Wariant 2'!AK$96</f>
        <v>0</v>
      </c>
      <c r="AL214" s="11">
        <f>-'Wariant 2'!AL$96</f>
        <v>0</v>
      </c>
      <c r="AM214" s="11">
        <f>-'Wariant 2'!AM$96</f>
        <v>0</v>
      </c>
      <c r="AN214" s="11">
        <f>-'Wariant 2'!AN$96</f>
        <v>0</v>
      </c>
      <c r="AO214" s="11">
        <f>-'Wariant 2'!AO$96</f>
        <v>0</v>
      </c>
      <c r="AP214" s="11">
        <f>-'Wariant 2'!AP$96</f>
        <v>0</v>
      </c>
      <c r="AQ214" s="11">
        <f>-'Wariant 2'!AQ$96</f>
        <v>0</v>
      </c>
      <c r="AR214" s="11">
        <f>-'Wariant 2'!AR$96</f>
        <v>0</v>
      </c>
      <c r="AS214" s="11">
        <f>-'Wariant 2'!AS$96</f>
        <v>0</v>
      </c>
      <c r="AT214" s="11">
        <f>-'Wariant 2'!AT$96</f>
        <v>0</v>
      </c>
      <c r="AU214" s="11">
        <f>-'Wariant 2'!AU$96</f>
        <v>0</v>
      </c>
      <c r="AV214" s="11">
        <f>-'Wariant 2'!AV$96</f>
        <v>0</v>
      </c>
      <c r="AW214" s="11">
        <f>-'Wariant 2'!AW$96</f>
        <v>0</v>
      </c>
      <c r="AX214" s="11">
        <f>-'Wariant 2'!AX$96</f>
        <v>0</v>
      </c>
      <c r="AY214" s="11">
        <f>-'Wariant 2'!AY$96</f>
        <v>0</v>
      </c>
      <c r="AZ214" s="11">
        <f>-'Wariant 2'!AZ$96</f>
        <v>0</v>
      </c>
      <c r="BA214" s="75">
        <f>-'Wariant 2'!BA$96</f>
        <v>0</v>
      </c>
    </row>
    <row r="215" spans="1:53" ht="15.75" hidden="1" customHeight="1" outlineLevel="1" x14ac:dyDescent="0.35">
      <c r="A215" s="5"/>
      <c r="B215" s="5"/>
      <c r="C215" s="5"/>
      <c r="D215" s="5" t="s">
        <v>33</v>
      </c>
      <c r="E215" s="5"/>
      <c r="F215" s="5"/>
      <c r="G215" s="5"/>
      <c r="H215" s="5"/>
      <c r="I215" s="5"/>
      <c r="J215" s="5"/>
      <c r="K215" s="5"/>
      <c r="N215" s="1">
        <f t="shared" si="49"/>
        <v>0</v>
      </c>
      <c r="Q215" s="11">
        <f>-'Wariant 2'!Q$106</f>
        <v>0</v>
      </c>
      <c r="R215" s="11">
        <f>-'Wariant 2'!R$106</f>
        <v>0</v>
      </c>
      <c r="S215" s="11">
        <f>-'Wariant 2'!S$106</f>
        <v>0</v>
      </c>
      <c r="T215" s="11">
        <f>-'Wariant 2'!T$106</f>
        <v>0</v>
      </c>
      <c r="U215" s="11">
        <f>-'Wariant 2'!U$106</f>
        <v>0</v>
      </c>
      <c r="V215" s="11">
        <f>-'Wariant 2'!V$106</f>
        <v>0</v>
      </c>
      <c r="W215" s="11">
        <f>-'Wariant 2'!W$106</f>
        <v>0</v>
      </c>
      <c r="X215" s="11">
        <f>-'Wariant 2'!X$106</f>
        <v>0</v>
      </c>
      <c r="Y215" s="11">
        <f>-'Wariant 2'!Y$106</f>
        <v>0</v>
      </c>
      <c r="Z215" s="11">
        <f>-'Wariant 2'!Z$106</f>
        <v>0</v>
      </c>
      <c r="AA215" s="11">
        <f>-'Wariant 2'!AA$106</f>
        <v>0</v>
      </c>
      <c r="AB215" s="11">
        <f>-'Wariant 2'!AB$106</f>
        <v>0</v>
      </c>
      <c r="AC215" s="11">
        <f>-'Wariant 2'!AC$106</f>
        <v>0</v>
      </c>
      <c r="AD215" s="11">
        <f>-'Wariant 2'!AD$106</f>
        <v>0</v>
      </c>
      <c r="AE215" s="11">
        <f>-'Wariant 2'!AE$106</f>
        <v>0</v>
      </c>
      <c r="AF215" s="11">
        <f>-'Wariant 2'!AF$106</f>
        <v>0</v>
      </c>
      <c r="AG215" s="11">
        <f>-'Wariant 2'!AG$106</f>
        <v>0</v>
      </c>
      <c r="AH215" s="11">
        <f>-'Wariant 2'!AH$106</f>
        <v>0</v>
      </c>
      <c r="AI215" s="11">
        <f>-'Wariant 2'!AI$106</f>
        <v>0</v>
      </c>
      <c r="AJ215" s="11">
        <f>-'Wariant 2'!AJ$106</f>
        <v>0</v>
      </c>
      <c r="AK215" s="11">
        <f>-'Wariant 2'!AK$106</f>
        <v>0</v>
      </c>
      <c r="AL215" s="11">
        <f>-'Wariant 2'!AL$106</f>
        <v>0</v>
      </c>
      <c r="AM215" s="11">
        <f>-'Wariant 2'!AM$106</f>
        <v>0</v>
      </c>
      <c r="AN215" s="11">
        <f>-'Wariant 2'!AN$106</f>
        <v>0</v>
      </c>
      <c r="AO215" s="11">
        <f>-'Wariant 2'!AO$106</f>
        <v>0</v>
      </c>
      <c r="AP215" s="11">
        <f>-'Wariant 2'!AP$106</f>
        <v>0</v>
      </c>
      <c r="AQ215" s="11">
        <f>-'Wariant 2'!AQ$106</f>
        <v>0</v>
      </c>
      <c r="AR215" s="11">
        <f>-'Wariant 2'!AR$106</f>
        <v>0</v>
      </c>
      <c r="AS215" s="11">
        <f>-'Wariant 2'!AS$106</f>
        <v>0</v>
      </c>
      <c r="AT215" s="11">
        <f>-'Wariant 2'!AT$106</f>
        <v>0</v>
      </c>
      <c r="AU215" s="11">
        <f>-'Wariant 2'!AU$106</f>
        <v>0</v>
      </c>
      <c r="AV215" s="11">
        <f>-'Wariant 2'!AV$106</f>
        <v>0</v>
      </c>
      <c r="AW215" s="11">
        <f>-'Wariant 2'!AW$106</f>
        <v>0</v>
      </c>
      <c r="AX215" s="11">
        <f>-'Wariant 2'!AX$106</f>
        <v>0</v>
      </c>
      <c r="AY215" s="11">
        <f>-'Wariant 2'!AY$106</f>
        <v>0</v>
      </c>
      <c r="AZ215" s="11">
        <f>-'Wariant 2'!AZ$106</f>
        <v>0</v>
      </c>
      <c r="BA215" s="75">
        <f>-'Wariant 2'!BA$106</f>
        <v>0</v>
      </c>
    </row>
    <row r="216" spans="1:53" ht="15.75" hidden="1" customHeight="1" outlineLevel="1" x14ac:dyDescent="0.35">
      <c r="A216" s="5"/>
      <c r="B216" s="5"/>
      <c r="C216" s="5" t="s">
        <v>161</v>
      </c>
      <c r="D216" s="5"/>
      <c r="E216" s="5"/>
      <c r="F216" s="5"/>
      <c r="G216" s="5"/>
      <c r="H216" s="5"/>
      <c r="I216" s="5"/>
      <c r="J216" s="5"/>
      <c r="K216" s="5"/>
      <c r="N216" s="1">
        <f t="shared" si="49"/>
        <v>0</v>
      </c>
      <c r="Q216" s="11">
        <f t="shared" ref="Q216:BA216" si="53">SUM(Q217:Q218)</f>
        <v>0</v>
      </c>
      <c r="R216" s="11">
        <f t="shared" si="53"/>
        <v>0</v>
      </c>
      <c r="S216" s="11">
        <f t="shared" si="53"/>
        <v>0</v>
      </c>
      <c r="T216" s="11">
        <f t="shared" si="53"/>
        <v>0</v>
      </c>
      <c r="U216" s="11">
        <f t="shared" si="53"/>
        <v>0</v>
      </c>
      <c r="V216" s="11">
        <f t="shared" si="53"/>
        <v>0</v>
      </c>
      <c r="W216" s="11">
        <f t="shared" si="53"/>
        <v>0</v>
      </c>
      <c r="X216" s="11">
        <f t="shared" si="53"/>
        <v>0</v>
      </c>
      <c r="Y216" s="11">
        <f t="shared" si="53"/>
        <v>0</v>
      </c>
      <c r="Z216" s="11">
        <f t="shared" si="53"/>
        <v>0</v>
      </c>
      <c r="AA216" s="11">
        <f t="shared" si="53"/>
        <v>0</v>
      </c>
      <c r="AB216" s="11">
        <f t="shared" si="53"/>
        <v>0</v>
      </c>
      <c r="AC216" s="11">
        <f t="shared" si="53"/>
        <v>0</v>
      </c>
      <c r="AD216" s="11">
        <f t="shared" si="53"/>
        <v>0</v>
      </c>
      <c r="AE216" s="11">
        <f t="shared" si="53"/>
        <v>0</v>
      </c>
      <c r="AF216" s="11">
        <f t="shared" si="53"/>
        <v>0</v>
      </c>
      <c r="AG216" s="11">
        <f t="shared" si="53"/>
        <v>0</v>
      </c>
      <c r="AH216" s="11">
        <f t="shared" si="53"/>
        <v>0</v>
      </c>
      <c r="AI216" s="11">
        <f t="shared" si="53"/>
        <v>0</v>
      </c>
      <c r="AJ216" s="11">
        <f t="shared" si="53"/>
        <v>0</v>
      </c>
      <c r="AK216" s="11">
        <f t="shared" si="53"/>
        <v>0</v>
      </c>
      <c r="AL216" s="11">
        <f t="shared" si="53"/>
        <v>0</v>
      </c>
      <c r="AM216" s="11">
        <f t="shared" si="53"/>
        <v>0</v>
      </c>
      <c r="AN216" s="11">
        <f t="shared" si="53"/>
        <v>0</v>
      </c>
      <c r="AO216" s="11">
        <f t="shared" si="53"/>
        <v>0</v>
      </c>
      <c r="AP216" s="11">
        <f t="shared" si="53"/>
        <v>0</v>
      </c>
      <c r="AQ216" s="11">
        <f t="shared" si="53"/>
        <v>0</v>
      </c>
      <c r="AR216" s="11">
        <f t="shared" si="53"/>
        <v>0</v>
      </c>
      <c r="AS216" s="11">
        <f t="shared" si="53"/>
        <v>0</v>
      </c>
      <c r="AT216" s="11">
        <f t="shared" si="53"/>
        <v>0</v>
      </c>
      <c r="AU216" s="11">
        <f t="shared" si="53"/>
        <v>0</v>
      </c>
      <c r="AV216" s="11">
        <f t="shared" si="53"/>
        <v>0</v>
      </c>
      <c r="AW216" s="11">
        <f t="shared" si="53"/>
        <v>0</v>
      </c>
      <c r="AX216" s="11">
        <f t="shared" si="53"/>
        <v>0</v>
      </c>
      <c r="AY216" s="11">
        <f t="shared" si="53"/>
        <v>0</v>
      </c>
      <c r="AZ216" s="11">
        <f t="shared" si="53"/>
        <v>0</v>
      </c>
      <c r="BA216" s="75">
        <f t="shared" si="53"/>
        <v>0</v>
      </c>
    </row>
    <row r="217" spans="1:53" ht="15.75" hidden="1" customHeight="1" outlineLevel="1" x14ac:dyDescent="0.35">
      <c r="A217" s="5"/>
      <c r="B217" s="5"/>
      <c r="C217" s="5"/>
      <c r="D217" s="5" t="s">
        <v>147</v>
      </c>
      <c r="E217" s="5"/>
      <c r="F217" s="5"/>
      <c r="G217" s="5"/>
      <c r="H217" s="5"/>
      <c r="I217" s="5"/>
      <c r="J217" s="5"/>
      <c r="K217" s="5"/>
      <c r="N217" s="1">
        <f t="shared" si="49"/>
        <v>0</v>
      </c>
      <c r="Q217" s="1">
        <f>-'Wariant 2'!Q$99</f>
        <v>0</v>
      </c>
      <c r="R217" s="1">
        <f>-'Wariant 2'!R$99</f>
        <v>0</v>
      </c>
      <c r="S217" s="1">
        <f>-'Wariant 2'!S$99</f>
        <v>0</v>
      </c>
      <c r="T217" s="1">
        <f>-'Wariant 2'!T$99</f>
        <v>0</v>
      </c>
      <c r="U217" s="1">
        <f>-'Wariant 2'!U$99</f>
        <v>0</v>
      </c>
      <c r="V217" s="1">
        <f>-'Wariant 2'!V$99</f>
        <v>0</v>
      </c>
      <c r="W217" s="1">
        <f>-'Wariant 2'!W$99</f>
        <v>0</v>
      </c>
      <c r="X217" s="1">
        <f>-'Wariant 2'!X$99</f>
        <v>0</v>
      </c>
      <c r="Y217" s="1">
        <f>-'Wariant 2'!Y$99</f>
        <v>0</v>
      </c>
      <c r="Z217" s="1">
        <f>-'Wariant 2'!Z$99</f>
        <v>0</v>
      </c>
      <c r="AA217" s="1">
        <f>-'Wariant 2'!AA$99</f>
        <v>0</v>
      </c>
      <c r="AB217" s="1">
        <f>-'Wariant 2'!AB$99</f>
        <v>0</v>
      </c>
      <c r="AC217" s="1">
        <f>-'Wariant 2'!AC$99</f>
        <v>0</v>
      </c>
      <c r="AD217" s="1">
        <f>-'Wariant 2'!AD$99</f>
        <v>0</v>
      </c>
      <c r="AE217" s="1">
        <f>-'Wariant 2'!AE$99</f>
        <v>0</v>
      </c>
      <c r="AF217" s="1">
        <f>-'Wariant 2'!AF$99</f>
        <v>0</v>
      </c>
      <c r="AG217" s="1">
        <f>-'Wariant 2'!AG$99</f>
        <v>0</v>
      </c>
      <c r="AH217" s="1">
        <f>-'Wariant 2'!AH$99</f>
        <v>0</v>
      </c>
      <c r="AI217" s="1">
        <f>-'Wariant 2'!AI$99</f>
        <v>0</v>
      </c>
      <c r="AJ217" s="1">
        <f>-'Wariant 2'!AJ$99</f>
        <v>0</v>
      </c>
      <c r="AK217" s="1">
        <f>-'Wariant 2'!AK$99</f>
        <v>0</v>
      </c>
      <c r="AL217" s="1">
        <f>-'Wariant 2'!AL$99</f>
        <v>0</v>
      </c>
      <c r="AM217" s="1">
        <f>-'Wariant 2'!AM$99</f>
        <v>0</v>
      </c>
      <c r="AN217" s="1">
        <f>-'Wariant 2'!AN$99</f>
        <v>0</v>
      </c>
      <c r="AO217" s="1">
        <f>-'Wariant 2'!AO$99</f>
        <v>0</v>
      </c>
      <c r="AP217" s="1">
        <f>-'Wariant 2'!AP$99</f>
        <v>0</v>
      </c>
      <c r="AQ217" s="1">
        <f>-'Wariant 2'!AQ$99</f>
        <v>0</v>
      </c>
      <c r="AR217" s="1">
        <f>-'Wariant 2'!AR$99</f>
        <v>0</v>
      </c>
      <c r="AS217" s="1">
        <f>-'Wariant 2'!AS$99</f>
        <v>0</v>
      </c>
      <c r="AT217" s="1">
        <f>-'Wariant 2'!AT$99</f>
        <v>0</v>
      </c>
      <c r="AU217" s="1">
        <f>-'Wariant 2'!AU$99</f>
        <v>0</v>
      </c>
      <c r="AV217" s="1">
        <f>-'Wariant 2'!AV$99</f>
        <v>0</v>
      </c>
      <c r="AW217" s="1">
        <f>-'Wariant 2'!AW$99</f>
        <v>0</v>
      </c>
      <c r="AX217" s="1">
        <f>-'Wariant 2'!AX$99</f>
        <v>0</v>
      </c>
      <c r="AY217" s="1">
        <f>-'Wariant 2'!AY$99</f>
        <v>0</v>
      </c>
      <c r="AZ217" s="1">
        <f>-'Wariant 2'!AZ$99</f>
        <v>0</v>
      </c>
      <c r="BA217" s="74">
        <f>-'Wariant 2'!BA$99</f>
        <v>0</v>
      </c>
    </row>
    <row r="218" spans="1:53" ht="15.75" hidden="1" customHeight="1" outlineLevel="1" x14ac:dyDescent="0.35">
      <c r="A218" s="5"/>
      <c r="B218" s="5"/>
      <c r="C218" s="5"/>
      <c r="D218" s="5" t="s">
        <v>52</v>
      </c>
      <c r="E218" s="5"/>
      <c r="F218" s="5"/>
      <c r="G218" s="5"/>
      <c r="H218" s="5"/>
      <c r="I218" s="5"/>
      <c r="J218" s="5"/>
      <c r="K218" s="5"/>
      <c r="N218" s="1">
        <f t="shared" si="49"/>
        <v>0</v>
      </c>
      <c r="Q218" s="1">
        <f>-'Wariant 2'!Q$100</f>
        <v>0</v>
      </c>
      <c r="R218" s="1">
        <f>-'Wariant 2'!R$100</f>
        <v>0</v>
      </c>
      <c r="S218" s="1">
        <f>-'Wariant 2'!S$100</f>
        <v>0</v>
      </c>
      <c r="T218" s="1">
        <f>-'Wariant 2'!T$100</f>
        <v>0</v>
      </c>
      <c r="U218" s="1">
        <f>-'Wariant 2'!U$100</f>
        <v>0</v>
      </c>
      <c r="V218" s="1">
        <f>-'Wariant 2'!V$100</f>
        <v>0</v>
      </c>
      <c r="W218" s="1">
        <f>-'Wariant 2'!W$100</f>
        <v>0</v>
      </c>
      <c r="X218" s="1">
        <f>-'Wariant 2'!X$100</f>
        <v>0</v>
      </c>
      <c r="Y218" s="1">
        <f>-'Wariant 2'!Y$100</f>
        <v>0</v>
      </c>
      <c r="Z218" s="1">
        <f>-'Wariant 2'!Z$100</f>
        <v>0</v>
      </c>
      <c r="AA218" s="1">
        <f>-'Wariant 2'!AA$100</f>
        <v>0</v>
      </c>
      <c r="AB218" s="1">
        <f>-'Wariant 2'!AB$100</f>
        <v>0</v>
      </c>
      <c r="AC218" s="1">
        <f>-'Wariant 2'!AC$100</f>
        <v>0</v>
      </c>
      <c r="AD218" s="1">
        <f>-'Wariant 2'!AD$100</f>
        <v>0</v>
      </c>
      <c r="AE218" s="1">
        <f>-'Wariant 2'!AE$100</f>
        <v>0</v>
      </c>
      <c r="AF218" s="1">
        <f>-'Wariant 2'!AF$100</f>
        <v>0</v>
      </c>
      <c r="AG218" s="1">
        <f>-'Wariant 2'!AG$100</f>
        <v>0</v>
      </c>
      <c r="AH218" s="1">
        <f>-'Wariant 2'!AH$100</f>
        <v>0</v>
      </c>
      <c r="AI218" s="1">
        <f>-'Wariant 2'!AI$100</f>
        <v>0</v>
      </c>
      <c r="AJ218" s="1">
        <f>-'Wariant 2'!AJ$100</f>
        <v>0</v>
      </c>
      <c r="AK218" s="1">
        <f>-'Wariant 2'!AK$100</f>
        <v>0</v>
      </c>
      <c r="AL218" s="1">
        <f>-'Wariant 2'!AL$100</f>
        <v>0</v>
      </c>
      <c r="AM218" s="1">
        <f>-'Wariant 2'!AM$100</f>
        <v>0</v>
      </c>
      <c r="AN218" s="1">
        <f>-'Wariant 2'!AN$100</f>
        <v>0</v>
      </c>
      <c r="AO218" s="1">
        <f>-'Wariant 2'!AO$100</f>
        <v>0</v>
      </c>
      <c r="AP218" s="1">
        <f>-'Wariant 2'!AP$100</f>
        <v>0</v>
      </c>
      <c r="AQ218" s="1">
        <f>-'Wariant 2'!AQ$100</f>
        <v>0</v>
      </c>
      <c r="AR218" s="1">
        <f>-'Wariant 2'!AR$100</f>
        <v>0</v>
      </c>
      <c r="AS218" s="1">
        <f>-'Wariant 2'!AS$100</f>
        <v>0</v>
      </c>
      <c r="AT218" s="1">
        <f>-'Wariant 2'!AT$100</f>
        <v>0</v>
      </c>
      <c r="AU218" s="1">
        <f>-'Wariant 2'!AU$100</f>
        <v>0</v>
      </c>
      <c r="AV218" s="1">
        <f>-'Wariant 2'!AV$100</f>
        <v>0</v>
      </c>
      <c r="AW218" s="1">
        <f>-'Wariant 2'!AW$100</f>
        <v>0</v>
      </c>
      <c r="AX218" s="1">
        <f>-'Wariant 2'!AX$100</f>
        <v>0</v>
      </c>
      <c r="AY218" s="1">
        <f>-'Wariant 2'!AY$100</f>
        <v>0</v>
      </c>
      <c r="AZ218" s="1">
        <f>-'Wariant 2'!AZ$100</f>
        <v>0</v>
      </c>
      <c r="BA218" s="74">
        <f>-'Wariant 2'!BA$100</f>
        <v>0</v>
      </c>
    </row>
    <row r="219" spans="1:53" ht="14.5" hidden="1" outlineLevel="1" x14ac:dyDescent="0.35"/>
    <row r="220" spans="1:53" ht="14.5" hidden="1" outlineLevel="1" x14ac:dyDescent="0.35">
      <c r="A220" s="7"/>
      <c r="B220" s="7" t="s">
        <v>49</v>
      </c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>
        <f>SUM(Q220:BA220)</f>
        <v>0</v>
      </c>
      <c r="O220" s="7"/>
      <c r="P220" s="7"/>
      <c r="Q220" s="7">
        <f>Q198+'Wariant 2'!Q$88</f>
        <v>0</v>
      </c>
      <c r="R220" s="7">
        <f>R198+'Wariant 2'!R$88</f>
        <v>0</v>
      </c>
      <c r="S220" s="7">
        <f>S198+'Wariant 2'!S$88</f>
        <v>0</v>
      </c>
      <c r="T220" s="7">
        <f>T198+'Wariant 2'!T$88</f>
        <v>0</v>
      </c>
      <c r="U220" s="7">
        <f>U198+'Wariant 2'!U$88</f>
        <v>0</v>
      </c>
      <c r="V220" s="7">
        <f>V198+'Wariant 2'!V$88</f>
        <v>0</v>
      </c>
      <c r="W220" s="7">
        <f>W198+'Wariant 2'!W$88</f>
        <v>0</v>
      </c>
      <c r="X220" s="7">
        <f>X198+'Wariant 2'!X$88</f>
        <v>0</v>
      </c>
      <c r="Y220" s="7">
        <f>Y198+'Wariant 2'!Y$88</f>
        <v>0</v>
      </c>
      <c r="Z220" s="7">
        <f>Z198+'Wariant 2'!Z$88</f>
        <v>0</v>
      </c>
      <c r="AA220" s="7">
        <f>AA198+'Wariant 2'!AA$88</f>
        <v>0</v>
      </c>
      <c r="AB220" s="7">
        <f>AB198+'Wariant 2'!AB$88</f>
        <v>0</v>
      </c>
      <c r="AC220" s="7">
        <f>AC198+'Wariant 2'!AC$88</f>
        <v>0</v>
      </c>
      <c r="AD220" s="7">
        <f>AD198+'Wariant 2'!AD$88</f>
        <v>0</v>
      </c>
      <c r="AE220" s="7">
        <f>AE198+'Wariant 2'!AE$88</f>
        <v>0</v>
      </c>
      <c r="AF220" s="7">
        <f>AF198+'Wariant 2'!AF$88</f>
        <v>0</v>
      </c>
      <c r="AG220" s="7">
        <f>AG198+'Wariant 2'!AG$88</f>
        <v>0</v>
      </c>
      <c r="AH220" s="7">
        <f>AH198+'Wariant 2'!AH$88</f>
        <v>0</v>
      </c>
      <c r="AI220" s="7">
        <f>AI198+'Wariant 2'!AI$88</f>
        <v>0</v>
      </c>
      <c r="AJ220" s="7">
        <f>AJ198+'Wariant 2'!AJ$88</f>
        <v>0</v>
      </c>
      <c r="AK220" s="7">
        <f>AK198+'Wariant 2'!AK$88</f>
        <v>0</v>
      </c>
      <c r="AL220" s="7">
        <f>AL198+'Wariant 2'!AL$88</f>
        <v>0</v>
      </c>
      <c r="AM220" s="7">
        <f>AM198+'Wariant 2'!AM$88</f>
        <v>0</v>
      </c>
      <c r="AN220" s="7">
        <f>AN198+'Wariant 2'!AN$88</f>
        <v>0</v>
      </c>
      <c r="AO220" s="7">
        <f>AO198+'Wariant 2'!AO$88</f>
        <v>0</v>
      </c>
      <c r="AP220" s="7">
        <f>AP198+'Wariant 2'!AP$88</f>
        <v>0</v>
      </c>
      <c r="AQ220" s="7">
        <f>AQ198+'Wariant 2'!AQ$88</f>
        <v>0</v>
      </c>
      <c r="AR220" s="7">
        <f>AR198+'Wariant 2'!AR$88</f>
        <v>0</v>
      </c>
      <c r="AS220" s="7">
        <f>AS198+'Wariant 2'!AS$88</f>
        <v>0</v>
      </c>
      <c r="AT220" s="7">
        <f>AT198+'Wariant 2'!AT$88</f>
        <v>0</v>
      </c>
      <c r="AU220" s="7">
        <f>AU198+'Wariant 2'!AU$88</f>
        <v>0</v>
      </c>
      <c r="AV220" s="7">
        <f>AV198+'Wariant 2'!AV$88</f>
        <v>0</v>
      </c>
      <c r="AW220" s="7">
        <f>AW198+'Wariant 2'!AW$88</f>
        <v>0</v>
      </c>
      <c r="AX220" s="7">
        <f>AX198+'Wariant 2'!AX$88</f>
        <v>0</v>
      </c>
      <c r="AY220" s="7">
        <f>AY198+'Wariant 2'!AY$88</f>
        <v>0</v>
      </c>
      <c r="AZ220" s="7">
        <f>AZ198+'Wariant 2'!AZ$88</f>
        <v>0</v>
      </c>
      <c r="BA220" s="7">
        <f>BA198+'Wariant 2'!BA$88</f>
        <v>0</v>
      </c>
    </row>
    <row r="221" spans="1:53" ht="14.5" hidden="1" outlineLevel="1" x14ac:dyDescent="0.35"/>
    <row r="222" spans="1:53" ht="15.75" hidden="1" customHeight="1" outlineLevel="1" x14ac:dyDescent="0.35">
      <c r="A222" s="59" t="s">
        <v>134</v>
      </c>
      <c r="B222" s="59" t="s">
        <v>137</v>
      </c>
      <c r="C222" s="59"/>
      <c r="D222" s="59"/>
      <c r="E222" s="59"/>
      <c r="F222" s="59"/>
      <c r="G222" s="59"/>
      <c r="H222" s="59"/>
      <c r="I222" s="59"/>
      <c r="J222" s="59"/>
      <c r="K222" s="59"/>
      <c r="L222" s="59"/>
      <c r="M222" s="59"/>
      <c r="N222" s="59">
        <f>SUM(Q222:BA222)</f>
        <v>0</v>
      </c>
      <c r="O222" s="59"/>
      <c r="P222" s="59"/>
      <c r="Q222" s="59">
        <f t="shared" ref="Q222:BA222" si="54">SUM(Q224:Q229)</f>
        <v>0</v>
      </c>
      <c r="R222" s="59">
        <f t="shared" si="54"/>
        <v>0</v>
      </c>
      <c r="S222" s="59">
        <f t="shared" si="54"/>
        <v>0</v>
      </c>
      <c r="T222" s="59">
        <f t="shared" si="54"/>
        <v>0</v>
      </c>
      <c r="U222" s="59">
        <f t="shared" si="54"/>
        <v>0</v>
      </c>
      <c r="V222" s="59">
        <f t="shared" si="54"/>
        <v>0</v>
      </c>
      <c r="W222" s="59">
        <f t="shared" si="54"/>
        <v>0</v>
      </c>
      <c r="X222" s="59">
        <f t="shared" si="54"/>
        <v>0</v>
      </c>
      <c r="Y222" s="59">
        <f t="shared" si="54"/>
        <v>0</v>
      </c>
      <c r="Z222" s="59">
        <f t="shared" si="54"/>
        <v>0</v>
      </c>
      <c r="AA222" s="59">
        <f t="shared" si="54"/>
        <v>0</v>
      </c>
      <c r="AB222" s="59">
        <f t="shared" si="54"/>
        <v>0</v>
      </c>
      <c r="AC222" s="59">
        <f t="shared" si="54"/>
        <v>0</v>
      </c>
      <c r="AD222" s="59">
        <f t="shared" si="54"/>
        <v>0</v>
      </c>
      <c r="AE222" s="59">
        <f t="shared" si="54"/>
        <v>0</v>
      </c>
      <c r="AF222" s="59">
        <f t="shared" si="54"/>
        <v>0</v>
      </c>
      <c r="AG222" s="59">
        <f t="shared" si="54"/>
        <v>0</v>
      </c>
      <c r="AH222" s="59">
        <f t="shared" si="54"/>
        <v>0</v>
      </c>
      <c r="AI222" s="59">
        <f t="shared" si="54"/>
        <v>0</v>
      </c>
      <c r="AJ222" s="59">
        <f t="shared" si="54"/>
        <v>0</v>
      </c>
      <c r="AK222" s="59">
        <f t="shared" si="54"/>
        <v>0</v>
      </c>
      <c r="AL222" s="59">
        <f t="shared" si="54"/>
        <v>0</v>
      </c>
      <c r="AM222" s="59">
        <f t="shared" si="54"/>
        <v>0</v>
      </c>
      <c r="AN222" s="59">
        <f t="shared" si="54"/>
        <v>0</v>
      </c>
      <c r="AO222" s="59">
        <f t="shared" si="54"/>
        <v>0</v>
      </c>
      <c r="AP222" s="59">
        <f t="shared" si="54"/>
        <v>0</v>
      </c>
      <c r="AQ222" s="59">
        <f t="shared" si="54"/>
        <v>0</v>
      </c>
      <c r="AR222" s="59">
        <f t="shared" si="54"/>
        <v>0</v>
      </c>
      <c r="AS222" s="59">
        <f t="shared" si="54"/>
        <v>0</v>
      </c>
      <c r="AT222" s="59">
        <f t="shared" si="54"/>
        <v>0</v>
      </c>
      <c r="AU222" s="59">
        <f t="shared" si="54"/>
        <v>0</v>
      </c>
      <c r="AV222" s="59">
        <f t="shared" si="54"/>
        <v>0</v>
      </c>
      <c r="AW222" s="59">
        <f t="shared" si="54"/>
        <v>0</v>
      </c>
      <c r="AX222" s="59">
        <f t="shared" si="54"/>
        <v>0</v>
      </c>
      <c r="AY222" s="59">
        <f t="shared" si="54"/>
        <v>0</v>
      </c>
      <c r="AZ222" s="59">
        <f t="shared" si="54"/>
        <v>0</v>
      </c>
      <c r="BA222" s="59">
        <f t="shared" si="54"/>
        <v>0</v>
      </c>
    </row>
    <row r="223" spans="1:53" ht="14.5" hidden="1" outlineLevel="1" x14ac:dyDescent="0.35"/>
    <row r="224" spans="1:53" ht="15.75" hidden="1" customHeight="1" outlineLevel="1" x14ac:dyDescent="0.35">
      <c r="A224" s="5"/>
      <c r="B224" s="5"/>
      <c r="C224" s="5" t="s">
        <v>136</v>
      </c>
      <c r="E224" s="5"/>
      <c r="F224" s="5"/>
      <c r="G224" s="5"/>
      <c r="H224" s="5"/>
      <c r="I224" s="5"/>
      <c r="J224" s="5"/>
      <c r="K224" s="5"/>
      <c r="N224" s="1">
        <f t="shared" ref="N224:N229" si="55">SUM(Q224:BA224)</f>
        <v>0</v>
      </c>
      <c r="Q224" s="1">
        <f t="shared" ref="Q224:BA224" si="56">Q198</f>
        <v>0</v>
      </c>
      <c r="R224" s="1">
        <f t="shared" si="56"/>
        <v>0</v>
      </c>
      <c r="S224" s="1">
        <f t="shared" si="56"/>
        <v>0</v>
      </c>
      <c r="T224" s="1">
        <f t="shared" si="56"/>
        <v>0</v>
      </c>
      <c r="U224" s="1">
        <f t="shared" si="56"/>
        <v>0</v>
      </c>
      <c r="V224" s="1">
        <f t="shared" si="56"/>
        <v>0</v>
      </c>
      <c r="W224" s="1">
        <f t="shared" si="56"/>
        <v>0</v>
      </c>
      <c r="X224" s="1">
        <f t="shared" si="56"/>
        <v>0</v>
      </c>
      <c r="Y224" s="1">
        <f t="shared" si="56"/>
        <v>0</v>
      </c>
      <c r="Z224" s="1">
        <f t="shared" si="56"/>
        <v>0</v>
      </c>
      <c r="AA224" s="1">
        <f t="shared" si="56"/>
        <v>0</v>
      </c>
      <c r="AB224" s="1">
        <f t="shared" si="56"/>
        <v>0</v>
      </c>
      <c r="AC224" s="1">
        <f t="shared" si="56"/>
        <v>0</v>
      </c>
      <c r="AD224" s="1">
        <f t="shared" si="56"/>
        <v>0</v>
      </c>
      <c r="AE224" s="1">
        <f t="shared" si="56"/>
        <v>0</v>
      </c>
      <c r="AF224" s="1">
        <f t="shared" si="56"/>
        <v>0</v>
      </c>
      <c r="AG224" s="1">
        <f t="shared" si="56"/>
        <v>0</v>
      </c>
      <c r="AH224" s="1">
        <f t="shared" si="56"/>
        <v>0</v>
      </c>
      <c r="AI224" s="1">
        <f t="shared" si="56"/>
        <v>0</v>
      </c>
      <c r="AJ224" s="1">
        <f t="shared" si="56"/>
        <v>0</v>
      </c>
      <c r="AK224" s="1">
        <f t="shared" si="56"/>
        <v>0</v>
      </c>
      <c r="AL224" s="1">
        <f t="shared" si="56"/>
        <v>0</v>
      </c>
      <c r="AM224" s="1">
        <f t="shared" si="56"/>
        <v>0</v>
      </c>
      <c r="AN224" s="1">
        <f t="shared" si="56"/>
        <v>0</v>
      </c>
      <c r="AO224" s="1">
        <f t="shared" si="56"/>
        <v>0</v>
      </c>
      <c r="AP224" s="1">
        <f t="shared" si="56"/>
        <v>0</v>
      </c>
      <c r="AQ224" s="1">
        <f t="shared" si="56"/>
        <v>0</v>
      </c>
      <c r="AR224" s="1">
        <f t="shared" si="56"/>
        <v>0</v>
      </c>
      <c r="AS224" s="1">
        <f t="shared" si="56"/>
        <v>0</v>
      </c>
      <c r="AT224" s="1">
        <f t="shared" si="56"/>
        <v>0</v>
      </c>
      <c r="AU224" s="1">
        <f t="shared" si="56"/>
        <v>0</v>
      </c>
      <c r="AV224" s="1">
        <f t="shared" si="56"/>
        <v>0</v>
      </c>
      <c r="AW224" s="1">
        <f t="shared" si="56"/>
        <v>0</v>
      </c>
      <c r="AX224" s="1">
        <f t="shared" si="56"/>
        <v>0</v>
      </c>
      <c r="AY224" s="1">
        <f t="shared" si="56"/>
        <v>0</v>
      </c>
      <c r="AZ224" s="1">
        <f t="shared" si="56"/>
        <v>0</v>
      </c>
      <c r="BA224" s="74">
        <f t="shared" si="56"/>
        <v>0</v>
      </c>
    </row>
    <row r="225" spans="1:53" ht="15.75" hidden="1" customHeight="1" outlineLevel="1" x14ac:dyDescent="0.35">
      <c r="A225" s="5"/>
      <c r="B225" s="5"/>
      <c r="C225" s="5" t="s">
        <v>101</v>
      </c>
      <c r="E225" s="5"/>
      <c r="F225" s="5"/>
      <c r="G225" s="5"/>
      <c r="H225" s="5"/>
      <c r="I225" s="5"/>
      <c r="J225" s="5"/>
      <c r="K225" s="5"/>
      <c r="N225" s="1">
        <f t="shared" si="55"/>
        <v>0</v>
      </c>
      <c r="Q225" s="1">
        <f>Założenia!$M$167*OEp.w2</f>
        <v>0</v>
      </c>
      <c r="R225" s="1">
        <f>Założenia!$M$167*OEp.w2</f>
        <v>0</v>
      </c>
      <c r="S225" s="1">
        <f>Założenia!$M$167*OEp.w2</f>
        <v>0</v>
      </c>
      <c r="T225" s="1">
        <f>Założenia!$M$167*OEp.w2</f>
        <v>0</v>
      </c>
      <c r="U225" s="1">
        <f>Założenia!$M$167*OEp.w2</f>
        <v>0</v>
      </c>
      <c r="V225" s="1">
        <f>Założenia!$M$167*OEp.w2</f>
        <v>0</v>
      </c>
      <c r="W225" s="1">
        <f>Założenia!$M$167*OEp.w2</f>
        <v>0</v>
      </c>
      <c r="X225" s="1">
        <f>Założenia!$M$167*OEp.w2</f>
        <v>0</v>
      </c>
      <c r="Y225" s="1">
        <f>Założenia!$M$167*OEp.w2</f>
        <v>0</v>
      </c>
      <c r="Z225" s="1">
        <f>Założenia!$M$167*OEp.w2</f>
        <v>0</v>
      </c>
      <c r="AA225" s="1">
        <f>Założenia!$M$167*OEp.w2</f>
        <v>0</v>
      </c>
      <c r="AB225" s="1">
        <f>Założenia!$M$167*OEp.w2</f>
        <v>0</v>
      </c>
      <c r="AC225" s="1">
        <f>Założenia!$M$167*OEp.w2</f>
        <v>0</v>
      </c>
      <c r="AD225" s="1">
        <f>Założenia!$M$167*OEp.w2</f>
        <v>0</v>
      </c>
      <c r="AE225" s="1">
        <f>Założenia!$M$167*OEp.w2</f>
        <v>0</v>
      </c>
      <c r="AF225" s="1">
        <f>Założenia!$M$167*OEp.w2</f>
        <v>0</v>
      </c>
      <c r="AG225" s="1">
        <f>Założenia!$M$167*OEp.w2</f>
        <v>0</v>
      </c>
      <c r="AH225" s="1">
        <f>Założenia!$M$167*OEp.w2</f>
        <v>0</v>
      </c>
      <c r="AI225" s="1">
        <f>Założenia!$M$167*OEp.w2</f>
        <v>0</v>
      </c>
      <c r="AJ225" s="1">
        <f>Założenia!$M$167*OEp.w2</f>
        <v>0</v>
      </c>
      <c r="AK225" s="1">
        <f>Założenia!$M$167*OEp.w2</f>
        <v>0</v>
      </c>
      <c r="AL225" s="1">
        <f>Założenia!$M$167*OEp.w2</f>
        <v>0</v>
      </c>
      <c r="AM225" s="1">
        <f>Założenia!$M$167*OEp.w2</f>
        <v>0</v>
      </c>
      <c r="AN225" s="1">
        <f>Założenia!$M$167*OEp.w2</f>
        <v>0</v>
      </c>
      <c r="AO225" s="1">
        <f>Założenia!$M$167*OEp.w2</f>
        <v>0</v>
      </c>
      <c r="AP225" s="1">
        <f>Założenia!$M$167*OEp.w2</f>
        <v>0</v>
      </c>
      <c r="AQ225" s="1">
        <f>Założenia!$M$167*OEp.w2</f>
        <v>0</v>
      </c>
      <c r="AR225" s="1">
        <f>Założenia!$M$167*OEp.w2</f>
        <v>0</v>
      </c>
      <c r="AS225" s="1">
        <f>Założenia!$M$167*OEp.w2</f>
        <v>0</v>
      </c>
      <c r="AT225" s="1">
        <f>Założenia!$M$167*OEp.w2</f>
        <v>0</v>
      </c>
      <c r="AU225" s="1">
        <f>Założenia!$M$167*OEp.w2</f>
        <v>0</v>
      </c>
      <c r="AV225" s="1">
        <f>Założenia!$M$167*OEp.w2</f>
        <v>0</v>
      </c>
      <c r="AW225" s="1">
        <f>Założenia!$M$167*OEp.w2</f>
        <v>0</v>
      </c>
      <c r="AX225" s="1">
        <f>Założenia!$M$167*OEp.w2</f>
        <v>0</v>
      </c>
      <c r="AY225" s="1">
        <f>Założenia!$M$167*OEp.w2</f>
        <v>0</v>
      </c>
      <c r="AZ225" s="1">
        <f>Założenia!$M$167*OEp.w2</f>
        <v>0</v>
      </c>
      <c r="BA225" s="74">
        <f>Założenia!$M$167*OEp.w2</f>
        <v>0</v>
      </c>
    </row>
    <row r="226" spans="1:53" ht="15.75" hidden="1" customHeight="1" outlineLevel="1" x14ac:dyDescent="0.35">
      <c r="A226" s="5"/>
      <c r="B226" s="5"/>
      <c r="C226" s="5" t="s">
        <v>102</v>
      </c>
      <c r="E226" s="5"/>
      <c r="F226" s="5"/>
      <c r="G226" s="5"/>
      <c r="H226" s="5"/>
      <c r="I226" s="5"/>
      <c r="J226" s="5"/>
      <c r="K226" s="5"/>
      <c r="N226" s="1">
        <f t="shared" si="55"/>
        <v>0</v>
      </c>
      <c r="Q226" s="1">
        <f>Założenia!$M$168*OEp.w2</f>
        <v>0</v>
      </c>
      <c r="R226" s="1">
        <f>Założenia!$M$168*OEp.w2</f>
        <v>0</v>
      </c>
      <c r="S226" s="1">
        <f>Założenia!$M$168*OEp.w2</f>
        <v>0</v>
      </c>
      <c r="T226" s="1">
        <f>Założenia!$M$168*OEp.w2</f>
        <v>0</v>
      </c>
      <c r="U226" s="1">
        <f>Założenia!$M$168*OEp.w2</f>
        <v>0</v>
      </c>
      <c r="V226" s="1">
        <f>Założenia!$M$168*OEp.w2</f>
        <v>0</v>
      </c>
      <c r="W226" s="1">
        <f>Założenia!$M$168*OEp.w2</f>
        <v>0</v>
      </c>
      <c r="X226" s="1">
        <f>Założenia!$M$168*OEp.w2</f>
        <v>0</v>
      </c>
      <c r="Y226" s="1">
        <f>Założenia!$M$168*OEp.w2</f>
        <v>0</v>
      </c>
      <c r="Z226" s="1">
        <f>Założenia!$M$168*OEp.w2</f>
        <v>0</v>
      </c>
      <c r="AA226" s="1">
        <f>Założenia!$M$168*OEp.w2</f>
        <v>0</v>
      </c>
      <c r="AB226" s="1">
        <f>Założenia!$M$168*OEp.w2</f>
        <v>0</v>
      </c>
      <c r="AC226" s="1">
        <f>Założenia!$M$168*OEp.w2</f>
        <v>0</v>
      </c>
      <c r="AD226" s="1">
        <f>Założenia!$M$168*OEp.w2</f>
        <v>0</v>
      </c>
      <c r="AE226" s="1">
        <f>Założenia!$M$168*OEp.w2</f>
        <v>0</v>
      </c>
      <c r="AF226" s="1">
        <f>Założenia!$M$168*OEp.w2</f>
        <v>0</v>
      </c>
      <c r="AG226" s="1">
        <f>Założenia!$M$168*OEp.w2</f>
        <v>0</v>
      </c>
      <c r="AH226" s="1">
        <f>Założenia!$M$168*OEp.w2</f>
        <v>0</v>
      </c>
      <c r="AI226" s="1">
        <f>Założenia!$M$168*OEp.w2</f>
        <v>0</v>
      </c>
      <c r="AJ226" s="1">
        <f>Założenia!$M$168*OEp.w2</f>
        <v>0</v>
      </c>
      <c r="AK226" s="1">
        <f>Założenia!$M$168*OEp.w2</f>
        <v>0</v>
      </c>
      <c r="AL226" s="1">
        <f>Założenia!$M$168*OEp.w2</f>
        <v>0</v>
      </c>
      <c r="AM226" s="1">
        <f>Założenia!$M$168*OEp.w2</f>
        <v>0</v>
      </c>
      <c r="AN226" s="1">
        <f>Założenia!$M$168*OEp.w2</f>
        <v>0</v>
      </c>
      <c r="AO226" s="1">
        <f>Założenia!$M$168*OEp.w2</f>
        <v>0</v>
      </c>
      <c r="AP226" s="1">
        <f>Założenia!$M$168*OEp.w2</f>
        <v>0</v>
      </c>
      <c r="AQ226" s="1">
        <f>Założenia!$M$168*OEp.w2</f>
        <v>0</v>
      </c>
      <c r="AR226" s="1">
        <f>Założenia!$M$168*OEp.w2</f>
        <v>0</v>
      </c>
      <c r="AS226" s="1">
        <f>Założenia!$M$168*OEp.w2</f>
        <v>0</v>
      </c>
      <c r="AT226" s="1">
        <f>Założenia!$M$168*OEp.w2</f>
        <v>0</v>
      </c>
      <c r="AU226" s="1">
        <f>Założenia!$M$168*OEp.w2</f>
        <v>0</v>
      </c>
      <c r="AV226" s="1">
        <f>Założenia!$M$168*OEp.w2</f>
        <v>0</v>
      </c>
      <c r="AW226" s="1">
        <f>Założenia!$M$168*OEp.w2</f>
        <v>0</v>
      </c>
      <c r="AX226" s="1">
        <f>Założenia!$M$168*OEp.w2</f>
        <v>0</v>
      </c>
      <c r="AY226" s="1">
        <f>Założenia!$M$168*OEp.w2</f>
        <v>0</v>
      </c>
      <c r="AZ226" s="1">
        <f>Założenia!$M$168*OEp.w2</f>
        <v>0</v>
      </c>
      <c r="BA226" s="74">
        <f>Założenia!$M$168*OEp.w2</f>
        <v>0</v>
      </c>
    </row>
    <row r="227" spans="1:53" ht="15.75" hidden="1" customHeight="1" outlineLevel="1" x14ac:dyDescent="0.35">
      <c r="A227" s="5"/>
      <c r="B227" s="5"/>
      <c r="C227" s="5" t="s">
        <v>135</v>
      </c>
      <c r="E227" s="5"/>
      <c r="F227" s="5"/>
      <c r="G227" s="5"/>
      <c r="H227" s="5"/>
      <c r="I227" s="5"/>
      <c r="J227" s="5"/>
      <c r="K227" s="5"/>
      <c r="N227" s="1">
        <f t="shared" si="55"/>
        <v>0</v>
      </c>
      <c r="Q227" s="1">
        <f>SUM(-SUM(Q215,Q210)*(Założenia!$M$172="tak")*Założenia!$M$173,'Wariant 2'!Q$169)</f>
        <v>0</v>
      </c>
      <c r="R227" s="1">
        <f>SUM(-SUM(R215,R210)*(Założenia!$M$172="tak")*Założenia!$M$173,'Wariant 2'!R$169)</f>
        <v>0</v>
      </c>
      <c r="S227" s="1">
        <f>SUM(-SUM(S215,S210)*(Założenia!$M$172="tak")*Założenia!$M$173,'Wariant 2'!S$169)</f>
        <v>0</v>
      </c>
      <c r="T227" s="1">
        <f>SUM(-SUM(T215,T210)*(Założenia!$M$172="tak")*Założenia!$M$173,'Wariant 2'!T$169)</f>
        <v>0</v>
      </c>
      <c r="U227" s="1">
        <f>SUM(-SUM(U215,U210)*(Założenia!$M$172="tak")*Założenia!$M$173,'Wariant 2'!U$169)</f>
        <v>0</v>
      </c>
      <c r="V227" s="1">
        <f>SUM(-SUM(V215,V210)*(Założenia!$M$172="tak")*Założenia!$M$173,'Wariant 2'!V$169)</f>
        <v>0</v>
      </c>
      <c r="W227" s="1">
        <f>SUM(-SUM(W215,W210)*(Założenia!$M$172="tak")*Założenia!$M$173,'Wariant 2'!W$169)</f>
        <v>0</v>
      </c>
      <c r="X227" s="1">
        <f>SUM(-SUM(X215,X210)*(Założenia!$M$172="tak")*Założenia!$M$173,'Wariant 2'!X$169)</f>
        <v>0</v>
      </c>
      <c r="Y227" s="1">
        <f>SUM(-SUM(Y215,Y210)*(Założenia!$M$172="tak")*Założenia!$M$173,'Wariant 2'!Y$169)</f>
        <v>0</v>
      </c>
      <c r="Z227" s="1">
        <f>SUM(-SUM(Z215,Z210)*(Założenia!$M$172="tak")*Założenia!$M$173,'Wariant 2'!Z$169)</f>
        <v>0</v>
      </c>
      <c r="AA227" s="1">
        <f>SUM(-SUM(AA215,AA210)*(Założenia!$M$172="tak")*Założenia!$M$173,'Wariant 2'!AA$169)</f>
        <v>0</v>
      </c>
      <c r="AB227" s="1">
        <f>SUM(-SUM(AB215,AB210)*(Założenia!$M$172="tak")*Założenia!$M$173,'Wariant 2'!AB$169)</f>
        <v>0</v>
      </c>
      <c r="AC227" s="1">
        <f>SUM(-SUM(AC215,AC210)*(Założenia!$M$172="tak")*Założenia!$M$173,'Wariant 2'!AC$169)</f>
        <v>0</v>
      </c>
      <c r="AD227" s="1">
        <f>SUM(-SUM(AD215,AD210)*(Założenia!$M$172="tak")*Założenia!$M$173,'Wariant 2'!AD$169)</f>
        <v>0</v>
      </c>
      <c r="AE227" s="1">
        <f>SUM(-SUM(AE215,AE210)*(Założenia!$M$172="tak")*Założenia!$M$173,'Wariant 2'!AE$169)</f>
        <v>0</v>
      </c>
      <c r="AF227" s="1">
        <f>SUM(-SUM(AF215,AF210)*(Założenia!$M$172="tak")*Założenia!$M$173,'Wariant 2'!AF$169)</f>
        <v>0</v>
      </c>
      <c r="AG227" s="1">
        <f>SUM(-SUM(AG215,AG210)*(Założenia!$M$172="tak")*Założenia!$M$173,'Wariant 2'!AG$169)</f>
        <v>0</v>
      </c>
      <c r="AH227" s="1">
        <f>SUM(-SUM(AH215,AH210)*(Założenia!$M$172="tak")*Założenia!$M$173,'Wariant 2'!AH$169)</f>
        <v>0</v>
      </c>
      <c r="AI227" s="1">
        <f>SUM(-SUM(AI215,AI210)*(Założenia!$M$172="tak")*Założenia!$M$173,'Wariant 2'!AI$169)</f>
        <v>0</v>
      </c>
      <c r="AJ227" s="1">
        <f>SUM(-SUM(AJ215,AJ210)*(Założenia!$M$172="tak")*Założenia!$M$173,'Wariant 2'!AJ$169)</f>
        <v>0</v>
      </c>
      <c r="AK227" s="1">
        <f>SUM(-SUM(AK215,AK210)*(Założenia!$M$172="tak")*Założenia!$M$173,'Wariant 2'!AK$169)</f>
        <v>0</v>
      </c>
      <c r="AL227" s="1">
        <f>SUM(-SUM(AL215,AL210)*(Założenia!$M$172="tak")*Założenia!$M$173,'Wariant 2'!AL$169)</f>
        <v>0</v>
      </c>
      <c r="AM227" s="1">
        <f>SUM(-SUM(AM215,AM210)*(Założenia!$M$172="tak")*Założenia!$M$173,'Wariant 2'!AM$169)</f>
        <v>0</v>
      </c>
      <c r="AN227" s="1">
        <f>SUM(-SUM(AN215,AN210)*(Założenia!$M$172="tak")*Założenia!$M$173,'Wariant 2'!AN$169)</f>
        <v>0</v>
      </c>
      <c r="AO227" s="1">
        <f>SUM(-SUM(AO215,AO210)*(Założenia!$M$172="tak")*Założenia!$M$173,'Wariant 2'!AO$169)</f>
        <v>0</v>
      </c>
      <c r="AP227" s="1">
        <f>SUM(-SUM(AP215,AP210)*(Założenia!$M$172="tak")*Założenia!$M$173,'Wariant 2'!AP$169)</f>
        <v>0</v>
      </c>
      <c r="AQ227" s="1">
        <f>SUM(-SUM(AQ215,AQ210)*(Założenia!$M$172="tak")*Założenia!$M$173,'Wariant 2'!AQ$169)</f>
        <v>0</v>
      </c>
      <c r="AR227" s="1">
        <f>SUM(-SUM(AR215,AR210)*(Założenia!$M$172="tak")*Założenia!$M$173,'Wariant 2'!AR$169)</f>
        <v>0</v>
      </c>
      <c r="AS227" s="1">
        <f>SUM(-SUM(AS215,AS210)*(Założenia!$M$172="tak")*Założenia!$M$173,'Wariant 2'!AS$169)</f>
        <v>0</v>
      </c>
      <c r="AT227" s="1">
        <f>SUM(-SUM(AT215,AT210)*(Założenia!$M$172="tak")*Założenia!$M$173,'Wariant 2'!AT$169)</f>
        <v>0</v>
      </c>
      <c r="AU227" s="1">
        <f>SUM(-SUM(AU215,AU210)*(Założenia!$M$172="tak")*Założenia!$M$173,'Wariant 2'!AU$169)</f>
        <v>0</v>
      </c>
      <c r="AV227" s="1">
        <f>SUM(-SUM(AV215,AV210)*(Założenia!$M$172="tak")*Założenia!$M$173,'Wariant 2'!AV$169)</f>
        <v>0</v>
      </c>
      <c r="AW227" s="1">
        <f>SUM(-SUM(AW215,AW210)*(Założenia!$M$172="tak")*Założenia!$M$173,'Wariant 2'!AW$169)</f>
        <v>0</v>
      </c>
      <c r="AX227" s="1">
        <f>SUM(-SUM(AX215,AX210)*(Założenia!$M$172="tak")*Założenia!$M$173,'Wariant 2'!AX$169)</f>
        <v>0</v>
      </c>
      <c r="AY227" s="1">
        <f>SUM(-SUM(AY215,AY210)*(Założenia!$M$172="tak")*Założenia!$M$173,'Wariant 2'!AY$169)</f>
        <v>0</v>
      </c>
      <c r="AZ227" s="1">
        <f>SUM(-SUM(AZ215,AZ210)*(Założenia!$M$172="tak")*Założenia!$M$173,'Wariant 2'!AZ$169)</f>
        <v>0</v>
      </c>
      <c r="BA227" s="74">
        <f>SUM(-SUM(BA215,BA210)*(Założenia!$M$172="tak")*Założenia!$M$173,'Wariant 2'!BA$169)</f>
        <v>0</v>
      </c>
    </row>
    <row r="228" spans="1:53" ht="15.75" hidden="1" customHeight="1" outlineLevel="1" x14ac:dyDescent="0.35">
      <c r="A228" s="5"/>
      <c r="B228" s="5"/>
      <c r="C228" s="5" t="s">
        <v>144</v>
      </c>
      <c r="E228" s="5"/>
      <c r="F228" s="5"/>
      <c r="G228" s="5"/>
      <c r="H228" s="5"/>
      <c r="I228" s="5"/>
      <c r="J228" s="5"/>
      <c r="K228" s="5"/>
      <c r="N228" s="1">
        <f t="shared" si="55"/>
        <v>0</v>
      </c>
      <c r="Q228" s="1">
        <f>ABS(INDEX(Założenia!$M$87:$M$123,MATCH(Q$1,Założenia!$J$87:$J$123,0)))*CPIc*PPPt.w2</f>
        <v>0</v>
      </c>
      <c r="R228" s="1">
        <f>ABS(INDEX(Założenia!$M$87:$M$123,MATCH(R$1,Założenia!$J$87:$J$123,0)))*CPIc*PPPt.w2</f>
        <v>0</v>
      </c>
      <c r="S228" s="1">
        <f>ABS(INDEX(Założenia!$M$87:$M$123,MATCH(S$1,Założenia!$J$87:$J$123,0)))*CPIc*PPPt.w2</f>
        <v>0</v>
      </c>
      <c r="T228" s="1">
        <f>ABS(INDEX(Założenia!$M$87:$M$123,MATCH(T$1,Założenia!$J$87:$J$123,0)))*CPIc*PPPt.w2</f>
        <v>0</v>
      </c>
      <c r="U228" s="1">
        <f>ABS(INDEX(Założenia!$M$87:$M$123,MATCH(U$1,Założenia!$J$87:$J$123,0)))*CPIc*PPPt.w2</f>
        <v>0</v>
      </c>
      <c r="V228" s="1">
        <f>ABS(INDEX(Założenia!$M$87:$M$123,MATCH(V$1,Założenia!$J$87:$J$123,0)))*CPIc*PPPt.w2</f>
        <v>0</v>
      </c>
      <c r="W228" s="1">
        <f>ABS(INDEX(Założenia!$M$87:$M$123,MATCH(W$1,Założenia!$J$87:$J$123,0)))*CPIc*PPPt.w2</f>
        <v>0</v>
      </c>
      <c r="X228" s="1">
        <f>ABS(INDEX(Założenia!$M$87:$M$123,MATCH(X$1,Założenia!$J$87:$J$123,0)))*CPIc*PPPt.w2</f>
        <v>0</v>
      </c>
      <c r="Y228" s="1">
        <f>ABS(INDEX(Założenia!$M$87:$M$123,MATCH(Y$1,Założenia!$J$87:$J$123,0)))*CPIc*PPPt.w2</f>
        <v>0</v>
      </c>
      <c r="Z228" s="1">
        <f>ABS(INDEX(Założenia!$M$87:$M$123,MATCH(Z$1,Założenia!$J$87:$J$123,0)))*CPIc*PPPt.w2</f>
        <v>0</v>
      </c>
      <c r="AA228" s="1">
        <f>ABS(INDEX(Założenia!$M$87:$M$123,MATCH(AA$1,Założenia!$J$87:$J$123,0)))*CPIc*PPPt.w2</f>
        <v>0</v>
      </c>
      <c r="AB228" s="1">
        <f>ABS(INDEX(Założenia!$M$87:$M$123,MATCH(AB$1,Założenia!$J$87:$J$123,0)))*CPIc*PPPt.w2</f>
        <v>0</v>
      </c>
      <c r="AC228" s="1">
        <f>ABS(INDEX(Założenia!$M$87:$M$123,MATCH(AC$1,Założenia!$J$87:$J$123,0)))*CPIc*PPPt.w2</f>
        <v>0</v>
      </c>
      <c r="AD228" s="1">
        <f>ABS(INDEX(Założenia!$M$87:$M$123,MATCH(AD$1,Założenia!$J$87:$J$123,0)))*CPIc*PPPt.w2</f>
        <v>0</v>
      </c>
      <c r="AE228" s="1">
        <f>ABS(INDEX(Założenia!$M$87:$M$123,MATCH(AE$1,Założenia!$J$87:$J$123,0)))*CPIc*PPPt.w2</f>
        <v>0</v>
      </c>
      <c r="AF228" s="1">
        <f>ABS(INDEX(Założenia!$M$87:$M$123,MATCH(AF$1,Założenia!$J$87:$J$123,0)))*CPIc*PPPt.w2</f>
        <v>0</v>
      </c>
      <c r="AG228" s="1">
        <f>ABS(INDEX(Założenia!$M$87:$M$123,MATCH(AG$1,Założenia!$J$87:$J$123,0)))*CPIc*PPPt.w2</f>
        <v>0</v>
      </c>
      <c r="AH228" s="1">
        <f>ABS(INDEX(Założenia!$M$87:$M$123,MATCH(AH$1,Założenia!$J$87:$J$123,0)))*CPIc*PPPt.w2</f>
        <v>0</v>
      </c>
      <c r="AI228" s="1">
        <f>ABS(INDEX(Założenia!$M$87:$M$123,MATCH(AI$1,Założenia!$J$87:$J$123,0)))*CPIc*PPPt.w2</f>
        <v>0</v>
      </c>
      <c r="AJ228" s="1">
        <f>ABS(INDEX(Założenia!$M$87:$M$123,MATCH(AJ$1,Założenia!$J$87:$J$123,0)))*CPIc*PPPt.w2</f>
        <v>0</v>
      </c>
      <c r="AK228" s="1">
        <f>ABS(INDEX(Założenia!$M$87:$M$123,MATCH(AK$1,Założenia!$J$87:$J$123,0)))*CPIc*PPPt.w2</f>
        <v>0</v>
      </c>
      <c r="AL228" s="1">
        <f>ABS(INDEX(Założenia!$M$87:$M$123,MATCH(AL$1,Założenia!$J$87:$J$123,0)))*CPIc*PPPt.w2</f>
        <v>0</v>
      </c>
      <c r="AM228" s="1">
        <f>ABS(INDEX(Założenia!$M$87:$M$123,MATCH(AM$1,Założenia!$J$87:$J$123,0)))*CPIc*PPPt.w2</f>
        <v>0</v>
      </c>
      <c r="AN228" s="1">
        <f>ABS(INDEX(Założenia!$M$87:$M$123,MATCH(AN$1,Założenia!$J$87:$J$123,0)))*CPIc*PPPt.w2</f>
        <v>0</v>
      </c>
      <c r="AO228" s="1">
        <f>ABS(INDEX(Założenia!$M$87:$M$123,MATCH(AO$1,Założenia!$J$87:$J$123,0)))*CPIc*PPPt.w2</f>
        <v>0</v>
      </c>
      <c r="AP228" s="1">
        <f>ABS(INDEX(Założenia!$M$87:$M$123,MATCH(AP$1,Założenia!$J$87:$J$123,0)))*CPIc*PPPt.w2</f>
        <v>0</v>
      </c>
      <c r="AQ228" s="1">
        <f>ABS(INDEX(Założenia!$M$87:$M$123,MATCH(AQ$1,Założenia!$J$87:$J$123,0)))*CPIc*PPPt.w2</f>
        <v>0</v>
      </c>
      <c r="AR228" s="1">
        <f>ABS(INDEX(Założenia!$M$87:$M$123,MATCH(AR$1,Założenia!$J$87:$J$123,0)))*CPIc*PPPt.w2</f>
        <v>0</v>
      </c>
      <c r="AS228" s="1">
        <f>ABS(INDEX(Założenia!$M$87:$M$123,MATCH(AS$1,Założenia!$J$87:$J$123,0)))*CPIc*PPPt.w2</f>
        <v>0</v>
      </c>
      <c r="AT228" s="1">
        <f>ABS(INDEX(Założenia!$M$87:$M$123,MATCH(AT$1,Założenia!$J$87:$J$123,0)))*CPIc*PPPt.w2</f>
        <v>0</v>
      </c>
      <c r="AU228" s="1">
        <f>ABS(INDEX(Założenia!$M$87:$M$123,MATCH(AU$1,Założenia!$J$87:$J$123,0)))*CPIc*PPPt.w2</f>
        <v>0</v>
      </c>
      <c r="AV228" s="1">
        <f>ABS(INDEX(Założenia!$M$87:$M$123,MATCH(AV$1,Założenia!$J$87:$J$123,0)))*CPIc*PPPt.w2</f>
        <v>0</v>
      </c>
      <c r="AW228" s="1">
        <f>ABS(INDEX(Założenia!$M$87:$M$123,MATCH(AW$1,Założenia!$J$87:$J$123,0)))*CPIc*PPPt.w2</f>
        <v>0</v>
      </c>
      <c r="AX228" s="1">
        <f>ABS(INDEX(Założenia!$M$87:$M$123,MATCH(AX$1,Założenia!$J$87:$J$123,0)))*CPIc*PPPt.w2</f>
        <v>0</v>
      </c>
      <c r="AY228" s="1">
        <f>ABS(INDEX(Założenia!$M$87:$M$123,MATCH(AY$1,Założenia!$J$87:$J$123,0)))*CPIc*PPPt.w2</f>
        <v>0</v>
      </c>
      <c r="AZ228" s="1">
        <f>ABS(INDEX(Założenia!$M$87:$M$123,MATCH(AZ$1,Założenia!$J$87:$J$123,0)))*CPIc*PPPt.w2</f>
        <v>0</v>
      </c>
      <c r="BA228" s="74">
        <f>ABS(INDEX(Założenia!$M$87:$M$123,MATCH(BA$1,Założenia!$J$87:$J$123,0)))*CPIc*PPPt.w2</f>
        <v>0</v>
      </c>
    </row>
    <row r="229" spans="1:53" ht="15.75" hidden="1" customHeight="1" outlineLevel="1" x14ac:dyDescent="0.35">
      <c r="A229" s="5"/>
      <c r="B229" s="5"/>
      <c r="C229" s="5" t="s">
        <v>141</v>
      </c>
      <c r="E229" s="5"/>
      <c r="F229" s="5"/>
      <c r="G229" s="5"/>
      <c r="H229" s="5"/>
      <c r="I229" s="5"/>
      <c r="J229" s="5"/>
      <c r="K229" s="5"/>
      <c r="N229" s="1">
        <f t="shared" si="55"/>
        <v>0</v>
      </c>
      <c r="Q229" s="1">
        <f>-ABS(INDEX(Założenia!$M$126:$M$162,MATCH(Q$1,Założenia!$J$126:$J$162,0)))*CPIc*PPPt.w2</f>
        <v>0</v>
      </c>
      <c r="R229" s="1">
        <f>-ABS(INDEX(Założenia!$M$126:$M$162,MATCH(R$1,Założenia!$J$126:$J$162,0)))*CPIc*PPPt.w2</f>
        <v>0</v>
      </c>
      <c r="S229" s="1">
        <f>-ABS(INDEX(Założenia!$M$126:$M$162,MATCH(S$1,Założenia!$J$126:$J$162,0)))*CPIc*PPPt.w2</f>
        <v>0</v>
      </c>
      <c r="T229" s="1">
        <f>-ABS(INDEX(Założenia!$M$126:$M$162,MATCH(T$1,Założenia!$J$126:$J$162,0)))*CPIc*PPPt.w2</f>
        <v>0</v>
      </c>
      <c r="U229" s="1">
        <f>-ABS(INDEX(Założenia!$M$126:$M$162,MATCH(U$1,Założenia!$J$126:$J$162,0)))*CPIc*PPPt.w2</f>
        <v>0</v>
      </c>
      <c r="V229" s="1">
        <f>-ABS(INDEX(Założenia!$M$126:$M$162,MATCH(V$1,Założenia!$J$126:$J$162,0)))*CPIc*PPPt.w2</f>
        <v>0</v>
      </c>
      <c r="W229" s="1">
        <f>-ABS(INDEX(Założenia!$M$126:$M$162,MATCH(W$1,Założenia!$J$126:$J$162,0)))*CPIc*PPPt.w2</f>
        <v>0</v>
      </c>
      <c r="X229" s="1">
        <f>-ABS(INDEX(Założenia!$M$126:$M$162,MATCH(X$1,Założenia!$J$126:$J$162,0)))*CPIc*PPPt.w2</f>
        <v>0</v>
      </c>
      <c r="Y229" s="1">
        <f>-ABS(INDEX(Założenia!$M$126:$M$162,MATCH(Y$1,Założenia!$J$126:$J$162,0)))*CPIc*PPPt.w2</f>
        <v>0</v>
      </c>
      <c r="Z229" s="1">
        <f>-ABS(INDEX(Założenia!$M$126:$M$162,MATCH(Z$1,Założenia!$J$126:$J$162,0)))*CPIc*PPPt.w2</f>
        <v>0</v>
      </c>
      <c r="AA229" s="1">
        <f>-ABS(INDEX(Założenia!$M$126:$M$162,MATCH(AA$1,Założenia!$J$126:$J$162,0)))*CPIc*PPPt.w2</f>
        <v>0</v>
      </c>
      <c r="AB229" s="1">
        <f>-ABS(INDEX(Założenia!$M$126:$M$162,MATCH(AB$1,Założenia!$J$126:$J$162,0)))*CPIc*PPPt.w2</f>
        <v>0</v>
      </c>
      <c r="AC229" s="1">
        <f>-ABS(INDEX(Założenia!$M$126:$M$162,MATCH(AC$1,Założenia!$J$126:$J$162,0)))*CPIc*PPPt.w2</f>
        <v>0</v>
      </c>
      <c r="AD229" s="1">
        <f>-ABS(INDEX(Założenia!$M$126:$M$162,MATCH(AD$1,Założenia!$J$126:$J$162,0)))*CPIc*PPPt.w2</f>
        <v>0</v>
      </c>
      <c r="AE229" s="1">
        <f>-ABS(INDEX(Założenia!$M$126:$M$162,MATCH(AE$1,Założenia!$J$126:$J$162,0)))*CPIc*PPPt.w2</f>
        <v>0</v>
      </c>
      <c r="AF229" s="1">
        <f>-ABS(INDEX(Założenia!$M$126:$M$162,MATCH(AF$1,Założenia!$J$126:$J$162,0)))*CPIc*PPPt.w2</f>
        <v>0</v>
      </c>
      <c r="AG229" s="1">
        <f>-ABS(INDEX(Założenia!$M$126:$M$162,MATCH(AG$1,Założenia!$J$126:$J$162,0)))*CPIc*PPPt.w2</f>
        <v>0</v>
      </c>
      <c r="AH229" s="1">
        <f>-ABS(INDEX(Założenia!$M$126:$M$162,MATCH(AH$1,Założenia!$J$126:$J$162,0)))*CPIc*PPPt.w2</f>
        <v>0</v>
      </c>
      <c r="AI229" s="1">
        <f>-ABS(INDEX(Założenia!$M$126:$M$162,MATCH(AI$1,Założenia!$J$126:$J$162,0)))*CPIc*PPPt.w2</f>
        <v>0</v>
      </c>
      <c r="AJ229" s="1">
        <f>-ABS(INDEX(Założenia!$M$126:$M$162,MATCH(AJ$1,Założenia!$J$126:$J$162,0)))*CPIc*PPPt.w2</f>
        <v>0</v>
      </c>
      <c r="AK229" s="1">
        <f>-ABS(INDEX(Założenia!$M$126:$M$162,MATCH(AK$1,Założenia!$J$126:$J$162,0)))*CPIc*PPPt.w2</f>
        <v>0</v>
      </c>
      <c r="AL229" s="1">
        <f>-ABS(INDEX(Założenia!$M$126:$M$162,MATCH(AL$1,Założenia!$J$126:$J$162,0)))*CPIc*PPPt.w2</f>
        <v>0</v>
      </c>
      <c r="AM229" s="1">
        <f>-ABS(INDEX(Założenia!$M$126:$M$162,MATCH(AM$1,Założenia!$J$126:$J$162,0)))*CPIc*PPPt.w2</f>
        <v>0</v>
      </c>
      <c r="AN229" s="1">
        <f>-ABS(INDEX(Założenia!$M$126:$M$162,MATCH(AN$1,Założenia!$J$126:$J$162,0)))*CPIc*PPPt.w2</f>
        <v>0</v>
      </c>
      <c r="AO229" s="1">
        <f>-ABS(INDEX(Założenia!$M$126:$M$162,MATCH(AO$1,Założenia!$J$126:$J$162,0)))*CPIc*PPPt.w2</f>
        <v>0</v>
      </c>
      <c r="AP229" s="1">
        <f>-ABS(INDEX(Założenia!$M$126:$M$162,MATCH(AP$1,Założenia!$J$126:$J$162,0)))*CPIc*PPPt.w2</f>
        <v>0</v>
      </c>
      <c r="AQ229" s="1">
        <f>-ABS(INDEX(Założenia!$M$126:$M$162,MATCH(AQ$1,Założenia!$J$126:$J$162,0)))*CPIc*PPPt.w2</f>
        <v>0</v>
      </c>
      <c r="AR229" s="1">
        <f>-ABS(INDEX(Założenia!$M$126:$M$162,MATCH(AR$1,Założenia!$J$126:$J$162,0)))*CPIc*PPPt.w2</f>
        <v>0</v>
      </c>
      <c r="AS229" s="1">
        <f>-ABS(INDEX(Założenia!$M$126:$M$162,MATCH(AS$1,Założenia!$J$126:$J$162,0)))*CPIc*PPPt.w2</f>
        <v>0</v>
      </c>
      <c r="AT229" s="1">
        <f>-ABS(INDEX(Założenia!$M$126:$M$162,MATCH(AT$1,Założenia!$J$126:$J$162,0)))*CPIc*PPPt.w2</f>
        <v>0</v>
      </c>
      <c r="AU229" s="1">
        <f>-ABS(INDEX(Założenia!$M$126:$M$162,MATCH(AU$1,Założenia!$J$126:$J$162,0)))*CPIc*PPPt.w2</f>
        <v>0</v>
      </c>
      <c r="AV229" s="1">
        <f>-ABS(INDEX(Założenia!$M$126:$M$162,MATCH(AV$1,Założenia!$J$126:$J$162,0)))*CPIc*PPPt.w2</f>
        <v>0</v>
      </c>
      <c r="AW229" s="1">
        <f>-ABS(INDEX(Założenia!$M$126:$M$162,MATCH(AW$1,Założenia!$J$126:$J$162,0)))*CPIc*PPPt.w2</f>
        <v>0</v>
      </c>
      <c r="AX229" s="1">
        <f>-ABS(INDEX(Założenia!$M$126:$M$162,MATCH(AX$1,Założenia!$J$126:$J$162,0)))*CPIc*PPPt.w2</f>
        <v>0</v>
      </c>
      <c r="AY229" s="1">
        <f>-ABS(INDEX(Założenia!$M$126:$M$162,MATCH(AY$1,Założenia!$J$126:$J$162,0)))*CPIc*PPPt.w2</f>
        <v>0</v>
      </c>
      <c r="AZ229" s="1">
        <f>-ABS(INDEX(Założenia!$M$126:$M$162,MATCH(AZ$1,Założenia!$J$126:$J$162,0)))*CPIc*PPPt.w2</f>
        <v>0</v>
      </c>
      <c r="BA229" s="74">
        <f>-ABS(INDEX(Założenia!$M$126:$M$162,MATCH(BA$1,Założenia!$J$126:$J$162,0)))*CPIc*PPPt.w2</f>
        <v>0</v>
      </c>
    </row>
    <row r="230" spans="1:53" ht="14.5" hidden="1" outlineLevel="1" x14ac:dyDescent="0.35"/>
    <row r="231" spans="1:53" ht="14.5" hidden="1" outlineLevel="1" x14ac:dyDescent="0.35"/>
    <row r="232" spans="1:53" hidden="1" outlineLevel="1" thickBot="1" x14ac:dyDescent="0.4">
      <c r="A232" s="60" t="s">
        <v>98</v>
      </c>
      <c r="B232" s="58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  <c r="AK232" s="58"/>
      <c r="AL232" s="58"/>
      <c r="AM232" s="58"/>
      <c r="AN232" s="58"/>
      <c r="AO232" s="58"/>
      <c r="AP232" s="58"/>
      <c r="AQ232" s="58"/>
      <c r="AR232" s="58"/>
      <c r="AS232" s="58"/>
      <c r="AT232" s="58"/>
      <c r="AU232" s="58"/>
      <c r="AV232" s="58"/>
      <c r="AW232" s="58"/>
      <c r="AX232" s="58"/>
      <c r="AY232" s="58"/>
      <c r="AZ232" s="58"/>
      <c r="BA232" s="58"/>
    </row>
    <row r="233" spans="1:53" ht="14.5" hidden="1" outlineLevel="1" x14ac:dyDescent="0.35"/>
    <row r="234" spans="1:53" ht="15.75" hidden="1" customHeight="1" outlineLevel="1" x14ac:dyDescent="0.35">
      <c r="A234" s="59" t="s">
        <v>133</v>
      </c>
      <c r="B234" s="59" t="s">
        <v>136</v>
      </c>
      <c r="C234" s="59"/>
      <c r="D234" s="59"/>
      <c r="E234" s="59"/>
      <c r="F234" s="59"/>
      <c r="G234" s="59"/>
      <c r="H234" s="59"/>
      <c r="I234" s="59"/>
      <c r="J234" s="59"/>
      <c r="K234" s="59"/>
      <c r="L234" s="59"/>
      <c r="M234" s="59"/>
      <c r="N234" s="59">
        <f>SUM(Q234:BA234)</f>
        <v>0</v>
      </c>
      <c r="O234" s="59"/>
      <c r="P234" s="59"/>
      <c r="Q234" s="59">
        <f t="shared" ref="Q234:BA234" si="57">SUM(Q236,Q248)</f>
        <v>0</v>
      </c>
      <c r="R234" s="59">
        <f t="shared" si="57"/>
        <v>0</v>
      </c>
      <c r="S234" s="59">
        <f t="shared" si="57"/>
        <v>0</v>
      </c>
      <c r="T234" s="59">
        <f t="shared" si="57"/>
        <v>0</v>
      </c>
      <c r="U234" s="59">
        <f t="shared" si="57"/>
        <v>0</v>
      </c>
      <c r="V234" s="59">
        <f t="shared" si="57"/>
        <v>0</v>
      </c>
      <c r="W234" s="59">
        <f t="shared" si="57"/>
        <v>0</v>
      </c>
      <c r="X234" s="59">
        <f t="shared" si="57"/>
        <v>0</v>
      </c>
      <c r="Y234" s="59">
        <f t="shared" si="57"/>
        <v>0</v>
      </c>
      <c r="Z234" s="59">
        <f t="shared" si="57"/>
        <v>0</v>
      </c>
      <c r="AA234" s="59">
        <f t="shared" si="57"/>
        <v>0</v>
      </c>
      <c r="AB234" s="59">
        <f t="shared" si="57"/>
        <v>0</v>
      </c>
      <c r="AC234" s="59">
        <f t="shared" si="57"/>
        <v>0</v>
      </c>
      <c r="AD234" s="59">
        <f t="shared" si="57"/>
        <v>0</v>
      </c>
      <c r="AE234" s="59">
        <f t="shared" si="57"/>
        <v>0</v>
      </c>
      <c r="AF234" s="59">
        <f t="shared" si="57"/>
        <v>0</v>
      </c>
      <c r="AG234" s="59">
        <f t="shared" si="57"/>
        <v>0</v>
      </c>
      <c r="AH234" s="59">
        <f t="shared" si="57"/>
        <v>0</v>
      </c>
      <c r="AI234" s="59">
        <f t="shared" si="57"/>
        <v>0</v>
      </c>
      <c r="AJ234" s="59">
        <f t="shared" si="57"/>
        <v>0</v>
      </c>
      <c r="AK234" s="59">
        <f t="shared" si="57"/>
        <v>0</v>
      </c>
      <c r="AL234" s="59">
        <f t="shared" si="57"/>
        <v>0</v>
      </c>
      <c r="AM234" s="59">
        <f t="shared" si="57"/>
        <v>0</v>
      </c>
      <c r="AN234" s="59">
        <f t="shared" si="57"/>
        <v>0</v>
      </c>
      <c r="AO234" s="59">
        <f t="shared" si="57"/>
        <v>0</v>
      </c>
      <c r="AP234" s="59">
        <f t="shared" si="57"/>
        <v>0</v>
      </c>
      <c r="AQ234" s="59">
        <f t="shared" si="57"/>
        <v>0</v>
      </c>
      <c r="AR234" s="59">
        <f t="shared" si="57"/>
        <v>0</v>
      </c>
      <c r="AS234" s="59">
        <f t="shared" si="57"/>
        <v>0</v>
      </c>
      <c r="AT234" s="59">
        <f t="shared" si="57"/>
        <v>0</v>
      </c>
      <c r="AU234" s="59">
        <f t="shared" si="57"/>
        <v>0</v>
      </c>
      <c r="AV234" s="59">
        <f t="shared" si="57"/>
        <v>0</v>
      </c>
      <c r="AW234" s="59">
        <f t="shared" si="57"/>
        <v>0</v>
      </c>
      <c r="AX234" s="59">
        <f t="shared" si="57"/>
        <v>0</v>
      </c>
      <c r="AY234" s="59">
        <f t="shared" si="57"/>
        <v>0</v>
      </c>
      <c r="AZ234" s="59">
        <f t="shared" si="57"/>
        <v>0</v>
      </c>
      <c r="BA234" s="59">
        <f t="shared" si="57"/>
        <v>0</v>
      </c>
    </row>
    <row r="235" spans="1:53" ht="12.75" hidden="1" customHeight="1" outlineLevel="1" x14ac:dyDescent="0.35"/>
    <row r="236" spans="1:53" ht="15.75" hidden="1" customHeight="1" outlineLevel="1" x14ac:dyDescent="0.35">
      <c r="A236" s="15"/>
      <c r="B236" s="16" t="s">
        <v>75</v>
      </c>
      <c r="C236" s="16"/>
      <c r="D236" s="16"/>
      <c r="E236" s="16"/>
      <c r="F236" s="16"/>
      <c r="G236" s="16"/>
      <c r="H236" s="16"/>
      <c r="I236" s="16"/>
      <c r="J236" s="16"/>
      <c r="K236" s="16"/>
      <c r="L236" s="3"/>
      <c r="M236" s="3"/>
      <c r="N236" s="4">
        <f t="shared" ref="N236:N246" si="58">SUM(Q236:BA236)</f>
        <v>0</v>
      </c>
      <c r="O236" s="3"/>
      <c r="P236" s="3"/>
      <c r="Q236" s="4">
        <f t="shared" ref="Q236:BA236" si="59">SUM(Q237,Q244)</f>
        <v>0</v>
      </c>
      <c r="R236" s="4">
        <f t="shared" si="59"/>
        <v>0</v>
      </c>
      <c r="S236" s="4">
        <f t="shared" si="59"/>
        <v>0</v>
      </c>
      <c r="T236" s="4">
        <f t="shared" si="59"/>
        <v>0</v>
      </c>
      <c r="U236" s="4">
        <f t="shared" si="59"/>
        <v>0</v>
      </c>
      <c r="V236" s="4">
        <f t="shared" si="59"/>
        <v>0</v>
      </c>
      <c r="W236" s="4">
        <f t="shared" si="59"/>
        <v>0</v>
      </c>
      <c r="X236" s="4">
        <f t="shared" si="59"/>
        <v>0</v>
      </c>
      <c r="Y236" s="4">
        <f t="shared" si="59"/>
        <v>0</v>
      </c>
      <c r="Z236" s="4">
        <f t="shared" si="59"/>
        <v>0</v>
      </c>
      <c r="AA236" s="4">
        <f t="shared" si="59"/>
        <v>0</v>
      </c>
      <c r="AB236" s="4">
        <f t="shared" si="59"/>
        <v>0</v>
      </c>
      <c r="AC236" s="4">
        <f t="shared" si="59"/>
        <v>0</v>
      </c>
      <c r="AD236" s="4">
        <f t="shared" si="59"/>
        <v>0</v>
      </c>
      <c r="AE236" s="4">
        <f t="shared" si="59"/>
        <v>0</v>
      </c>
      <c r="AF236" s="4">
        <f t="shared" si="59"/>
        <v>0</v>
      </c>
      <c r="AG236" s="4">
        <f t="shared" si="59"/>
        <v>0</v>
      </c>
      <c r="AH236" s="4">
        <f t="shared" si="59"/>
        <v>0</v>
      </c>
      <c r="AI236" s="4">
        <f t="shared" si="59"/>
        <v>0</v>
      </c>
      <c r="AJ236" s="4">
        <f t="shared" si="59"/>
        <v>0</v>
      </c>
      <c r="AK236" s="4">
        <f t="shared" si="59"/>
        <v>0</v>
      </c>
      <c r="AL236" s="4">
        <f t="shared" si="59"/>
        <v>0</v>
      </c>
      <c r="AM236" s="4">
        <f t="shared" si="59"/>
        <v>0</v>
      </c>
      <c r="AN236" s="4">
        <f t="shared" si="59"/>
        <v>0</v>
      </c>
      <c r="AO236" s="4">
        <f t="shared" si="59"/>
        <v>0</v>
      </c>
      <c r="AP236" s="4">
        <f t="shared" si="59"/>
        <v>0</v>
      </c>
      <c r="AQ236" s="4">
        <f t="shared" si="59"/>
        <v>0</v>
      </c>
      <c r="AR236" s="4">
        <f t="shared" si="59"/>
        <v>0</v>
      </c>
      <c r="AS236" s="4">
        <f t="shared" si="59"/>
        <v>0</v>
      </c>
      <c r="AT236" s="4">
        <f t="shared" si="59"/>
        <v>0</v>
      </c>
      <c r="AU236" s="4">
        <f t="shared" si="59"/>
        <v>0</v>
      </c>
      <c r="AV236" s="4">
        <f t="shared" si="59"/>
        <v>0</v>
      </c>
      <c r="AW236" s="4">
        <f t="shared" si="59"/>
        <v>0</v>
      </c>
      <c r="AX236" s="4">
        <f t="shared" si="59"/>
        <v>0</v>
      </c>
      <c r="AY236" s="4">
        <f t="shared" si="59"/>
        <v>0</v>
      </c>
      <c r="AZ236" s="4">
        <f t="shared" si="59"/>
        <v>0</v>
      </c>
      <c r="BA236" s="73">
        <f t="shared" si="59"/>
        <v>0</v>
      </c>
    </row>
    <row r="237" spans="1:53" ht="15.75" hidden="1" customHeight="1" outlineLevel="1" x14ac:dyDescent="0.35">
      <c r="A237" s="5"/>
      <c r="B237" s="5"/>
      <c r="C237" s="5" t="s">
        <v>156</v>
      </c>
      <c r="E237" s="5"/>
      <c r="F237" s="5"/>
      <c r="G237" s="5"/>
      <c r="H237" s="5"/>
      <c r="I237" s="5"/>
      <c r="J237" s="5"/>
      <c r="K237" s="5"/>
      <c r="N237" s="1">
        <f t="shared" si="58"/>
        <v>0</v>
      </c>
      <c r="Q237" s="1">
        <f t="shared" ref="Q237" si="60">SUM(Q238:Q243)</f>
        <v>0</v>
      </c>
      <c r="R237" s="1">
        <f t="shared" ref="R237:BA237" si="61">SUM(R238:R243)</f>
        <v>0</v>
      </c>
      <c r="S237" s="1">
        <f t="shared" si="61"/>
        <v>0</v>
      </c>
      <c r="T237" s="1">
        <f t="shared" si="61"/>
        <v>0</v>
      </c>
      <c r="U237" s="1">
        <f t="shared" si="61"/>
        <v>0</v>
      </c>
      <c r="V237" s="1">
        <f t="shared" si="61"/>
        <v>0</v>
      </c>
      <c r="W237" s="1">
        <f t="shared" si="61"/>
        <v>0</v>
      </c>
      <c r="X237" s="1">
        <f t="shared" si="61"/>
        <v>0</v>
      </c>
      <c r="Y237" s="1">
        <f t="shared" si="61"/>
        <v>0</v>
      </c>
      <c r="Z237" s="1">
        <f t="shared" si="61"/>
        <v>0</v>
      </c>
      <c r="AA237" s="1">
        <f t="shared" si="61"/>
        <v>0</v>
      </c>
      <c r="AB237" s="1">
        <f t="shared" si="61"/>
        <v>0</v>
      </c>
      <c r="AC237" s="1">
        <f t="shared" si="61"/>
        <v>0</v>
      </c>
      <c r="AD237" s="1">
        <f t="shared" si="61"/>
        <v>0</v>
      </c>
      <c r="AE237" s="1">
        <f t="shared" si="61"/>
        <v>0</v>
      </c>
      <c r="AF237" s="1">
        <f t="shared" si="61"/>
        <v>0</v>
      </c>
      <c r="AG237" s="1">
        <f t="shared" si="61"/>
        <v>0</v>
      </c>
      <c r="AH237" s="1">
        <f t="shared" si="61"/>
        <v>0</v>
      </c>
      <c r="AI237" s="1">
        <f t="shared" si="61"/>
        <v>0</v>
      </c>
      <c r="AJ237" s="1">
        <f t="shared" si="61"/>
        <v>0</v>
      </c>
      <c r="AK237" s="1">
        <f t="shared" si="61"/>
        <v>0</v>
      </c>
      <c r="AL237" s="1">
        <f t="shared" si="61"/>
        <v>0</v>
      </c>
      <c r="AM237" s="1">
        <f t="shared" si="61"/>
        <v>0</v>
      </c>
      <c r="AN237" s="1">
        <f t="shared" si="61"/>
        <v>0</v>
      </c>
      <c r="AO237" s="1">
        <f t="shared" si="61"/>
        <v>0</v>
      </c>
      <c r="AP237" s="1">
        <f t="shared" si="61"/>
        <v>0</v>
      </c>
      <c r="AQ237" s="1">
        <f t="shared" si="61"/>
        <v>0</v>
      </c>
      <c r="AR237" s="1">
        <f t="shared" si="61"/>
        <v>0</v>
      </c>
      <c r="AS237" s="1">
        <f t="shared" si="61"/>
        <v>0</v>
      </c>
      <c r="AT237" s="1">
        <f t="shared" si="61"/>
        <v>0</v>
      </c>
      <c r="AU237" s="1">
        <f t="shared" si="61"/>
        <v>0</v>
      </c>
      <c r="AV237" s="1">
        <f t="shared" si="61"/>
        <v>0</v>
      </c>
      <c r="AW237" s="1">
        <f t="shared" si="61"/>
        <v>0</v>
      </c>
      <c r="AX237" s="1">
        <f t="shared" si="61"/>
        <v>0</v>
      </c>
      <c r="AY237" s="1">
        <f t="shared" si="61"/>
        <v>0</v>
      </c>
      <c r="AZ237" s="1">
        <f t="shared" si="61"/>
        <v>0</v>
      </c>
      <c r="BA237" s="74">
        <f t="shared" si="61"/>
        <v>0</v>
      </c>
    </row>
    <row r="238" spans="1:53" ht="15.75" hidden="1" customHeight="1" outlineLevel="1" x14ac:dyDescent="0.35">
      <c r="A238" s="5"/>
      <c r="B238" s="5"/>
      <c r="C238" s="5"/>
      <c r="D238" s="5" t="s">
        <v>99</v>
      </c>
      <c r="E238" s="5"/>
      <c r="F238" s="5"/>
      <c r="G238" s="5"/>
      <c r="H238" s="5"/>
      <c r="I238" s="5"/>
      <c r="J238" s="5"/>
      <c r="K238" s="5"/>
      <c r="N238" s="11">
        <f t="shared" si="58"/>
        <v>0</v>
      </c>
      <c r="Q238" s="11">
        <f>-'Wariant 3'!Q$90</f>
        <v>0</v>
      </c>
      <c r="R238" s="11">
        <f>-'Wariant 3'!R$90</f>
        <v>0</v>
      </c>
      <c r="S238" s="11">
        <f>-'Wariant 3'!S$90</f>
        <v>0</v>
      </c>
      <c r="T238" s="11">
        <f>-'Wariant 3'!T$90</f>
        <v>0</v>
      </c>
      <c r="U238" s="11">
        <f>-'Wariant 3'!U$90</f>
        <v>0</v>
      </c>
      <c r="V238" s="11">
        <f>-'Wariant 3'!V$90</f>
        <v>0</v>
      </c>
      <c r="W238" s="11">
        <f>-'Wariant 3'!W$90</f>
        <v>0</v>
      </c>
      <c r="X238" s="11">
        <f>-'Wariant 3'!X$90</f>
        <v>0</v>
      </c>
      <c r="Y238" s="11">
        <f>-'Wariant 3'!Y$90</f>
        <v>0</v>
      </c>
      <c r="Z238" s="11">
        <f>-'Wariant 3'!Z$90</f>
        <v>0</v>
      </c>
      <c r="AA238" s="11">
        <f>-'Wariant 3'!AA$90</f>
        <v>0</v>
      </c>
      <c r="AB238" s="11">
        <f>-'Wariant 3'!AB$90</f>
        <v>0</v>
      </c>
      <c r="AC238" s="11">
        <f>-'Wariant 3'!AC$90</f>
        <v>0</v>
      </c>
      <c r="AD238" s="11">
        <f>-'Wariant 3'!AD$90</f>
        <v>0</v>
      </c>
      <c r="AE238" s="11">
        <f>-'Wariant 3'!AE$90</f>
        <v>0</v>
      </c>
      <c r="AF238" s="11">
        <f>-'Wariant 3'!AF$90</f>
        <v>0</v>
      </c>
      <c r="AG238" s="11">
        <f>-'Wariant 3'!AG$90</f>
        <v>0</v>
      </c>
      <c r="AH238" s="11">
        <f>-'Wariant 3'!AH$90</f>
        <v>0</v>
      </c>
      <c r="AI238" s="11">
        <f>-'Wariant 3'!AI$90</f>
        <v>0</v>
      </c>
      <c r="AJ238" s="11">
        <f>-'Wariant 3'!AJ$90</f>
        <v>0</v>
      </c>
      <c r="AK238" s="11">
        <f>-'Wariant 3'!AK$90</f>
        <v>0</v>
      </c>
      <c r="AL238" s="11">
        <f>-'Wariant 3'!AL$90</f>
        <v>0</v>
      </c>
      <c r="AM238" s="11">
        <f>-'Wariant 3'!AM$90</f>
        <v>0</v>
      </c>
      <c r="AN238" s="11">
        <f>-'Wariant 3'!AN$90</f>
        <v>0</v>
      </c>
      <c r="AO238" s="11">
        <f>-'Wariant 3'!AO$90</f>
        <v>0</v>
      </c>
      <c r="AP238" s="11">
        <f>-'Wariant 3'!AP$90</f>
        <v>0</v>
      </c>
      <c r="AQ238" s="11">
        <f>-'Wariant 3'!AQ$90</f>
        <v>0</v>
      </c>
      <c r="AR238" s="11">
        <f>-'Wariant 3'!AR$90</f>
        <v>0</v>
      </c>
      <c r="AS238" s="11">
        <f>-'Wariant 3'!AS$90</f>
        <v>0</v>
      </c>
      <c r="AT238" s="11">
        <f>-'Wariant 3'!AT$90</f>
        <v>0</v>
      </c>
      <c r="AU238" s="11">
        <f>-'Wariant 3'!AU$90</f>
        <v>0</v>
      </c>
      <c r="AV238" s="11">
        <f>-'Wariant 3'!AV$90</f>
        <v>0</v>
      </c>
      <c r="AW238" s="11">
        <f>-'Wariant 3'!AW$90</f>
        <v>0</v>
      </c>
      <c r="AX238" s="11">
        <f>-'Wariant 3'!AX$90</f>
        <v>0</v>
      </c>
      <c r="AY238" s="11">
        <f>-'Wariant 3'!AY$90</f>
        <v>0</v>
      </c>
      <c r="AZ238" s="11">
        <f>-'Wariant 3'!AZ$90</f>
        <v>0</v>
      </c>
      <c r="BA238" s="75">
        <f>-'Wariant 3'!BA$90</f>
        <v>0</v>
      </c>
    </row>
    <row r="239" spans="1:53" ht="15.75" hidden="1" customHeight="1" outlineLevel="1" x14ac:dyDescent="0.35">
      <c r="A239" s="5"/>
      <c r="B239" s="5"/>
      <c r="C239" s="5"/>
      <c r="D239" s="5" t="s">
        <v>100</v>
      </c>
      <c r="E239" s="5"/>
      <c r="F239" s="5"/>
      <c r="G239" s="5"/>
      <c r="H239" s="5"/>
      <c r="I239" s="5"/>
      <c r="J239" s="5"/>
      <c r="K239" s="5"/>
      <c r="N239" s="11">
        <f t="shared" si="58"/>
        <v>0</v>
      </c>
      <c r="Q239" s="11">
        <f>-'Wariant 3'!Q$91</f>
        <v>0</v>
      </c>
      <c r="R239" s="11">
        <f>-'Wariant 3'!R$91</f>
        <v>0</v>
      </c>
      <c r="S239" s="11">
        <f>-'Wariant 3'!S$91</f>
        <v>0</v>
      </c>
      <c r="T239" s="11">
        <f>-'Wariant 3'!T$91</f>
        <v>0</v>
      </c>
      <c r="U239" s="11">
        <f>-'Wariant 3'!U$91</f>
        <v>0</v>
      </c>
      <c r="V239" s="11">
        <f>-'Wariant 3'!V$91</f>
        <v>0</v>
      </c>
      <c r="W239" s="11">
        <f>-'Wariant 3'!W$91</f>
        <v>0</v>
      </c>
      <c r="X239" s="11">
        <f>-'Wariant 3'!X$91</f>
        <v>0</v>
      </c>
      <c r="Y239" s="11">
        <f>-'Wariant 3'!Y$91</f>
        <v>0</v>
      </c>
      <c r="Z239" s="11">
        <f>-'Wariant 3'!Z$91</f>
        <v>0</v>
      </c>
      <c r="AA239" s="11">
        <f>-'Wariant 3'!AA$91</f>
        <v>0</v>
      </c>
      <c r="AB239" s="11">
        <f>-'Wariant 3'!AB$91</f>
        <v>0</v>
      </c>
      <c r="AC239" s="11">
        <f>-'Wariant 3'!AC$91</f>
        <v>0</v>
      </c>
      <c r="AD239" s="11">
        <f>-'Wariant 3'!AD$91</f>
        <v>0</v>
      </c>
      <c r="AE239" s="11">
        <f>-'Wariant 3'!AE$91</f>
        <v>0</v>
      </c>
      <c r="AF239" s="11">
        <f>-'Wariant 3'!AF$91</f>
        <v>0</v>
      </c>
      <c r="AG239" s="11">
        <f>-'Wariant 3'!AG$91</f>
        <v>0</v>
      </c>
      <c r="AH239" s="11">
        <f>-'Wariant 3'!AH$91</f>
        <v>0</v>
      </c>
      <c r="AI239" s="11">
        <f>-'Wariant 3'!AI$91</f>
        <v>0</v>
      </c>
      <c r="AJ239" s="11">
        <f>-'Wariant 3'!AJ$91</f>
        <v>0</v>
      </c>
      <c r="AK239" s="11">
        <f>-'Wariant 3'!AK$91</f>
        <v>0</v>
      </c>
      <c r="AL239" s="11">
        <f>-'Wariant 3'!AL$91</f>
        <v>0</v>
      </c>
      <c r="AM239" s="11">
        <f>-'Wariant 3'!AM$91</f>
        <v>0</v>
      </c>
      <c r="AN239" s="11">
        <f>-'Wariant 3'!AN$91</f>
        <v>0</v>
      </c>
      <c r="AO239" s="11">
        <f>-'Wariant 3'!AO$91</f>
        <v>0</v>
      </c>
      <c r="AP239" s="11">
        <f>-'Wariant 3'!AP$91</f>
        <v>0</v>
      </c>
      <c r="AQ239" s="11">
        <f>-'Wariant 3'!AQ$91</f>
        <v>0</v>
      </c>
      <c r="AR239" s="11">
        <f>-'Wariant 3'!AR$91</f>
        <v>0</v>
      </c>
      <c r="AS239" s="11">
        <f>-'Wariant 3'!AS$91</f>
        <v>0</v>
      </c>
      <c r="AT239" s="11">
        <f>-'Wariant 3'!AT$91</f>
        <v>0</v>
      </c>
      <c r="AU239" s="11">
        <f>-'Wariant 3'!AU$91</f>
        <v>0</v>
      </c>
      <c r="AV239" s="11">
        <f>-'Wariant 3'!AV$91</f>
        <v>0</v>
      </c>
      <c r="AW239" s="11">
        <f>-'Wariant 3'!AW$91</f>
        <v>0</v>
      </c>
      <c r="AX239" s="11">
        <f>-'Wariant 3'!AX$91</f>
        <v>0</v>
      </c>
      <c r="AY239" s="11">
        <f>-'Wariant 3'!AY$91</f>
        <v>0</v>
      </c>
      <c r="AZ239" s="11">
        <f>-'Wariant 3'!AZ$91</f>
        <v>0</v>
      </c>
      <c r="BA239" s="75">
        <f>-'Wariant 3'!BA$91</f>
        <v>0</v>
      </c>
    </row>
    <row r="240" spans="1:53" ht="15.75" hidden="1" customHeight="1" outlineLevel="1" x14ac:dyDescent="0.35">
      <c r="A240" s="5"/>
      <c r="B240" s="5"/>
      <c r="C240" s="5"/>
      <c r="D240" s="5" t="s">
        <v>66</v>
      </c>
      <c r="E240" s="5"/>
      <c r="F240" s="5"/>
      <c r="G240" s="5"/>
      <c r="H240" s="5"/>
      <c r="I240" s="5"/>
      <c r="J240" s="5"/>
      <c r="K240" s="5"/>
      <c r="N240" s="11">
        <f t="shared" si="58"/>
        <v>0</v>
      </c>
      <c r="Q240" s="11">
        <f>-'Wariant 3'!Q$92</f>
        <v>0</v>
      </c>
      <c r="R240" s="11">
        <f>-'Wariant 3'!R$92</f>
        <v>0</v>
      </c>
      <c r="S240" s="11">
        <f>-'Wariant 3'!S$92</f>
        <v>0</v>
      </c>
      <c r="T240" s="11">
        <f>-'Wariant 3'!T$92</f>
        <v>0</v>
      </c>
      <c r="U240" s="11">
        <f>-'Wariant 3'!U$92</f>
        <v>0</v>
      </c>
      <c r="V240" s="11">
        <f>-'Wariant 3'!V$92</f>
        <v>0</v>
      </c>
      <c r="W240" s="11">
        <f>-'Wariant 3'!W$92</f>
        <v>0</v>
      </c>
      <c r="X240" s="11">
        <f>-'Wariant 3'!X$92</f>
        <v>0</v>
      </c>
      <c r="Y240" s="11">
        <f>-'Wariant 3'!Y$92</f>
        <v>0</v>
      </c>
      <c r="Z240" s="11">
        <f>-'Wariant 3'!Z$92</f>
        <v>0</v>
      </c>
      <c r="AA240" s="11">
        <f>-'Wariant 3'!AA$92</f>
        <v>0</v>
      </c>
      <c r="AB240" s="11">
        <f>-'Wariant 3'!AB$92</f>
        <v>0</v>
      </c>
      <c r="AC240" s="11">
        <f>-'Wariant 3'!AC$92</f>
        <v>0</v>
      </c>
      <c r="AD240" s="11">
        <f>-'Wariant 3'!AD$92</f>
        <v>0</v>
      </c>
      <c r="AE240" s="11">
        <f>-'Wariant 3'!AE$92</f>
        <v>0</v>
      </c>
      <c r="AF240" s="11">
        <f>-'Wariant 3'!AF$92</f>
        <v>0</v>
      </c>
      <c r="AG240" s="11">
        <f>-'Wariant 3'!AG$92</f>
        <v>0</v>
      </c>
      <c r="AH240" s="11">
        <f>-'Wariant 3'!AH$92</f>
        <v>0</v>
      </c>
      <c r="AI240" s="11">
        <f>-'Wariant 3'!AI$92</f>
        <v>0</v>
      </c>
      <c r="AJ240" s="11">
        <f>-'Wariant 3'!AJ$92</f>
        <v>0</v>
      </c>
      <c r="AK240" s="11">
        <f>-'Wariant 3'!AK$92</f>
        <v>0</v>
      </c>
      <c r="AL240" s="11">
        <f>-'Wariant 3'!AL$92</f>
        <v>0</v>
      </c>
      <c r="AM240" s="11">
        <f>-'Wariant 3'!AM$92</f>
        <v>0</v>
      </c>
      <c r="AN240" s="11">
        <f>-'Wariant 3'!AN$92</f>
        <v>0</v>
      </c>
      <c r="AO240" s="11">
        <f>-'Wariant 3'!AO$92</f>
        <v>0</v>
      </c>
      <c r="AP240" s="11">
        <f>-'Wariant 3'!AP$92</f>
        <v>0</v>
      </c>
      <c r="AQ240" s="11">
        <f>-'Wariant 3'!AQ$92</f>
        <v>0</v>
      </c>
      <c r="AR240" s="11">
        <f>-'Wariant 3'!AR$92</f>
        <v>0</v>
      </c>
      <c r="AS240" s="11">
        <f>-'Wariant 3'!AS$92</f>
        <v>0</v>
      </c>
      <c r="AT240" s="11">
        <f>-'Wariant 3'!AT$92</f>
        <v>0</v>
      </c>
      <c r="AU240" s="11">
        <f>-'Wariant 3'!AU$92</f>
        <v>0</v>
      </c>
      <c r="AV240" s="11">
        <f>-'Wariant 3'!AV$92</f>
        <v>0</v>
      </c>
      <c r="AW240" s="11">
        <f>-'Wariant 3'!AW$92</f>
        <v>0</v>
      </c>
      <c r="AX240" s="11">
        <f>-'Wariant 3'!AX$92</f>
        <v>0</v>
      </c>
      <c r="AY240" s="11">
        <f>-'Wariant 3'!AY$92</f>
        <v>0</v>
      </c>
      <c r="AZ240" s="11">
        <f>-'Wariant 3'!AZ$92</f>
        <v>0</v>
      </c>
      <c r="BA240" s="75">
        <f>-'Wariant 3'!BA$92</f>
        <v>0</v>
      </c>
    </row>
    <row r="241" spans="1:53" ht="15.75" hidden="1" customHeight="1" outlineLevel="1" x14ac:dyDescent="0.35">
      <c r="A241" s="5"/>
      <c r="B241" s="5"/>
      <c r="C241" s="5"/>
      <c r="D241" s="5" t="s">
        <v>72</v>
      </c>
      <c r="E241" s="5"/>
      <c r="F241" s="5"/>
      <c r="G241" s="5"/>
      <c r="H241" s="5"/>
      <c r="I241" s="5"/>
      <c r="J241" s="5"/>
      <c r="K241" s="5"/>
      <c r="N241" s="11">
        <f t="shared" si="58"/>
        <v>0</v>
      </c>
      <c r="Q241" s="11">
        <f>-'Wariant 3'!Q$93</f>
        <v>0</v>
      </c>
      <c r="R241" s="11">
        <f>-'Wariant 3'!R$93</f>
        <v>0</v>
      </c>
      <c r="S241" s="11">
        <f>-'Wariant 3'!S$93</f>
        <v>0</v>
      </c>
      <c r="T241" s="11">
        <f>-'Wariant 3'!T$93</f>
        <v>0</v>
      </c>
      <c r="U241" s="11">
        <f>-'Wariant 3'!U$93</f>
        <v>0</v>
      </c>
      <c r="V241" s="11">
        <f>-'Wariant 3'!V$93</f>
        <v>0</v>
      </c>
      <c r="W241" s="11">
        <f>-'Wariant 3'!W$93</f>
        <v>0</v>
      </c>
      <c r="X241" s="11">
        <f>-'Wariant 3'!X$93</f>
        <v>0</v>
      </c>
      <c r="Y241" s="11">
        <f>-'Wariant 3'!Y$93</f>
        <v>0</v>
      </c>
      <c r="Z241" s="11">
        <f>-'Wariant 3'!Z$93</f>
        <v>0</v>
      </c>
      <c r="AA241" s="11">
        <f>-'Wariant 3'!AA$93</f>
        <v>0</v>
      </c>
      <c r="AB241" s="11">
        <f>-'Wariant 3'!AB$93</f>
        <v>0</v>
      </c>
      <c r="AC241" s="11">
        <f>-'Wariant 3'!AC$93</f>
        <v>0</v>
      </c>
      <c r="AD241" s="11">
        <f>-'Wariant 3'!AD$93</f>
        <v>0</v>
      </c>
      <c r="AE241" s="11">
        <f>-'Wariant 3'!AE$93</f>
        <v>0</v>
      </c>
      <c r="AF241" s="11">
        <f>-'Wariant 3'!AF$93</f>
        <v>0</v>
      </c>
      <c r="AG241" s="11">
        <f>-'Wariant 3'!AG$93</f>
        <v>0</v>
      </c>
      <c r="AH241" s="11">
        <f>-'Wariant 3'!AH$93</f>
        <v>0</v>
      </c>
      <c r="AI241" s="11">
        <f>-'Wariant 3'!AI$93</f>
        <v>0</v>
      </c>
      <c r="AJ241" s="11">
        <f>-'Wariant 3'!AJ$93</f>
        <v>0</v>
      </c>
      <c r="AK241" s="11">
        <f>-'Wariant 3'!AK$93</f>
        <v>0</v>
      </c>
      <c r="AL241" s="11">
        <f>-'Wariant 3'!AL$93</f>
        <v>0</v>
      </c>
      <c r="AM241" s="11">
        <f>-'Wariant 3'!AM$93</f>
        <v>0</v>
      </c>
      <c r="AN241" s="11">
        <f>-'Wariant 3'!AN$93</f>
        <v>0</v>
      </c>
      <c r="AO241" s="11">
        <f>-'Wariant 3'!AO$93</f>
        <v>0</v>
      </c>
      <c r="AP241" s="11">
        <f>-'Wariant 3'!AP$93</f>
        <v>0</v>
      </c>
      <c r="AQ241" s="11">
        <f>-'Wariant 3'!AQ$93</f>
        <v>0</v>
      </c>
      <c r="AR241" s="11">
        <f>-'Wariant 3'!AR$93</f>
        <v>0</v>
      </c>
      <c r="AS241" s="11">
        <f>-'Wariant 3'!AS$93</f>
        <v>0</v>
      </c>
      <c r="AT241" s="11">
        <f>-'Wariant 3'!AT$93</f>
        <v>0</v>
      </c>
      <c r="AU241" s="11">
        <f>-'Wariant 3'!AU$93</f>
        <v>0</v>
      </c>
      <c r="AV241" s="11">
        <f>-'Wariant 3'!AV$93</f>
        <v>0</v>
      </c>
      <c r="AW241" s="11">
        <f>-'Wariant 3'!AW$93</f>
        <v>0</v>
      </c>
      <c r="AX241" s="11">
        <f>-'Wariant 3'!AX$93</f>
        <v>0</v>
      </c>
      <c r="AY241" s="11">
        <f>-'Wariant 3'!AY$93</f>
        <v>0</v>
      </c>
      <c r="AZ241" s="11">
        <f>-'Wariant 3'!AZ$93</f>
        <v>0</v>
      </c>
      <c r="BA241" s="75">
        <f>-'Wariant 3'!BA$93</f>
        <v>0</v>
      </c>
    </row>
    <row r="242" spans="1:53" ht="15.75" hidden="1" customHeight="1" outlineLevel="1" x14ac:dyDescent="0.35">
      <c r="A242" s="5"/>
      <c r="B242" s="5"/>
      <c r="C242" s="5"/>
      <c r="D242" s="5" t="s">
        <v>50</v>
      </c>
      <c r="E242" s="5"/>
      <c r="F242" s="5"/>
      <c r="G242" s="5"/>
      <c r="H242" s="5"/>
      <c r="I242" s="5"/>
      <c r="J242" s="5"/>
      <c r="K242" s="5"/>
      <c r="N242" s="11">
        <f t="shared" si="58"/>
        <v>0</v>
      </c>
      <c r="Q242" s="11">
        <f>-'Wariant 3'!Q$94</f>
        <v>0</v>
      </c>
      <c r="R242" s="11">
        <f>-'Wariant 3'!R$94</f>
        <v>0</v>
      </c>
      <c r="S242" s="11">
        <f>-'Wariant 3'!S$94</f>
        <v>0</v>
      </c>
      <c r="T242" s="11">
        <f>-'Wariant 3'!T$94</f>
        <v>0</v>
      </c>
      <c r="U242" s="11">
        <f>-'Wariant 3'!U$94</f>
        <v>0</v>
      </c>
      <c r="V242" s="11">
        <f>-'Wariant 3'!V$94</f>
        <v>0</v>
      </c>
      <c r="W242" s="11">
        <f>-'Wariant 3'!W$94</f>
        <v>0</v>
      </c>
      <c r="X242" s="11">
        <f>-'Wariant 3'!X$94</f>
        <v>0</v>
      </c>
      <c r="Y242" s="11">
        <f>-'Wariant 3'!Y$94</f>
        <v>0</v>
      </c>
      <c r="Z242" s="11">
        <f>-'Wariant 3'!Z$94</f>
        <v>0</v>
      </c>
      <c r="AA242" s="11">
        <f>-'Wariant 3'!AA$94</f>
        <v>0</v>
      </c>
      <c r="AB242" s="11">
        <f>-'Wariant 3'!AB$94</f>
        <v>0</v>
      </c>
      <c r="AC242" s="11">
        <f>-'Wariant 3'!AC$94</f>
        <v>0</v>
      </c>
      <c r="AD242" s="11">
        <f>-'Wariant 3'!AD$94</f>
        <v>0</v>
      </c>
      <c r="AE242" s="11">
        <f>-'Wariant 3'!AE$94</f>
        <v>0</v>
      </c>
      <c r="AF242" s="11">
        <f>-'Wariant 3'!AF$94</f>
        <v>0</v>
      </c>
      <c r="AG242" s="11">
        <f>-'Wariant 3'!AG$94</f>
        <v>0</v>
      </c>
      <c r="AH242" s="11">
        <f>-'Wariant 3'!AH$94</f>
        <v>0</v>
      </c>
      <c r="AI242" s="11">
        <f>-'Wariant 3'!AI$94</f>
        <v>0</v>
      </c>
      <c r="AJ242" s="11">
        <f>-'Wariant 3'!AJ$94</f>
        <v>0</v>
      </c>
      <c r="AK242" s="11">
        <f>-'Wariant 3'!AK$94</f>
        <v>0</v>
      </c>
      <c r="AL242" s="11">
        <f>-'Wariant 3'!AL$94</f>
        <v>0</v>
      </c>
      <c r="AM242" s="11">
        <f>-'Wariant 3'!AM$94</f>
        <v>0</v>
      </c>
      <c r="AN242" s="11">
        <f>-'Wariant 3'!AN$94</f>
        <v>0</v>
      </c>
      <c r="AO242" s="11">
        <f>-'Wariant 3'!AO$94</f>
        <v>0</v>
      </c>
      <c r="AP242" s="11">
        <f>-'Wariant 3'!AP$94</f>
        <v>0</v>
      </c>
      <c r="AQ242" s="11">
        <f>-'Wariant 3'!AQ$94</f>
        <v>0</v>
      </c>
      <c r="AR242" s="11">
        <f>-'Wariant 3'!AR$94</f>
        <v>0</v>
      </c>
      <c r="AS242" s="11">
        <f>-'Wariant 3'!AS$94</f>
        <v>0</v>
      </c>
      <c r="AT242" s="11">
        <f>-'Wariant 3'!AT$94</f>
        <v>0</v>
      </c>
      <c r="AU242" s="11">
        <f>-'Wariant 3'!AU$94</f>
        <v>0</v>
      </c>
      <c r="AV242" s="11">
        <f>-'Wariant 3'!AV$94</f>
        <v>0</v>
      </c>
      <c r="AW242" s="11">
        <f>-'Wariant 3'!AW$94</f>
        <v>0</v>
      </c>
      <c r="AX242" s="11">
        <f>-'Wariant 3'!AX$94</f>
        <v>0</v>
      </c>
      <c r="AY242" s="11">
        <f>-'Wariant 3'!AY$94</f>
        <v>0</v>
      </c>
      <c r="AZ242" s="11">
        <f>-'Wariant 3'!AZ$94</f>
        <v>0</v>
      </c>
      <c r="BA242" s="75">
        <f>-'Wariant 3'!BA$94</f>
        <v>0</v>
      </c>
    </row>
    <row r="243" spans="1:53" ht="15.75" hidden="1" customHeight="1" outlineLevel="1" x14ac:dyDescent="0.35">
      <c r="A243" s="5"/>
      <c r="B243" s="5"/>
      <c r="C243" s="5"/>
      <c r="D243" s="5" t="s">
        <v>33</v>
      </c>
      <c r="E243" s="5"/>
      <c r="F243" s="5"/>
      <c r="G243" s="5"/>
      <c r="H243" s="5"/>
      <c r="I243" s="5"/>
      <c r="J243" s="5"/>
      <c r="K243" s="5"/>
      <c r="N243" s="11">
        <f t="shared" si="58"/>
        <v>0</v>
      </c>
      <c r="Q243" s="11">
        <f>-'Wariant 3'!Q$102</f>
        <v>0</v>
      </c>
      <c r="R243" s="11">
        <f>-'Wariant 3'!R$102</f>
        <v>0</v>
      </c>
      <c r="S243" s="11">
        <f>-'Wariant 3'!S$102</f>
        <v>0</v>
      </c>
      <c r="T243" s="11">
        <f>-'Wariant 3'!T$102</f>
        <v>0</v>
      </c>
      <c r="U243" s="11">
        <f>-'Wariant 3'!U$102</f>
        <v>0</v>
      </c>
      <c r="V243" s="11">
        <f>-'Wariant 3'!V$102</f>
        <v>0</v>
      </c>
      <c r="W243" s="11">
        <f>-'Wariant 3'!W$102</f>
        <v>0</v>
      </c>
      <c r="X243" s="11">
        <f>-'Wariant 3'!X$102</f>
        <v>0</v>
      </c>
      <c r="Y243" s="11">
        <f>-'Wariant 3'!Y$102</f>
        <v>0</v>
      </c>
      <c r="Z243" s="11">
        <f>-'Wariant 3'!Z$102</f>
        <v>0</v>
      </c>
      <c r="AA243" s="11">
        <f>-'Wariant 3'!AA$102</f>
        <v>0</v>
      </c>
      <c r="AB243" s="11">
        <f>-'Wariant 3'!AB$102</f>
        <v>0</v>
      </c>
      <c r="AC243" s="11">
        <f>-'Wariant 3'!AC$102</f>
        <v>0</v>
      </c>
      <c r="AD243" s="11">
        <f>-'Wariant 3'!AD$102</f>
        <v>0</v>
      </c>
      <c r="AE243" s="11">
        <f>-'Wariant 3'!AE$102</f>
        <v>0</v>
      </c>
      <c r="AF243" s="11">
        <f>-'Wariant 3'!AF$102</f>
        <v>0</v>
      </c>
      <c r="AG243" s="11">
        <f>-'Wariant 3'!AG$102</f>
        <v>0</v>
      </c>
      <c r="AH243" s="11">
        <f>-'Wariant 3'!AH$102</f>
        <v>0</v>
      </c>
      <c r="AI243" s="11">
        <f>-'Wariant 3'!AI$102</f>
        <v>0</v>
      </c>
      <c r="AJ243" s="11">
        <f>-'Wariant 3'!AJ$102</f>
        <v>0</v>
      </c>
      <c r="AK243" s="11">
        <f>-'Wariant 3'!AK$102</f>
        <v>0</v>
      </c>
      <c r="AL243" s="11">
        <f>-'Wariant 3'!AL$102</f>
        <v>0</v>
      </c>
      <c r="AM243" s="11">
        <f>-'Wariant 3'!AM$102</f>
        <v>0</v>
      </c>
      <c r="AN243" s="11">
        <f>-'Wariant 3'!AN$102</f>
        <v>0</v>
      </c>
      <c r="AO243" s="11">
        <f>-'Wariant 3'!AO$102</f>
        <v>0</v>
      </c>
      <c r="AP243" s="11">
        <f>-'Wariant 3'!AP$102</f>
        <v>0</v>
      </c>
      <c r="AQ243" s="11">
        <f>-'Wariant 3'!AQ$102</f>
        <v>0</v>
      </c>
      <c r="AR243" s="11">
        <f>-'Wariant 3'!AR$102</f>
        <v>0</v>
      </c>
      <c r="AS243" s="11">
        <f>-'Wariant 3'!AS$102</f>
        <v>0</v>
      </c>
      <c r="AT243" s="11">
        <f>-'Wariant 3'!AT$102</f>
        <v>0</v>
      </c>
      <c r="AU243" s="11">
        <f>-'Wariant 3'!AU$102</f>
        <v>0</v>
      </c>
      <c r="AV243" s="11">
        <f>-'Wariant 3'!AV$102</f>
        <v>0</v>
      </c>
      <c r="AW243" s="11">
        <f>-'Wariant 3'!AW$102</f>
        <v>0</v>
      </c>
      <c r="AX243" s="11">
        <f>-'Wariant 3'!AX$102</f>
        <v>0</v>
      </c>
      <c r="AY243" s="11">
        <f>-'Wariant 3'!AY$102</f>
        <v>0</v>
      </c>
      <c r="AZ243" s="11">
        <f>-'Wariant 3'!AZ$102</f>
        <v>0</v>
      </c>
      <c r="BA243" s="75">
        <f>-'Wariant 3'!BA$102</f>
        <v>0</v>
      </c>
    </row>
    <row r="244" spans="1:53" ht="15.75" hidden="1" customHeight="1" outlineLevel="1" x14ac:dyDescent="0.35">
      <c r="A244" s="5"/>
      <c r="B244" s="5"/>
      <c r="C244" s="5" t="s">
        <v>159</v>
      </c>
      <c r="E244" s="5"/>
      <c r="F244" s="5"/>
      <c r="G244" s="5"/>
      <c r="H244" s="5"/>
      <c r="I244" s="5"/>
      <c r="J244" s="5"/>
      <c r="K244" s="5"/>
      <c r="N244" s="1">
        <f t="shared" si="58"/>
        <v>0</v>
      </c>
      <c r="Q244" s="1">
        <f t="shared" ref="Q244:BA244" si="62">SUM(Q245:Q246)</f>
        <v>0</v>
      </c>
      <c r="R244" s="1">
        <f t="shared" si="62"/>
        <v>0</v>
      </c>
      <c r="S244" s="1">
        <f t="shared" si="62"/>
        <v>0</v>
      </c>
      <c r="T244" s="1">
        <f t="shared" si="62"/>
        <v>0</v>
      </c>
      <c r="U244" s="1">
        <f t="shared" si="62"/>
        <v>0</v>
      </c>
      <c r="V244" s="1">
        <f t="shared" si="62"/>
        <v>0</v>
      </c>
      <c r="W244" s="1">
        <f t="shared" si="62"/>
        <v>0</v>
      </c>
      <c r="X244" s="1">
        <f t="shared" si="62"/>
        <v>0</v>
      </c>
      <c r="Y244" s="1">
        <f t="shared" si="62"/>
        <v>0</v>
      </c>
      <c r="Z244" s="1">
        <f t="shared" si="62"/>
        <v>0</v>
      </c>
      <c r="AA244" s="1">
        <f t="shared" si="62"/>
        <v>0</v>
      </c>
      <c r="AB244" s="1">
        <f t="shared" si="62"/>
        <v>0</v>
      </c>
      <c r="AC244" s="1">
        <f t="shared" si="62"/>
        <v>0</v>
      </c>
      <c r="AD244" s="1">
        <f t="shared" si="62"/>
        <v>0</v>
      </c>
      <c r="AE244" s="1">
        <f t="shared" si="62"/>
        <v>0</v>
      </c>
      <c r="AF244" s="1">
        <f t="shared" si="62"/>
        <v>0</v>
      </c>
      <c r="AG244" s="1">
        <f t="shared" si="62"/>
        <v>0</v>
      </c>
      <c r="AH244" s="1">
        <f t="shared" si="62"/>
        <v>0</v>
      </c>
      <c r="AI244" s="1">
        <f t="shared" si="62"/>
        <v>0</v>
      </c>
      <c r="AJ244" s="1">
        <f t="shared" si="62"/>
        <v>0</v>
      </c>
      <c r="AK244" s="1">
        <f t="shared" si="62"/>
        <v>0</v>
      </c>
      <c r="AL244" s="1">
        <f t="shared" si="62"/>
        <v>0</v>
      </c>
      <c r="AM244" s="1">
        <f t="shared" si="62"/>
        <v>0</v>
      </c>
      <c r="AN244" s="1">
        <f t="shared" si="62"/>
        <v>0</v>
      </c>
      <c r="AO244" s="1">
        <f t="shared" si="62"/>
        <v>0</v>
      </c>
      <c r="AP244" s="1">
        <f t="shared" si="62"/>
        <v>0</v>
      </c>
      <c r="AQ244" s="1">
        <f t="shared" si="62"/>
        <v>0</v>
      </c>
      <c r="AR244" s="1">
        <f t="shared" si="62"/>
        <v>0</v>
      </c>
      <c r="AS244" s="1">
        <f t="shared" si="62"/>
        <v>0</v>
      </c>
      <c r="AT244" s="1">
        <f t="shared" si="62"/>
        <v>0</v>
      </c>
      <c r="AU244" s="1">
        <f t="shared" si="62"/>
        <v>0</v>
      </c>
      <c r="AV244" s="1">
        <f t="shared" si="62"/>
        <v>0</v>
      </c>
      <c r="AW244" s="1">
        <f t="shared" si="62"/>
        <v>0</v>
      </c>
      <c r="AX244" s="1">
        <f t="shared" si="62"/>
        <v>0</v>
      </c>
      <c r="AY244" s="1">
        <f t="shared" si="62"/>
        <v>0</v>
      </c>
      <c r="AZ244" s="1">
        <f t="shared" si="62"/>
        <v>0</v>
      </c>
      <c r="BA244" s="74">
        <f t="shared" si="62"/>
        <v>0</v>
      </c>
    </row>
    <row r="245" spans="1:53" ht="15.75" hidden="1" customHeight="1" outlineLevel="1" x14ac:dyDescent="0.35">
      <c r="A245" s="5"/>
      <c r="B245" s="5"/>
      <c r="C245" s="5"/>
      <c r="D245" s="5" t="s">
        <v>142</v>
      </c>
      <c r="E245" s="5"/>
      <c r="F245" s="5"/>
      <c r="G245" s="5"/>
      <c r="H245" s="5"/>
      <c r="I245" s="5"/>
      <c r="J245" s="5"/>
      <c r="K245" s="5"/>
      <c r="N245" s="11">
        <f t="shared" si="58"/>
        <v>0</v>
      </c>
      <c r="Q245" s="11">
        <f>-'Wariant 3'!Q$97</f>
        <v>0</v>
      </c>
      <c r="R245" s="11">
        <f>-'Wariant 3'!R$97</f>
        <v>0</v>
      </c>
      <c r="S245" s="11">
        <f>-'Wariant 3'!S$97</f>
        <v>0</v>
      </c>
      <c r="T245" s="11">
        <f>-'Wariant 3'!T$97</f>
        <v>0</v>
      </c>
      <c r="U245" s="11">
        <f>-'Wariant 3'!U$97</f>
        <v>0</v>
      </c>
      <c r="V245" s="11">
        <f>-'Wariant 3'!V$97</f>
        <v>0</v>
      </c>
      <c r="W245" s="11">
        <f>-'Wariant 3'!W$97</f>
        <v>0</v>
      </c>
      <c r="X245" s="11">
        <f>-'Wariant 3'!X$97</f>
        <v>0</v>
      </c>
      <c r="Y245" s="11">
        <f>-'Wariant 3'!Y$97</f>
        <v>0</v>
      </c>
      <c r="Z245" s="11">
        <f>-'Wariant 3'!Z$97</f>
        <v>0</v>
      </c>
      <c r="AA245" s="11">
        <f>-'Wariant 3'!AA$97</f>
        <v>0</v>
      </c>
      <c r="AB245" s="11">
        <f>-'Wariant 3'!AB$97</f>
        <v>0</v>
      </c>
      <c r="AC245" s="11">
        <f>-'Wariant 3'!AC$97</f>
        <v>0</v>
      </c>
      <c r="AD245" s="11">
        <f>-'Wariant 3'!AD$97</f>
        <v>0</v>
      </c>
      <c r="AE245" s="11">
        <f>-'Wariant 3'!AE$97</f>
        <v>0</v>
      </c>
      <c r="AF245" s="11">
        <f>-'Wariant 3'!AF$97</f>
        <v>0</v>
      </c>
      <c r="AG245" s="11">
        <f>-'Wariant 3'!AG$97</f>
        <v>0</v>
      </c>
      <c r="AH245" s="11">
        <f>-'Wariant 3'!AH$97</f>
        <v>0</v>
      </c>
      <c r="AI245" s="11">
        <f>-'Wariant 3'!AI$97</f>
        <v>0</v>
      </c>
      <c r="AJ245" s="11">
        <f>-'Wariant 3'!AJ$97</f>
        <v>0</v>
      </c>
      <c r="AK245" s="11">
        <f>-'Wariant 3'!AK$97</f>
        <v>0</v>
      </c>
      <c r="AL245" s="11">
        <f>-'Wariant 3'!AL$97</f>
        <v>0</v>
      </c>
      <c r="AM245" s="11">
        <f>-'Wariant 3'!AM$97</f>
        <v>0</v>
      </c>
      <c r="AN245" s="11">
        <f>-'Wariant 3'!AN$97</f>
        <v>0</v>
      </c>
      <c r="AO245" s="11">
        <f>-'Wariant 3'!AO$97</f>
        <v>0</v>
      </c>
      <c r="AP245" s="11">
        <f>-'Wariant 3'!AP$97</f>
        <v>0</v>
      </c>
      <c r="AQ245" s="11">
        <f>-'Wariant 3'!AQ$97</f>
        <v>0</v>
      </c>
      <c r="AR245" s="11">
        <f>-'Wariant 3'!AR$97</f>
        <v>0</v>
      </c>
      <c r="AS245" s="11">
        <f>-'Wariant 3'!AS$97</f>
        <v>0</v>
      </c>
      <c r="AT245" s="11">
        <f>-'Wariant 3'!AT$97</f>
        <v>0</v>
      </c>
      <c r="AU245" s="11">
        <f>-'Wariant 3'!AU$97</f>
        <v>0</v>
      </c>
      <c r="AV245" s="11">
        <f>-'Wariant 3'!AV$97</f>
        <v>0</v>
      </c>
      <c r="AW245" s="11">
        <f>-'Wariant 3'!AW$97</f>
        <v>0</v>
      </c>
      <c r="AX245" s="11">
        <f>-'Wariant 3'!AX$97</f>
        <v>0</v>
      </c>
      <c r="AY245" s="11">
        <f>-'Wariant 3'!AY$97</f>
        <v>0</v>
      </c>
      <c r="AZ245" s="11">
        <f>-'Wariant 3'!AZ$97</f>
        <v>0</v>
      </c>
      <c r="BA245" s="75">
        <f>-'Wariant 3'!BA$97</f>
        <v>0</v>
      </c>
    </row>
    <row r="246" spans="1:53" ht="15.75" hidden="1" customHeight="1" outlineLevel="1" x14ac:dyDescent="0.35">
      <c r="A246" s="5"/>
      <c r="B246" s="5"/>
      <c r="C246" s="5"/>
      <c r="D246" s="5" t="s">
        <v>33</v>
      </c>
      <c r="E246" s="5"/>
      <c r="F246" s="5"/>
      <c r="G246" s="5"/>
      <c r="H246" s="5"/>
      <c r="I246" s="5"/>
      <c r="J246" s="5"/>
      <c r="K246" s="5"/>
      <c r="N246" s="11">
        <f t="shared" si="58"/>
        <v>0</v>
      </c>
      <c r="Q246" s="11">
        <f>-'Wariant 3'!Q$107</f>
        <v>0</v>
      </c>
      <c r="R246" s="11">
        <f>-'Wariant 3'!R$107</f>
        <v>0</v>
      </c>
      <c r="S246" s="11">
        <f>-'Wariant 3'!S$107</f>
        <v>0</v>
      </c>
      <c r="T246" s="11">
        <f>-'Wariant 3'!T$107</f>
        <v>0</v>
      </c>
      <c r="U246" s="11">
        <f>-'Wariant 3'!U$107</f>
        <v>0</v>
      </c>
      <c r="V246" s="11">
        <f>-'Wariant 3'!V$107</f>
        <v>0</v>
      </c>
      <c r="W246" s="11">
        <f>-'Wariant 3'!W$107</f>
        <v>0</v>
      </c>
      <c r="X246" s="11">
        <f>-'Wariant 3'!X$107</f>
        <v>0</v>
      </c>
      <c r="Y246" s="11">
        <f>-'Wariant 3'!Y$107</f>
        <v>0</v>
      </c>
      <c r="Z246" s="11">
        <f>-'Wariant 3'!Z$107</f>
        <v>0</v>
      </c>
      <c r="AA246" s="11">
        <f>-'Wariant 3'!AA$107</f>
        <v>0</v>
      </c>
      <c r="AB246" s="11">
        <f>-'Wariant 3'!AB$107</f>
        <v>0</v>
      </c>
      <c r="AC246" s="11">
        <f>-'Wariant 3'!AC$107</f>
        <v>0</v>
      </c>
      <c r="AD246" s="11">
        <f>-'Wariant 3'!AD$107</f>
        <v>0</v>
      </c>
      <c r="AE246" s="11">
        <f>-'Wariant 3'!AE$107</f>
        <v>0</v>
      </c>
      <c r="AF246" s="11">
        <f>-'Wariant 3'!AF$107</f>
        <v>0</v>
      </c>
      <c r="AG246" s="11">
        <f>-'Wariant 3'!AG$107</f>
        <v>0</v>
      </c>
      <c r="AH246" s="11">
        <f>-'Wariant 3'!AH$107</f>
        <v>0</v>
      </c>
      <c r="AI246" s="11">
        <f>-'Wariant 3'!AI$107</f>
        <v>0</v>
      </c>
      <c r="AJ246" s="11">
        <f>-'Wariant 3'!AJ$107</f>
        <v>0</v>
      </c>
      <c r="AK246" s="11">
        <f>-'Wariant 3'!AK$107</f>
        <v>0</v>
      </c>
      <c r="AL246" s="11">
        <f>-'Wariant 3'!AL$107</f>
        <v>0</v>
      </c>
      <c r="AM246" s="11">
        <f>-'Wariant 3'!AM$107</f>
        <v>0</v>
      </c>
      <c r="AN246" s="11">
        <f>-'Wariant 3'!AN$107</f>
        <v>0</v>
      </c>
      <c r="AO246" s="11">
        <f>-'Wariant 3'!AO$107</f>
        <v>0</v>
      </c>
      <c r="AP246" s="11">
        <f>-'Wariant 3'!AP$107</f>
        <v>0</v>
      </c>
      <c r="AQ246" s="11">
        <f>-'Wariant 3'!AQ$107</f>
        <v>0</v>
      </c>
      <c r="AR246" s="11">
        <f>-'Wariant 3'!AR$107</f>
        <v>0</v>
      </c>
      <c r="AS246" s="11">
        <f>-'Wariant 3'!AS$107</f>
        <v>0</v>
      </c>
      <c r="AT246" s="11">
        <f>-'Wariant 3'!AT$107</f>
        <v>0</v>
      </c>
      <c r="AU246" s="11">
        <f>-'Wariant 3'!AU$107</f>
        <v>0</v>
      </c>
      <c r="AV246" s="11">
        <f>-'Wariant 3'!AV$107</f>
        <v>0</v>
      </c>
      <c r="AW246" s="11">
        <f>-'Wariant 3'!AW$107</f>
        <v>0</v>
      </c>
      <c r="AX246" s="11">
        <f>-'Wariant 3'!AX$107</f>
        <v>0</v>
      </c>
      <c r="AY246" s="11">
        <f>-'Wariant 3'!AY$107</f>
        <v>0</v>
      </c>
      <c r="AZ246" s="11">
        <f>-'Wariant 3'!AZ$107</f>
        <v>0</v>
      </c>
      <c r="BA246" s="75">
        <f>-'Wariant 3'!BA$107</f>
        <v>0</v>
      </c>
    </row>
    <row r="247" spans="1:53" ht="14.5" hidden="1" outlineLevel="1" x14ac:dyDescent="0.35"/>
    <row r="248" spans="1:53" ht="15.75" hidden="1" customHeight="1" outlineLevel="1" x14ac:dyDescent="0.35">
      <c r="A248" s="15"/>
      <c r="B248" s="16" t="s">
        <v>76</v>
      </c>
      <c r="C248" s="16"/>
      <c r="D248" s="16"/>
      <c r="E248" s="16"/>
      <c r="F248" s="16"/>
      <c r="G248" s="16"/>
      <c r="H248" s="16"/>
      <c r="I248" s="16"/>
      <c r="J248" s="16"/>
      <c r="K248" s="16"/>
      <c r="L248" s="3"/>
      <c r="M248" s="3"/>
      <c r="N248" s="4">
        <f t="shared" ref="N248:N254" si="63">SUM(Q248:BA248)</f>
        <v>0</v>
      </c>
      <c r="O248" s="3"/>
      <c r="P248" s="3"/>
      <c r="Q248" s="4">
        <f t="shared" ref="Q248:BA248" si="64">SUM(Q249,Q252)</f>
        <v>0</v>
      </c>
      <c r="R248" s="4">
        <f t="shared" si="64"/>
        <v>0</v>
      </c>
      <c r="S248" s="4">
        <f t="shared" si="64"/>
        <v>0</v>
      </c>
      <c r="T248" s="4">
        <f t="shared" si="64"/>
        <v>0</v>
      </c>
      <c r="U248" s="4">
        <f t="shared" si="64"/>
        <v>0</v>
      </c>
      <c r="V248" s="4">
        <f t="shared" si="64"/>
        <v>0</v>
      </c>
      <c r="W248" s="4">
        <f t="shared" si="64"/>
        <v>0</v>
      </c>
      <c r="X248" s="4">
        <f t="shared" si="64"/>
        <v>0</v>
      </c>
      <c r="Y248" s="4">
        <f t="shared" si="64"/>
        <v>0</v>
      </c>
      <c r="Z248" s="4">
        <f t="shared" si="64"/>
        <v>0</v>
      </c>
      <c r="AA248" s="4">
        <f t="shared" si="64"/>
        <v>0</v>
      </c>
      <c r="AB248" s="4">
        <f t="shared" si="64"/>
        <v>0</v>
      </c>
      <c r="AC248" s="4">
        <f t="shared" si="64"/>
        <v>0</v>
      </c>
      <c r="AD248" s="4">
        <f t="shared" si="64"/>
        <v>0</v>
      </c>
      <c r="AE248" s="4">
        <f t="shared" si="64"/>
        <v>0</v>
      </c>
      <c r="AF248" s="4">
        <f t="shared" si="64"/>
        <v>0</v>
      </c>
      <c r="AG248" s="4">
        <f t="shared" si="64"/>
        <v>0</v>
      </c>
      <c r="AH248" s="4">
        <f t="shared" si="64"/>
        <v>0</v>
      </c>
      <c r="AI248" s="4">
        <f t="shared" si="64"/>
        <v>0</v>
      </c>
      <c r="AJ248" s="4">
        <f t="shared" si="64"/>
        <v>0</v>
      </c>
      <c r="AK248" s="4">
        <f t="shared" si="64"/>
        <v>0</v>
      </c>
      <c r="AL248" s="4">
        <f t="shared" si="64"/>
        <v>0</v>
      </c>
      <c r="AM248" s="4">
        <f t="shared" si="64"/>
        <v>0</v>
      </c>
      <c r="AN248" s="4">
        <f t="shared" si="64"/>
        <v>0</v>
      </c>
      <c r="AO248" s="4">
        <f t="shared" si="64"/>
        <v>0</v>
      </c>
      <c r="AP248" s="4">
        <f t="shared" si="64"/>
        <v>0</v>
      </c>
      <c r="AQ248" s="4">
        <f t="shared" si="64"/>
        <v>0</v>
      </c>
      <c r="AR248" s="4">
        <f t="shared" si="64"/>
        <v>0</v>
      </c>
      <c r="AS248" s="4">
        <f t="shared" si="64"/>
        <v>0</v>
      </c>
      <c r="AT248" s="4">
        <f t="shared" si="64"/>
        <v>0</v>
      </c>
      <c r="AU248" s="4">
        <f t="shared" si="64"/>
        <v>0</v>
      </c>
      <c r="AV248" s="4">
        <f t="shared" si="64"/>
        <v>0</v>
      </c>
      <c r="AW248" s="4">
        <f t="shared" si="64"/>
        <v>0</v>
      </c>
      <c r="AX248" s="4">
        <f t="shared" si="64"/>
        <v>0</v>
      </c>
      <c r="AY248" s="4">
        <f t="shared" si="64"/>
        <v>0</v>
      </c>
      <c r="AZ248" s="4">
        <f t="shared" si="64"/>
        <v>0</v>
      </c>
      <c r="BA248" s="73">
        <f t="shared" si="64"/>
        <v>0</v>
      </c>
    </row>
    <row r="249" spans="1:53" ht="15.75" hidden="1" customHeight="1" outlineLevel="1" x14ac:dyDescent="0.35">
      <c r="A249" s="5"/>
      <c r="B249" s="5"/>
      <c r="C249" s="5" t="s">
        <v>160</v>
      </c>
      <c r="D249" s="5"/>
      <c r="E249" s="5"/>
      <c r="F249" s="5"/>
      <c r="G249" s="5"/>
      <c r="H249" s="5"/>
      <c r="I249" s="5"/>
      <c r="J249" s="5"/>
      <c r="K249" s="5"/>
      <c r="N249" s="1">
        <f t="shared" si="63"/>
        <v>0</v>
      </c>
      <c r="Q249" s="11">
        <f t="shared" ref="Q249" si="65">SUM(Q250:Q251)</f>
        <v>0</v>
      </c>
      <c r="R249" s="11">
        <f t="shared" ref="R249:BA249" si="66">SUM(R250:R251)</f>
        <v>0</v>
      </c>
      <c r="S249" s="11">
        <f t="shared" si="66"/>
        <v>0</v>
      </c>
      <c r="T249" s="11">
        <f t="shared" si="66"/>
        <v>0</v>
      </c>
      <c r="U249" s="11">
        <f t="shared" si="66"/>
        <v>0</v>
      </c>
      <c r="V249" s="11">
        <f t="shared" si="66"/>
        <v>0</v>
      </c>
      <c r="W249" s="11">
        <f t="shared" si="66"/>
        <v>0</v>
      </c>
      <c r="X249" s="11">
        <f t="shared" si="66"/>
        <v>0</v>
      </c>
      <c r="Y249" s="11">
        <f t="shared" si="66"/>
        <v>0</v>
      </c>
      <c r="Z249" s="11">
        <f t="shared" si="66"/>
        <v>0</v>
      </c>
      <c r="AA249" s="11">
        <f t="shared" si="66"/>
        <v>0</v>
      </c>
      <c r="AB249" s="11">
        <f t="shared" si="66"/>
        <v>0</v>
      </c>
      <c r="AC249" s="11">
        <f t="shared" si="66"/>
        <v>0</v>
      </c>
      <c r="AD249" s="11">
        <f t="shared" si="66"/>
        <v>0</v>
      </c>
      <c r="AE249" s="11">
        <f t="shared" si="66"/>
        <v>0</v>
      </c>
      <c r="AF249" s="11">
        <f t="shared" si="66"/>
        <v>0</v>
      </c>
      <c r="AG249" s="11">
        <f t="shared" si="66"/>
        <v>0</v>
      </c>
      <c r="AH249" s="11">
        <f t="shared" si="66"/>
        <v>0</v>
      </c>
      <c r="AI249" s="11">
        <f t="shared" si="66"/>
        <v>0</v>
      </c>
      <c r="AJ249" s="11">
        <f t="shared" si="66"/>
        <v>0</v>
      </c>
      <c r="AK249" s="11">
        <f t="shared" si="66"/>
        <v>0</v>
      </c>
      <c r="AL249" s="11">
        <f t="shared" si="66"/>
        <v>0</v>
      </c>
      <c r="AM249" s="11">
        <f t="shared" si="66"/>
        <v>0</v>
      </c>
      <c r="AN249" s="11">
        <f t="shared" si="66"/>
        <v>0</v>
      </c>
      <c r="AO249" s="11">
        <f t="shared" si="66"/>
        <v>0</v>
      </c>
      <c r="AP249" s="11">
        <f t="shared" si="66"/>
        <v>0</v>
      </c>
      <c r="AQ249" s="11">
        <f t="shared" si="66"/>
        <v>0</v>
      </c>
      <c r="AR249" s="11">
        <f t="shared" si="66"/>
        <v>0</v>
      </c>
      <c r="AS249" s="11">
        <f t="shared" si="66"/>
        <v>0</v>
      </c>
      <c r="AT249" s="11">
        <f t="shared" si="66"/>
        <v>0</v>
      </c>
      <c r="AU249" s="11">
        <f t="shared" si="66"/>
        <v>0</v>
      </c>
      <c r="AV249" s="11">
        <f t="shared" si="66"/>
        <v>0</v>
      </c>
      <c r="AW249" s="11">
        <f t="shared" si="66"/>
        <v>0</v>
      </c>
      <c r="AX249" s="11">
        <f t="shared" si="66"/>
        <v>0</v>
      </c>
      <c r="AY249" s="11">
        <f t="shared" si="66"/>
        <v>0</v>
      </c>
      <c r="AZ249" s="11">
        <f t="shared" si="66"/>
        <v>0</v>
      </c>
      <c r="BA249" s="75">
        <f t="shared" si="66"/>
        <v>0</v>
      </c>
    </row>
    <row r="250" spans="1:53" ht="15.75" hidden="1" customHeight="1" outlineLevel="1" x14ac:dyDescent="0.35">
      <c r="A250" s="5"/>
      <c r="B250" s="5"/>
      <c r="C250" s="5"/>
      <c r="D250" s="5" t="s">
        <v>6</v>
      </c>
      <c r="E250" s="5"/>
      <c r="F250" s="5"/>
      <c r="G250" s="5"/>
      <c r="H250" s="5"/>
      <c r="I250" s="5"/>
      <c r="J250" s="5"/>
      <c r="K250" s="5"/>
      <c r="N250" s="1">
        <f t="shared" si="63"/>
        <v>0</v>
      </c>
      <c r="Q250" s="11">
        <f>-'Wariant 3'!Q$96</f>
        <v>0</v>
      </c>
      <c r="R250" s="11">
        <f>-'Wariant 3'!R$96</f>
        <v>0</v>
      </c>
      <c r="S250" s="11">
        <f>-'Wariant 3'!S$96</f>
        <v>0</v>
      </c>
      <c r="T250" s="11">
        <f>-'Wariant 3'!T$96</f>
        <v>0</v>
      </c>
      <c r="U250" s="11">
        <f>-'Wariant 3'!U$96</f>
        <v>0</v>
      </c>
      <c r="V250" s="11">
        <f>-'Wariant 3'!V$96</f>
        <v>0</v>
      </c>
      <c r="W250" s="11">
        <f>-'Wariant 3'!W$96</f>
        <v>0</v>
      </c>
      <c r="X250" s="11">
        <f>-'Wariant 3'!X$96</f>
        <v>0</v>
      </c>
      <c r="Y250" s="11">
        <f>-'Wariant 3'!Y$96</f>
        <v>0</v>
      </c>
      <c r="Z250" s="11">
        <f>-'Wariant 3'!Z$96</f>
        <v>0</v>
      </c>
      <c r="AA250" s="11">
        <f>-'Wariant 3'!AA$96</f>
        <v>0</v>
      </c>
      <c r="AB250" s="11">
        <f>-'Wariant 3'!AB$96</f>
        <v>0</v>
      </c>
      <c r="AC250" s="11">
        <f>-'Wariant 3'!AC$96</f>
        <v>0</v>
      </c>
      <c r="AD250" s="11">
        <f>-'Wariant 3'!AD$96</f>
        <v>0</v>
      </c>
      <c r="AE250" s="11">
        <f>-'Wariant 3'!AE$96</f>
        <v>0</v>
      </c>
      <c r="AF250" s="11">
        <f>-'Wariant 3'!AF$96</f>
        <v>0</v>
      </c>
      <c r="AG250" s="11">
        <f>-'Wariant 3'!AG$96</f>
        <v>0</v>
      </c>
      <c r="AH250" s="11">
        <f>-'Wariant 3'!AH$96</f>
        <v>0</v>
      </c>
      <c r="AI250" s="11">
        <f>-'Wariant 3'!AI$96</f>
        <v>0</v>
      </c>
      <c r="AJ250" s="11">
        <f>-'Wariant 3'!AJ$96</f>
        <v>0</v>
      </c>
      <c r="AK250" s="11">
        <f>-'Wariant 3'!AK$96</f>
        <v>0</v>
      </c>
      <c r="AL250" s="11">
        <f>-'Wariant 3'!AL$96</f>
        <v>0</v>
      </c>
      <c r="AM250" s="11">
        <f>-'Wariant 3'!AM$96</f>
        <v>0</v>
      </c>
      <c r="AN250" s="11">
        <f>-'Wariant 3'!AN$96</f>
        <v>0</v>
      </c>
      <c r="AO250" s="11">
        <f>-'Wariant 3'!AO$96</f>
        <v>0</v>
      </c>
      <c r="AP250" s="11">
        <f>-'Wariant 3'!AP$96</f>
        <v>0</v>
      </c>
      <c r="AQ250" s="11">
        <f>-'Wariant 3'!AQ$96</f>
        <v>0</v>
      </c>
      <c r="AR250" s="11">
        <f>-'Wariant 3'!AR$96</f>
        <v>0</v>
      </c>
      <c r="AS250" s="11">
        <f>-'Wariant 3'!AS$96</f>
        <v>0</v>
      </c>
      <c r="AT250" s="11">
        <f>-'Wariant 3'!AT$96</f>
        <v>0</v>
      </c>
      <c r="AU250" s="11">
        <f>-'Wariant 3'!AU$96</f>
        <v>0</v>
      </c>
      <c r="AV250" s="11">
        <f>-'Wariant 3'!AV$96</f>
        <v>0</v>
      </c>
      <c r="AW250" s="11">
        <f>-'Wariant 3'!AW$96</f>
        <v>0</v>
      </c>
      <c r="AX250" s="11">
        <f>-'Wariant 3'!AX$96</f>
        <v>0</v>
      </c>
      <c r="AY250" s="11">
        <f>-'Wariant 3'!AY$96</f>
        <v>0</v>
      </c>
      <c r="AZ250" s="11">
        <f>-'Wariant 3'!AZ$96</f>
        <v>0</v>
      </c>
      <c r="BA250" s="75">
        <f>-'Wariant 3'!BA$96</f>
        <v>0</v>
      </c>
    </row>
    <row r="251" spans="1:53" ht="15.75" hidden="1" customHeight="1" outlineLevel="1" x14ac:dyDescent="0.35">
      <c r="A251" s="5"/>
      <c r="B251" s="5"/>
      <c r="C251" s="5"/>
      <c r="D251" s="5" t="s">
        <v>33</v>
      </c>
      <c r="E251" s="5"/>
      <c r="F251" s="5"/>
      <c r="G251" s="5"/>
      <c r="H251" s="5"/>
      <c r="I251" s="5"/>
      <c r="J251" s="5"/>
      <c r="K251" s="5"/>
      <c r="N251" s="1">
        <f t="shared" si="63"/>
        <v>0</v>
      </c>
      <c r="Q251" s="11">
        <f>-'Wariant 3'!Q$106</f>
        <v>0</v>
      </c>
      <c r="R251" s="11">
        <f>-'Wariant 3'!R$106</f>
        <v>0</v>
      </c>
      <c r="S251" s="11">
        <f>-'Wariant 3'!S$106</f>
        <v>0</v>
      </c>
      <c r="T251" s="11">
        <f>-'Wariant 3'!T$106</f>
        <v>0</v>
      </c>
      <c r="U251" s="11">
        <f>-'Wariant 3'!U$106</f>
        <v>0</v>
      </c>
      <c r="V251" s="11">
        <f>-'Wariant 3'!V$106</f>
        <v>0</v>
      </c>
      <c r="W251" s="11">
        <f>-'Wariant 3'!W$106</f>
        <v>0</v>
      </c>
      <c r="X251" s="11">
        <f>-'Wariant 3'!X$106</f>
        <v>0</v>
      </c>
      <c r="Y251" s="11">
        <f>-'Wariant 3'!Y$106</f>
        <v>0</v>
      </c>
      <c r="Z251" s="11">
        <f>-'Wariant 3'!Z$106</f>
        <v>0</v>
      </c>
      <c r="AA251" s="11">
        <f>-'Wariant 3'!AA$106</f>
        <v>0</v>
      </c>
      <c r="AB251" s="11">
        <f>-'Wariant 3'!AB$106</f>
        <v>0</v>
      </c>
      <c r="AC251" s="11">
        <f>-'Wariant 3'!AC$106</f>
        <v>0</v>
      </c>
      <c r="AD251" s="11">
        <f>-'Wariant 3'!AD$106</f>
        <v>0</v>
      </c>
      <c r="AE251" s="11">
        <f>-'Wariant 3'!AE$106</f>
        <v>0</v>
      </c>
      <c r="AF251" s="11">
        <f>-'Wariant 3'!AF$106</f>
        <v>0</v>
      </c>
      <c r="AG251" s="11">
        <f>-'Wariant 3'!AG$106</f>
        <v>0</v>
      </c>
      <c r="AH251" s="11">
        <f>-'Wariant 3'!AH$106</f>
        <v>0</v>
      </c>
      <c r="AI251" s="11">
        <f>-'Wariant 3'!AI$106</f>
        <v>0</v>
      </c>
      <c r="AJ251" s="11">
        <f>-'Wariant 3'!AJ$106</f>
        <v>0</v>
      </c>
      <c r="AK251" s="11">
        <f>-'Wariant 3'!AK$106</f>
        <v>0</v>
      </c>
      <c r="AL251" s="11">
        <f>-'Wariant 3'!AL$106</f>
        <v>0</v>
      </c>
      <c r="AM251" s="11">
        <f>-'Wariant 3'!AM$106</f>
        <v>0</v>
      </c>
      <c r="AN251" s="11">
        <f>-'Wariant 3'!AN$106</f>
        <v>0</v>
      </c>
      <c r="AO251" s="11">
        <f>-'Wariant 3'!AO$106</f>
        <v>0</v>
      </c>
      <c r="AP251" s="11">
        <f>-'Wariant 3'!AP$106</f>
        <v>0</v>
      </c>
      <c r="AQ251" s="11">
        <f>-'Wariant 3'!AQ$106</f>
        <v>0</v>
      </c>
      <c r="AR251" s="11">
        <f>-'Wariant 3'!AR$106</f>
        <v>0</v>
      </c>
      <c r="AS251" s="11">
        <f>-'Wariant 3'!AS$106</f>
        <v>0</v>
      </c>
      <c r="AT251" s="11">
        <f>-'Wariant 3'!AT$106</f>
        <v>0</v>
      </c>
      <c r="AU251" s="11">
        <f>-'Wariant 3'!AU$106</f>
        <v>0</v>
      </c>
      <c r="AV251" s="11">
        <f>-'Wariant 3'!AV$106</f>
        <v>0</v>
      </c>
      <c r="AW251" s="11">
        <f>-'Wariant 3'!AW$106</f>
        <v>0</v>
      </c>
      <c r="AX251" s="11">
        <f>-'Wariant 3'!AX$106</f>
        <v>0</v>
      </c>
      <c r="AY251" s="11">
        <f>-'Wariant 3'!AY$106</f>
        <v>0</v>
      </c>
      <c r="AZ251" s="11">
        <f>-'Wariant 3'!AZ$106</f>
        <v>0</v>
      </c>
      <c r="BA251" s="75">
        <f>-'Wariant 3'!BA$106</f>
        <v>0</v>
      </c>
    </row>
    <row r="252" spans="1:53" ht="15.75" hidden="1" customHeight="1" outlineLevel="1" x14ac:dyDescent="0.35">
      <c r="A252" s="5"/>
      <c r="B252" s="5"/>
      <c r="C252" s="5" t="s">
        <v>161</v>
      </c>
      <c r="D252" s="5"/>
      <c r="E252" s="5"/>
      <c r="F252" s="5"/>
      <c r="G252" s="5"/>
      <c r="H252" s="5"/>
      <c r="I252" s="5"/>
      <c r="J252" s="5"/>
      <c r="K252" s="5"/>
      <c r="N252" s="1">
        <f t="shared" si="63"/>
        <v>0</v>
      </c>
      <c r="Q252" s="11">
        <f t="shared" ref="Q252:BA252" si="67">SUM(Q253:Q254)</f>
        <v>0</v>
      </c>
      <c r="R252" s="11">
        <f t="shared" si="67"/>
        <v>0</v>
      </c>
      <c r="S252" s="11">
        <f t="shared" si="67"/>
        <v>0</v>
      </c>
      <c r="T252" s="11">
        <f t="shared" si="67"/>
        <v>0</v>
      </c>
      <c r="U252" s="11">
        <f t="shared" si="67"/>
        <v>0</v>
      </c>
      <c r="V252" s="11">
        <f t="shared" si="67"/>
        <v>0</v>
      </c>
      <c r="W252" s="11">
        <f t="shared" si="67"/>
        <v>0</v>
      </c>
      <c r="X252" s="11">
        <f t="shared" si="67"/>
        <v>0</v>
      </c>
      <c r="Y252" s="11">
        <f t="shared" si="67"/>
        <v>0</v>
      </c>
      <c r="Z252" s="11">
        <f t="shared" si="67"/>
        <v>0</v>
      </c>
      <c r="AA252" s="11">
        <f t="shared" si="67"/>
        <v>0</v>
      </c>
      <c r="AB252" s="11">
        <f t="shared" si="67"/>
        <v>0</v>
      </c>
      <c r="AC252" s="11">
        <f t="shared" si="67"/>
        <v>0</v>
      </c>
      <c r="AD252" s="11">
        <f t="shared" si="67"/>
        <v>0</v>
      </c>
      <c r="AE252" s="11">
        <f t="shared" si="67"/>
        <v>0</v>
      </c>
      <c r="AF252" s="11">
        <f t="shared" si="67"/>
        <v>0</v>
      </c>
      <c r="AG252" s="11">
        <f t="shared" si="67"/>
        <v>0</v>
      </c>
      <c r="AH252" s="11">
        <f t="shared" si="67"/>
        <v>0</v>
      </c>
      <c r="AI252" s="11">
        <f t="shared" si="67"/>
        <v>0</v>
      </c>
      <c r="AJ252" s="11">
        <f t="shared" si="67"/>
        <v>0</v>
      </c>
      <c r="AK252" s="11">
        <f t="shared" si="67"/>
        <v>0</v>
      </c>
      <c r="AL252" s="11">
        <f t="shared" si="67"/>
        <v>0</v>
      </c>
      <c r="AM252" s="11">
        <f t="shared" si="67"/>
        <v>0</v>
      </c>
      <c r="AN252" s="11">
        <f t="shared" si="67"/>
        <v>0</v>
      </c>
      <c r="AO252" s="11">
        <f t="shared" si="67"/>
        <v>0</v>
      </c>
      <c r="AP252" s="11">
        <f t="shared" si="67"/>
        <v>0</v>
      </c>
      <c r="AQ252" s="11">
        <f t="shared" si="67"/>
        <v>0</v>
      </c>
      <c r="AR252" s="11">
        <f t="shared" si="67"/>
        <v>0</v>
      </c>
      <c r="AS252" s="11">
        <f t="shared" si="67"/>
        <v>0</v>
      </c>
      <c r="AT252" s="11">
        <f t="shared" si="67"/>
        <v>0</v>
      </c>
      <c r="AU252" s="11">
        <f t="shared" si="67"/>
        <v>0</v>
      </c>
      <c r="AV252" s="11">
        <f t="shared" si="67"/>
        <v>0</v>
      </c>
      <c r="AW252" s="11">
        <f t="shared" si="67"/>
        <v>0</v>
      </c>
      <c r="AX252" s="11">
        <f t="shared" si="67"/>
        <v>0</v>
      </c>
      <c r="AY252" s="11">
        <f t="shared" si="67"/>
        <v>0</v>
      </c>
      <c r="AZ252" s="11">
        <f t="shared" si="67"/>
        <v>0</v>
      </c>
      <c r="BA252" s="75">
        <f t="shared" si="67"/>
        <v>0</v>
      </c>
    </row>
    <row r="253" spans="1:53" ht="15.75" hidden="1" customHeight="1" outlineLevel="1" x14ac:dyDescent="0.35">
      <c r="A253" s="5"/>
      <c r="B253" s="5"/>
      <c r="C253" s="5"/>
      <c r="D253" s="5" t="s">
        <v>147</v>
      </c>
      <c r="E253" s="5"/>
      <c r="F253" s="5"/>
      <c r="G253" s="5"/>
      <c r="H253" s="5"/>
      <c r="I253" s="5"/>
      <c r="J253" s="5"/>
      <c r="K253" s="5"/>
      <c r="N253" s="1">
        <f t="shared" si="63"/>
        <v>0</v>
      </c>
      <c r="Q253" s="1">
        <f>-'Wariant 3'!Q$99</f>
        <v>0</v>
      </c>
      <c r="R253" s="1">
        <f>-'Wariant 3'!R$99</f>
        <v>0</v>
      </c>
      <c r="S253" s="1">
        <f>-'Wariant 3'!S$99</f>
        <v>0</v>
      </c>
      <c r="T253" s="1">
        <f>-'Wariant 3'!T$99</f>
        <v>0</v>
      </c>
      <c r="U253" s="1">
        <f>-'Wariant 3'!U$99</f>
        <v>0</v>
      </c>
      <c r="V253" s="1">
        <f>-'Wariant 3'!V$99</f>
        <v>0</v>
      </c>
      <c r="W253" s="1">
        <f>-'Wariant 3'!W$99</f>
        <v>0</v>
      </c>
      <c r="X253" s="1">
        <f>-'Wariant 3'!X$99</f>
        <v>0</v>
      </c>
      <c r="Y253" s="1">
        <f>-'Wariant 3'!Y$99</f>
        <v>0</v>
      </c>
      <c r="Z253" s="1">
        <f>-'Wariant 3'!Z$99</f>
        <v>0</v>
      </c>
      <c r="AA253" s="1">
        <f>-'Wariant 3'!AA$99</f>
        <v>0</v>
      </c>
      <c r="AB253" s="1">
        <f>-'Wariant 3'!AB$99</f>
        <v>0</v>
      </c>
      <c r="AC253" s="1">
        <f>-'Wariant 3'!AC$99</f>
        <v>0</v>
      </c>
      <c r="AD253" s="1">
        <f>-'Wariant 3'!AD$99</f>
        <v>0</v>
      </c>
      <c r="AE253" s="1">
        <f>-'Wariant 3'!AE$99</f>
        <v>0</v>
      </c>
      <c r="AF253" s="1">
        <f>-'Wariant 3'!AF$99</f>
        <v>0</v>
      </c>
      <c r="AG253" s="1">
        <f>-'Wariant 3'!AG$99</f>
        <v>0</v>
      </c>
      <c r="AH253" s="1">
        <f>-'Wariant 3'!AH$99</f>
        <v>0</v>
      </c>
      <c r="AI253" s="1">
        <f>-'Wariant 3'!AI$99</f>
        <v>0</v>
      </c>
      <c r="AJ253" s="1">
        <f>-'Wariant 3'!AJ$99</f>
        <v>0</v>
      </c>
      <c r="AK253" s="1">
        <f>-'Wariant 3'!AK$99</f>
        <v>0</v>
      </c>
      <c r="AL253" s="1">
        <f>-'Wariant 3'!AL$99</f>
        <v>0</v>
      </c>
      <c r="AM253" s="1">
        <f>-'Wariant 3'!AM$99</f>
        <v>0</v>
      </c>
      <c r="AN253" s="1">
        <f>-'Wariant 3'!AN$99</f>
        <v>0</v>
      </c>
      <c r="AO253" s="1">
        <f>-'Wariant 3'!AO$99</f>
        <v>0</v>
      </c>
      <c r="AP253" s="1">
        <f>-'Wariant 3'!AP$99</f>
        <v>0</v>
      </c>
      <c r="AQ253" s="1">
        <f>-'Wariant 3'!AQ$99</f>
        <v>0</v>
      </c>
      <c r="AR253" s="1">
        <f>-'Wariant 3'!AR$99</f>
        <v>0</v>
      </c>
      <c r="AS253" s="1">
        <f>-'Wariant 3'!AS$99</f>
        <v>0</v>
      </c>
      <c r="AT253" s="1">
        <f>-'Wariant 3'!AT$99</f>
        <v>0</v>
      </c>
      <c r="AU253" s="1">
        <f>-'Wariant 3'!AU$99</f>
        <v>0</v>
      </c>
      <c r="AV253" s="1">
        <f>-'Wariant 3'!AV$99</f>
        <v>0</v>
      </c>
      <c r="AW253" s="1">
        <f>-'Wariant 3'!AW$99</f>
        <v>0</v>
      </c>
      <c r="AX253" s="1">
        <f>-'Wariant 3'!AX$99</f>
        <v>0</v>
      </c>
      <c r="AY253" s="1">
        <f>-'Wariant 3'!AY$99</f>
        <v>0</v>
      </c>
      <c r="AZ253" s="1">
        <f>-'Wariant 3'!AZ$99</f>
        <v>0</v>
      </c>
      <c r="BA253" s="74">
        <f>-'Wariant 3'!BA$99</f>
        <v>0</v>
      </c>
    </row>
    <row r="254" spans="1:53" ht="15.75" hidden="1" customHeight="1" outlineLevel="1" x14ac:dyDescent="0.35">
      <c r="A254" s="5"/>
      <c r="B254" s="5"/>
      <c r="C254" s="5"/>
      <c r="D254" s="5" t="s">
        <v>52</v>
      </c>
      <c r="E254" s="5"/>
      <c r="F254" s="5"/>
      <c r="G254" s="5"/>
      <c r="H254" s="5"/>
      <c r="I254" s="5"/>
      <c r="J254" s="5"/>
      <c r="K254" s="5"/>
      <c r="N254" s="1">
        <f t="shared" si="63"/>
        <v>0</v>
      </c>
      <c r="Q254" s="1">
        <f>-'Wariant 3'!Q$100</f>
        <v>0</v>
      </c>
      <c r="R254" s="1">
        <f>-'Wariant 3'!R$100</f>
        <v>0</v>
      </c>
      <c r="S254" s="1">
        <f>-'Wariant 3'!S$100</f>
        <v>0</v>
      </c>
      <c r="T254" s="1">
        <f>-'Wariant 3'!T$100</f>
        <v>0</v>
      </c>
      <c r="U254" s="1">
        <f>-'Wariant 3'!U$100</f>
        <v>0</v>
      </c>
      <c r="V254" s="1">
        <f>-'Wariant 3'!V$100</f>
        <v>0</v>
      </c>
      <c r="W254" s="1">
        <f>-'Wariant 3'!W$100</f>
        <v>0</v>
      </c>
      <c r="X254" s="1">
        <f>-'Wariant 3'!X$100</f>
        <v>0</v>
      </c>
      <c r="Y254" s="1">
        <f>-'Wariant 3'!Y$100</f>
        <v>0</v>
      </c>
      <c r="Z254" s="1">
        <f>-'Wariant 3'!Z$100</f>
        <v>0</v>
      </c>
      <c r="AA254" s="1">
        <f>-'Wariant 3'!AA$100</f>
        <v>0</v>
      </c>
      <c r="AB254" s="1">
        <f>-'Wariant 3'!AB$100</f>
        <v>0</v>
      </c>
      <c r="AC254" s="1">
        <f>-'Wariant 3'!AC$100</f>
        <v>0</v>
      </c>
      <c r="AD254" s="1">
        <f>-'Wariant 3'!AD$100</f>
        <v>0</v>
      </c>
      <c r="AE254" s="1">
        <f>-'Wariant 3'!AE$100</f>
        <v>0</v>
      </c>
      <c r="AF254" s="1">
        <f>-'Wariant 3'!AF$100</f>
        <v>0</v>
      </c>
      <c r="AG254" s="1">
        <f>-'Wariant 3'!AG$100</f>
        <v>0</v>
      </c>
      <c r="AH254" s="1">
        <f>-'Wariant 3'!AH$100</f>
        <v>0</v>
      </c>
      <c r="AI254" s="1">
        <f>-'Wariant 3'!AI$100</f>
        <v>0</v>
      </c>
      <c r="AJ254" s="1">
        <f>-'Wariant 3'!AJ$100</f>
        <v>0</v>
      </c>
      <c r="AK254" s="1">
        <f>-'Wariant 3'!AK$100</f>
        <v>0</v>
      </c>
      <c r="AL254" s="1">
        <f>-'Wariant 3'!AL$100</f>
        <v>0</v>
      </c>
      <c r="AM254" s="1">
        <f>-'Wariant 3'!AM$100</f>
        <v>0</v>
      </c>
      <c r="AN254" s="1">
        <f>-'Wariant 3'!AN$100</f>
        <v>0</v>
      </c>
      <c r="AO254" s="1">
        <f>-'Wariant 3'!AO$100</f>
        <v>0</v>
      </c>
      <c r="AP254" s="1">
        <f>-'Wariant 3'!AP$100</f>
        <v>0</v>
      </c>
      <c r="AQ254" s="1">
        <f>-'Wariant 3'!AQ$100</f>
        <v>0</v>
      </c>
      <c r="AR254" s="1">
        <f>-'Wariant 3'!AR$100</f>
        <v>0</v>
      </c>
      <c r="AS254" s="1">
        <f>-'Wariant 3'!AS$100</f>
        <v>0</v>
      </c>
      <c r="AT254" s="1">
        <f>-'Wariant 3'!AT$100</f>
        <v>0</v>
      </c>
      <c r="AU254" s="1">
        <f>-'Wariant 3'!AU$100</f>
        <v>0</v>
      </c>
      <c r="AV254" s="1">
        <f>-'Wariant 3'!AV$100</f>
        <v>0</v>
      </c>
      <c r="AW254" s="1">
        <f>-'Wariant 3'!AW$100</f>
        <v>0</v>
      </c>
      <c r="AX254" s="1">
        <f>-'Wariant 3'!AX$100</f>
        <v>0</v>
      </c>
      <c r="AY254" s="1">
        <f>-'Wariant 3'!AY$100</f>
        <v>0</v>
      </c>
      <c r="AZ254" s="1">
        <f>-'Wariant 3'!AZ$100</f>
        <v>0</v>
      </c>
      <c r="BA254" s="74">
        <f>-'Wariant 3'!BA$100</f>
        <v>0</v>
      </c>
    </row>
    <row r="255" spans="1:53" ht="14.5" hidden="1" outlineLevel="1" x14ac:dyDescent="0.35"/>
    <row r="256" spans="1:53" ht="14.5" hidden="1" outlineLevel="1" x14ac:dyDescent="0.35">
      <c r="A256" s="7"/>
      <c r="B256" s="7" t="s">
        <v>49</v>
      </c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>
        <f>SUM(Q256:BA256)</f>
        <v>0</v>
      </c>
      <c r="O256" s="7"/>
      <c r="P256" s="7"/>
      <c r="Q256" s="7">
        <f>Q234+'Wariant 3'!Q$88</f>
        <v>0</v>
      </c>
      <c r="R256" s="7">
        <f>R234+'Wariant 3'!R$88</f>
        <v>0</v>
      </c>
      <c r="S256" s="7">
        <f>S234+'Wariant 3'!S$88</f>
        <v>0</v>
      </c>
      <c r="T256" s="7">
        <f>T234+'Wariant 3'!T$88</f>
        <v>0</v>
      </c>
      <c r="U256" s="7">
        <f>U234+'Wariant 3'!U$88</f>
        <v>0</v>
      </c>
      <c r="V256" s="7">
        <f>V234+'Wariant 3'!V$88</f>
        <v>0</v>
      </c>
      <c r="W256" s="7">
        <f>W234+'Wariant 3'!W$88</f>
        <v>0</v>
      </c>
      <c r="X256" s="7">
        <f>X234+'Wariant 3'!X$88</f>
        <v>0</v>
      </c>
      <c r="Y256" s="7">
        <f>Y234+'Wariant 3'!Y$88</f>
        <v>0</v>
      </c>
      <c r="Z256" s="7">
        <f>Z234+'Wariant 3'!Z$88</f>
        <v>0</v>
      </c>
      <c r="AA256" s="7">
        <f>AA234+'Wariant 3'!AA$88</f>
        <v>0</v>
      </c>
      <c r="AB256" s="7">
        <f>AB234+'Wariant 3'!AB$88</f>
        <v>0</v>
      </c>
      <c r="AC256" s="7">
        <f>AC234+'Wariant 3'!AC$88</f>
        <v>0</v>
      </c>
      <c r="AD256" s="7">
        <f>AD234+'Wariant 3'!AD$88</f>
        <v>0</v>
      </c>
      <c r="AE256" s="7">
        <f>AE234+'Wariant 3'!AE$88</f>
        <v>0</v>
      </c>
      <c r="AF256" s="7">
        <f>AF234+'Wariant 3'!AF$88</f>
        <v>0</v>
      </c>
      <c r="AG256" s="7">
        <f>AG234+'Wariant 3'!AG$88</f>
        <v>0</v>
      </c>
      <c r="AH256" s="7">
        <f>AH234+'Wariant 3'!AH$88</f>
        <v>0</v>
      </c>
      <c r="AI256" s="7">
        <f>AI234+'Wariant 3'!AI$88</f>
        <v>0</v>
      </c>
      <c r="AJ256" s="7">
        <f>AJ234+'Wariant 3'!AJ$88</f>
        <v>0</v>
      </c>
      <c r="AK256" s="7">
        <f>AK234+'Wariant 3'!AK$88</f>
        <v>0</v>
      </c>
      <c r="AL256" s="7">
        <f>AL234+'Wariant 3'!AL$88</f>
        <v>0</v>
      </c>
      <c r="AM256" s="7">
        <f>AM234+'Wariant 3'!AM$88</f>
        <v>0</v>
      </c>
      <c r="AN256" s="7">
        <f>AN234+'Wariant 3'!AN$88</f>
        <v>0</v>
      </c>
      <c r="AO256" s="7">
        <f>AO234+'Wariant 3'!AO$88</f>
        <v>0</v>
      </c>
      <c r="AP256" s="7">
        <f>AP234+'Wariant 3'!AP$88</f>
        <v>0</v>
      </c>
      <c r="AQ256" s="7">
        <f>AQ234+'Wariant 3'!AQ$88</f>
        <v>0</v>
      </c>
      <c r="AR256" s="7">
        <f>AR234+'Wariant 3'!AR$88</f>
        <v>0</v>
      </c>
      <c r="AS256" s="7">
        <f>AS234+'Wariant 3'!AS$88</f>
        <v>0</v>
      </c>
      <c r="AT256" s="7">
        <f>AT234+'Wariant 3'!AT$88</f>
        <v>0</v>
      </c>
      <c r="AU256" s="7">
        <f>AU234+'Wariant 3'!AU$88</f>
        <v>0</v>
      </c>
      <c r="AV256" s="7">
        <f>AV234+'Wariant 3'!AV$88</f>
        <v>0</v>
      </c>
      <c r="AW256" s="7">
        <f>AW234+'Wariant 3'!AW$88</f>
        <v>0</v>
      </c>
      <c r="AX256" s="7">
        <f>AX234+'Wariant 3'!AX$88</f>
        <v>0</v>
      </c>
      <c r="AY256" s="7">
        <f>AY234+'Wariant 3'!AY$88</f>
        <v>0</v>
      </c>
      <c r="AZ256" s="7">
        <f>AZ234+'Wariant 3'!AZ$88</f>
        <v>0</v>
      </c>
      <c r="BA256" s="7">
        <f>BA234+'Wariant 3'!BA$88</f>
        <v>0</v>
      </c>
    </row>
    <row r="257" spans="1:53" ht="14.5" hidden="1" outlineLevel="1" x14ac:dyDescent="0.35"/>
    <row r="258" spans="1:53" ht="15.75" hidden="1" customHeight="1" outlineLevel="1" x14ac:dyDescent="0.35">
      <c r="A258" s="59" t="s">
        <v>134</v>
      </c>
      <c r="B258" s="59" t="s">
        <v>137</v>
      </c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>
        <f>SUM(Q258:BA258)</f>
        <v>0</v>
      </c>
      <c r="O258" s="59"/>
      <c r="P258" s="59"/>
      <c r="Q258" s="59">
        <f t="shared" ref="Q258:BA258" si="68">SUM(Q260:Q265)</f>
        <v>0</v>
      </c>
      <c r="R258" s="59">
        <f t="shared" si="68"/>
        <v>0</v>
      </c>
      <c r="S258" s="59">
        <f t="shared" si="68"/>
        <v>0</v>
      </c>
      <c r="T258" s="59">
        <f t="shared" si="68"/>
        <v>0</v>
      </c>
      <c r="U258" s="59">
        <f t="shared" si="68"/>
        <v>0</v>
      </c>
      <c r="V258" s="59">
        <f t="shared" si="68"/>
        <v>0</v>
      </c>
      <c r="W258" s="59">
        <f t="shared" si="68"/>
        <v>0</v>
      </c>
      <c r="X258" s="59">
        <f t="shared" si="68"/>
        <v>0</v>
      </c>
      <c r="Y258" s="59">
        <f t="shared" si="68"/>
        <v>0</v>
      </c>
      <c r="Z258" s="59">
        <f t="shared" si="68"/>
        <v>0</v>
      </c>
      <c r="AA258" s="59">
        <f t="shared" si="68"/>
        <v>0</v>
      </c>
      <c r="AB258" s="59">
        <f t="shared" si="68"/>
        <v>0</v>
      </c>
      <c r="AC258" s="59">
        <f t="shared" si="68"/>
        <v>0</v>
      </c>
      <c r="AD258" s="59">
        <f t="shared" si="68"/>
        <v>0</v>
      </c>
      <c r="AE258" s="59">
        <f t="shared" si="68"/>
        <v>0</v>
      </c>
      <c r="AF258" s="59">
        <f t="shared" si="68"/>
        <v>0</v>
      </c>
      <c r="AG258" s="59">
        <f t="shared" si="68"/>
        <v>0</v>
      </c>
      <c r="AH258" s="59">
        <f t="shared" si="68"/>
        <v>0</v>
      </c>
      <c r="AI258" s="59">
        <f t="shared" si="68"/>
        <v>0</v>
      </c>
      <c r="AJ258" s="59">
        <f t="shared" si="68"/>
        <v>0</v>
      </c>
      <c r="AK258" s="59">
        <f t="shared" si="68"/>
        <v>0</v>
      </c>
      <c r="AL258" s="59">
        <f t="shared" si="68"/>
        <v>0</v>
      </c>
      <c r="AM258" s="59">
        <f t="shared" si="68"/>
        <v>0</v>
      </c>
      <c r="AN258" s="59">
        <f t="shared" si="68"/>
        <v>0</v>
      </c>
      <c r="AO258" s="59">
        <f t="shared" si="68"/>
        <v>0</v>
      </c>
      <c r="AP258" s="59">
        <f t="shared" si="68"/>
        <v>0</v>
      </c>
      <c r="AQ258" s="59">
        <f t="shared" si="68"/>
        <v>0</v>
      </c>
      <c r="AR258" s="59">
        <f t="shared" si="68"/>
        <v>0</v>
      </c>
      <c r="AS258" s="59">
        <f t="shared" si="68"/>
        <v>0</v>
      </c>
      <c r="AT258" s="59">
        <f t="shared" si="68"/>
        <v>0</v>
      </c>
      <c r="AU258" s="59">
        <f t="shared" si="68"/>
        <v>0</v>
      </c>
      <c r="AV258" s="59">
        <f t="shared" si="68"/>
        <v>0</v>
      </c>
      <c r="AW258" s="59">
        <f t="shared" si="68"/>
        <v>0</v>
      </c>
      <c r="AX258" s="59">
        <f t="shared" si="68"/>
        <v>0</v>
      </c>
      <c r="AY258" s="59">
        <f t="shared" si="68"/>
        <v>0</v>
      </c>
      <c r="AZ258" s="59">
        <f t="shared" si="68"/>
        <v>0</v>
      </c>
      <c r="BA258" s="59">
        <f t="shared" si="68"/>
        <v>0</v>
      </c>
    </row>
    <row r="259" spans="1:53" ht="14.5" hidden="1" outlineLevel="1" x14ac:dyDescent="0.35"/>
    <row r="260" spans="1:53" ht="15.75" hidden="1" customHeight="1" outlineLevel="1" x14ac:dyDescent="0.35">
      <c r="A260" s="5"/>
      <c r="B260" s="5"/>
      <c r="C260" s="5" t="s">
        <v>136</v>
      </c>
      <c r="E260" s="5"/>
      <c r="F260" s="5"/>
      <c r="G260" s="5"/>
      <c r="H260" s="5"/>
      <c r="I260" s="5"/>
      <c r="J260" s="5"/>
      <c r="K260" s="5"/>
      <c r="N260" s="1">
        <f t="shared" ref="N260:N265" si="69">SUM(Q260:BA260)</f>
        <v>0</v>
      </c>
      <c r="Q260" s="1">
        <f t="shared" ref="Q260:BA260" si="70">Q234</f>
        <v>0</v>
      </c>
      <c r="R260" s="1">
        <f t="shared" si="70"/>
        <v>0</v>
      </c>
      <c r="S260" s="1">
        <f t="shared" si="70"/>
        <v>0</v>
      </c>
      <c r="T260" s="1">
        <f t="shared" si="70"/>
        <v>0</v>
      </c>
      <c r="U260" s="1">
        <f t="shared" si="70"/>
        <v>0</v>
      </c>
      <c r="V260" s="1">
        <f t="shared" si="70"/>
        <v>0</v>
      </c>
      <c r="W260" s="1">
        <f t="shared" si="70"/>
        <v>0</v>
      </c>
      <c r="X260" s="1">
        <f t="shared" si="70"/>
        <v>0</v>
      </c>
      <c r="Y260" s="1">
        <f t="shared" si="70"/>
        <v>0</v>
      </c>
      <c r="Z260" s="1">
        <f t="shared" si="70"/>
        <v>0</v>
      </c>
      <c r="AA260" s="1">
        <f t="shared" si="70"/>
        <v>0</v>
      </c>
      <c r="AB260" s="1">
        <f t="shared" si="70"/>
        <v>0</v>
      </c>
      <c r="AC260" s="1">
        <f t="shared" si="70"/>
        <v>0</v>
      </c>
      <c r="AD260" s="1">
        <f t="shared" si="70"/>
        <v>0</v>
      </c>
      <c r="AE260" s="1">
        <f t="shared" si="70"/>
        <v>0</v>
      </c>
      <c r="AF260" s="1">
        <f t="shared" si="70"/>
        <v>0</v>
      </c>
      <c r="AG260" s="1">
        <f t="shared" si="70"/>
        <v>0</v>
      </c>
      <c r="AH260" s="1">
        <f t="shared" si="70"/>
        <v>0</v>
      </c>
      <c r="AI260" s="1">
        <f t="shared" si="70"/>
        <v>0</v>
      </c>
      <c r="AJ260" s="1">
        <f t="shared" si="70"/>
        <v>0</v>
      </c>
      <c r="AK260" s="1">
        <f t="shared" si="70"/>
        <v>0</v>
      </c>
      <c r="AL260" s="1">
        <f t="shared" si="70"/>
        <v>0</v>
      </c>
      <c r="AM260" s="1">
        <f t="shared" si="70"/>
        <v>0</v>
      </c>
      <c r="AN260" s="1">
        <f t="shared" si="70"/>
        <v>0</v>
      </c>
      <c r="AO260" s="1">
        <f t="shared" si="70"/>
        <v>0</v>
      </c>
      <c r="AP260" s="1">
        <f t="shared" si="70"/>
        <v>0</v>
      </c>
      <c r="AQ260" s="1">
        <f t="shared" si="70"/>
        <v>0</v>
      </c>
      <c r="AR260" s="1">
        <f t="shared" si="70"/>
        <v>0</v>
      </c>
      <c r="AS260" s="1">
        <f t="shared" si="70"/>
        <v>0</v>
      </c>
      <c r="AT260" s="1">
        <f t="shared" si="70"/>
        <v>0</v>
      </c>
      <c r="AU260" s="1">
        <f t="shared" si="70"/>
        <v>0</v>
      </c>
      <c r="AV260" s="1">
        <f t="shared" si="70"/>
        <v>0</v>
      </c>
      <c r="AW260" s="1">
        <f t="shared" si="70"/>
        <v>0</v>
      </c>
      <c r="AX260" s="1">
        <f t="shared" si="70"/>
        <v>0</v>
      </c>
      <c r="AY260" s="1">
        <f t="shared" si="70"/>
        <v>0</v>
      </c>
      <c r="AZ260" s="1">
        <f t="shared" si="70"/>
        <v>0</v>
      </c>
      <c r="BA260" s="74">
        <f t="shared" si="70"/>
        <v>0</v>
      </c>
    </row>
    <row r="261" spans="1:53" ht="15.75" hidden="1" customHeight="1" outlineLevel="1" x14ac:dyDescent="0.35">
      <c r="A261" s="5"/>
      <c r="B261" s="5"/>
      <c r="C261" s="5" t="s">
        <v>101</v>
      </c>
      <c r="E261" s="5"/>
      <c r="F261" s="5"/>
      <c r="G261" s="5"/>
      <c r="H261" s="5"/>
      <c r="I261" s="5"/>
      <c r="J261" s="5"/>
      <c r="K261" s="5"/>
      <c r="N261" s="1">
        <f t="shared" si="69"/>
        <v>0</v>
      </c>
      <c r="Q261" s="1">
        <f>Założenia!$O$167*OEp.w3</f>
        <v>0</v>
      </c>
      <c r="R261" s="1">
        <f>Założenia!$O$167*OEp.w3</f>
        <v>0</v>
      </c>
      <c r="S261" s="1">
        <f>Założenia!$O$167*OEp.w3</f>
        <v>0</v>
      </c>
      <c r="T261" s="1">
        <f>Założenia!$O$167*OEp.w3</f>
        <v>0</v>
      </c>
      <c r="U261" s="1">
        <f>Założenia!$O$167*OEp.w3</f>
        <v>0</v>
      </c>
      <c r="V261" s="1">
        <f>Założenia!$O$167*OEp.w3</f>
        <v>0</v>
      </c>
      <c r="W261" s="1">
        <f>Założenia!$O$167*OEp.w3</f>
        <v>0</v>
      </c>
      <c r="X261" s="1">
        <f>Założenia!$O$167*OEp.w3</f>
        <v>0</v>
      </c>
      <c r="Y261" s="1">
        <f>Założenia!$O$167*OEp.w3</f>
        <v>0</v>
      </c>
      <c r="Z261" s="1">
        <f>Założenia!$O$167*OEp.w3</f>
        <v>0</v>
      </c>
      <c r="AA261" s="1">
        <f>Założenia!$O$167*OEp.w3</f>
        <v>0</v>
      </c>
      <c r="AB261" s="1">
        <f>Założenia!$O$167*OEp.w3</f>
        <v>0</v>
      </c>
      <c r="AC261" s="1">
        <f>Założenia!$O$167*OEp.w3</f>
        <v>0</v>
      </c>
      <c r="AD261" s="1">
        <f>Założenia!$O$167*OEp.w3</f>
        <v>0</v>
      </c>
      <c r="AE261" s="1">
        <f>Założenia!$O$167*OEp.w3</f>
        <v>0</v>
      </c>
      <c r="AF261" s="1">
        <f>Założenia!$O$167*OEp.w3</f>
        <v>0</v>
      </c>
      <c r="AG261" s="1">
        <f>Założenia!$O$167*OEp.w3</f>
        <v>0</v>
      </c>
      <c r="AH261" s="1">
        <f>Założenia!$O$167*OEp.w3</f>
        <v>0</v>
      </c>
      <c r="AI261" s="1">
        <f>Założenia!$O$167*OEp.w3</f>
        <v>0</v>
      </c>
      <c r="AJ261" s="1">
        <f>Założenia!$O$167*OEp.w3</f>
        <v>0</v>
      </c>
      <c r="AK261" s="1">
        <f>Założenia!$O$167*OEp.w3</f>
        <v>0</v>
      </c>
      <c r="AL261" s="1">
        <f>Założenia!$O$167*OEp.w3</f>
        <v>0</v>
      </c>
      <c r="AM261" s="1">
        <f>Założenia!$O$167*OEp.w3</f>
        <v>0</v>
      </c>
      <c r="AN261" s="1">
        <f>Założenia!$O$167*OEp.w3</f>
        <v>0</v>
      </c>
      <c r="AO261" s="1">
        <f>Założenia!$O$167*OEp.w3</f>
        <v>0</v>
      </c>
      <c r="AP261" s="1">
        <f>Założenia!$O$167*OEp.w3</f>
        <v>0</v>
      </c>
      <c r="AQ261" s="1">
        <f>Założenia!$O$167*OEp.w3</f>
        <v>0</v>
      </c>
      <c r="AR261" s="1">
        <f>Założenia!$O$167*OEp.w3</f>
        <v>0</v>
      </c>
      <c r="AS261" s="1">
        <f>Założenia!$O$167*OEp.w3</f>
        <v>0</v>
      </c>
      <c r="AT261" s="1">
        <f>Założenia!$O$167*OEp.w3</f>
        <v>0</v>
      </c>
      <c r="AU261" s="1">
        <f>Założenia!$O$167*OEp.w3</f>
        <v>0</v>
      </c>
      <c r="AV261" s="1">
        <f>Założenia!$O$167*OEp.w3</f>
        <v>0</v>
      </c>
      <c r="AW261" s="1">
        <f>Założenia!$O$167*OEp.w3</f>
        <v>0</v>
      </c>
      <c r="AX261" s="1">
        <f>Założenia!$O$167*OEp.w3</f>
        <v>0</v>
      </c>
      <c r="AY261" s="1">
        <f>Założenia!$O$167*OEp.w3</f>
        <v>0</v>
      </c>
      <c r="AZ261" s="1">
        <f>Założenia!$O$167*OEp.w3</f>
        <v>0</v>
      </c>
      <c r="BA261" s="74">
        <f>Założenia!$O$167*OEp.w3</f>
        <v>0</v>
      </c>
    </row>
    <row r="262" spans="1:53" ht="15.75" hidden="1" customHeight="1" outlineLevel="1" x14ac:dyDescent="0.35">
      <c r="A262" s="5"/>
      <c r="B262" s="5"/>
      <c r="C262" s="5" t="s">
        <v>102</v>
      </c>
      <c r="E262" s="5"/>
      <c r="F262" s="5"/>
      <c r="G262" s="5"/>
      <c r="H262" s="5"/>
      <c r="I262" s="5"/>
      <c r="J262" s="5"/>
      <c r="K262" s="5"/>
      <c r="N262" s="1">
        <f t="shared" si="69"/>
        <v>0</v>
      </c>
      <c r="Q262" s="1">
        <f>Założenia!$O$168*OEp.w3</f>
        <v>0</v>
      </c>
      <c r="R262" s="1">
        <f>Założenia!$O$168*OEp.w3</f>
        <v>0</v>
      </c>
      <c r="S262" s="1">
        <f>Założenia!$O$168*OEp.w3</f>
        <v>0</v>
      </c>
      <c r="T262" s="1">
        <f>Założenia!$O$168*OEp.w3</f>
        <v>0</v>
      </c>
      <c r="U262" s="1">
        <f>Założenia!$O$168*OEp.w3</f>
        <v>0</v>
      </c>
      <c r="V262" s="1">
        <f>Założenia!$O$168*OEp.w3</f>
        <v>0</v>
      </c>
      <c r="W262" s="1">
        <f>Założenia!$O$168*OEp.w3</f>
        <v>0</v>
      </c>
      <c r="X262" s="1">
        <f>Założenia!$O$168*OEp.w3</f>
        <v>0</v>
      </c>
      <c r="Y262" s="1">
        <f>Założenia!$O$168*OEp.w3</f>
        <v>0</v>
      </c>
      <c r="Z262" s="1">
        <f>Założenia!$O$168*OEp.w3</f>
        <v>0</v>
      </c>
      <c r="AA262" s="1">
        <f>Założenia!$O$168*OEp.w3</f>
        <v>0</v>
      </c>
      <c r="AB262" s="1">
        <f>Założenia!$O$168*OEp.w3</f>
        <v>0</v>
      </c>
      <c r="AC262" s="1">
        <f>Założenia!$O$168*OEp.w3</f>
        <v>0</v>
      </c>
      <c r="AD262" s="1">
        <f>Założenia!$O$168*OEp.w3</f>
        <v>0</v>
      </c>
      <c r="AE262" s="1">
        <f>Założenia!$O$168*OEp.w3</f>
        <v>0</v>
      </c>
      <c r="AF262" s="1">
        <f>Założenia!$O$168*OEp.w3</f>
        <v>0</v>
      </c>
      <c r="AG262" s="1">
        <f>Założenia!$O$168*OEp.w3</f>
        <v>0</v>
      </c>
      <c r="AH262" s="1">
        <f>Założenia!$O$168*OEp.w3</f>
        <v>0</v>
      </c>
      <c r="AI262" s="1">
        <f>Założenia!$O$168*OEp.w3</f>
        <v>0</v>
      </c>
      <c r="AJ262" s="1">
        <f>Założenia!$O$168*OEp.w3</f>
        <v>0</v>
      </c>
      <c r="AK262" s="1">
        <f>Założenia!$O$168*OEp.w3</f>
        <v>0</v>
      </c>
      <c r="AL262" s="1">
        <f>Założenia!$O$168*OEp.w3</f>
        <v>0</v>
      </c>
      <c r="AM262" s="1">
        <f>Założenia!$O$168*OEp.w3</f>
        <v>0</v>
      </c>
      <c r="AN262" s="1">
        <f>Założenia!$O$168*OEp.w3</f>
        <v>0</v>
      </c>
      <c r="AO262" s="1">
        <f>Założenia!$O$168*OEp.w3</f>
        <v>0</v>
      </c>
      <c r="AP262" s="1">
        <f>Założenia!$O$168*OEp.w3</f>
        <v>0</v>
      </c>
      <c r="AQ262" s="1">
        <f>Założenia!$O$168*OEp.w3</f>
        <v>0</v>
      </c>
      <c r="AR262" s="1">
        <f>Założenia!$O$168*OEp.w3</f>
        <v>0</v>
      </c>
      <c r="AS262" s="1">
        <f>Założenia!$O$168*OEp.w3</f>
        <v>0</v>
      </c>
      <c r="AT262" s="1">
        <f>Założenia!$O$168*OEp.w3</f>
        <v>0</v>
      </c>
      <c r="AU262" s="1">
        <f>Założenia!$O$168*OEp.w3</f>
        <v>0</v>
      </c>
      <c r="AV262" s="1">
        <f>Założenia!$O$168*OEp.w3</f>
        <v>0</v>
      </c>
      <c r="AW262" s="1">
        <f>Założenia!$O$168*OEp.w3</f>
        <v>0</v>
      </c>
      <c r="AX262" s="1">
        <f>Założenia!$O$168*OEp.w3</f>
        <v>0</v>
      </c>
      <c r="AY262" s="1">
        <f>Założenia!$O$168*OEp.w3</f>
        <v>0</v>
      </c>
      <c r="AZ262" s="1">
        <f>Założenia!$O$168*OEp.w3</f>
        <v>0</v>
      </c>
      <c r="BA262" s="74">
        <f>Założenia!$O$168*OEp.w3</f>
        <v>0</v>
      </c>
    </row>
    <row r="263" spans="1:53" ht="15.75" hidden="1" customHeight="1" outlineLevel="1" x14ac:dyDescent="0.35">
      <c r="A263" s="5"/>
      <c r="B263" s="5"/>
      <c r="C263" s="5" t="s">
        <v>135</v>
      </c>
      <c r="E263" s="5"/>
      <c r="F263" s="5"/>
      <c r="G263" s="5"/>
      <c r="H263" s="5"/>
      <c r="I263" s="5"/>
      <c r="J263" s="5"/>
      <c r="K263" s="5"/>
      <c r="N263" s="1">
        <f t="shared" si="69"/>
        <v>0</v>
      </c>
      <c r="Q263" s="1">
        <f>SUM(-SUM(Q251,Q246)*(Założenia!$O$172="tak")*Założenia!$O$173,'Wariant 3'!Q$169)</f>
        <v>0</v>
      </c>
      <c r="R263" s="1">
        <f>SUM(-SUM(R251,R246)*(Założenia!$O$172="tak")*Założenia!$O$173,'Wariant 3'!R$169)</f>
        <v>0</v>
      </c>
      <c r="S263" s="1">
        <f>SUM(-SUM(S251,S246)*(Założenia!$O$172="tak")*Założenia!$O$173,'Wariant 3'!S$169)</f>
        <v>0</v>
      </c>
      <c r="T263" s="1">
        <f>SUM(-SUM(T251,T246)*(Założenia!$O$172="tak")*Założenia!$O$173,'Wariant 3'!T$169)</f>
        <v>0</v>
      </c>
      <c r="U263" s="1">
        <f>SUM(-SUM(U251,U246)*(Założenia!$O$172="tak")*Założenia!$O$173,'Wariant 3'!U$169)</f>
        <v>0</v>
      </c>
      <c r="V263" s="1">
        <f>SUM(-SUM(V251,V246)*(Założenia!$O$172="tak")*Założenia!$O$173,'Wariant 3'!V$169)</f>
        <v>0</v>
      </c>
      <c r="W263" s="1">
        <f>SUM(-SUM(W251,W246)*(Założenia!$O$172="tak")*Założenia!$O$173,'Wariant 3'!W$169)</f>
        <v>0</v>
      </c>
      <c r="X263" s="1">
        <f>SUM(-SUM(X251,X246)*(Założenia!$O$172="tak")*Założenia!$O$173,'Wariant 3'!X$169)</f>
        <v>0</v>
      </c>
      <c r="Y263" s="1">
        <f>SUM(-SUM(Y251,Y246)*(Założenia!$O$172="tak")*Założenia!$O$173,'Wariant 3'!Y$169)</f>
        <v>0</v>
      </c>
      <c r="Z263" s="1">
        <f>SUM(-SUM(Z251,Z246)*(Założenia!$O$172="tak")*Założenia!$O$173,'Wariant 3'!Z$169)</f>
        <v>0</v>
      </c>
      <c r="AA263" s="1">
        <f>SUM(-SUM(AA251,AA246)*(Założenia!$O$172="tak")*Założenia!$O$173,'Wariant 3'!AA$169)</f>
        <v>0</v>
      </c>
      <c r="AB263" s="1">
        <f>SUM(-SUM(AB251,AB246)*(Założenia!$O$172="tak")*Założenia!$O$173,'Wariant 3'!AB$169)</f>
        <v>0</v>
      </c>
      <c r="AC263" s="1">
        <f>SUM(-SUM(AC251,AC246)*(Założenia!$O$172="tak")*Założenia!$O$173,'Wariant 3'!AC$169)</f>
        <v>0</v>
      </c>
      <c r="AD263" s="1">
        <f>SUM(-SUM(AD251,AD246)*(Założenia!$O$172="tak")*Założenia!$O$173,'Wariant 3'!AD$169)</f>
        <v>0</v>
      </c>
      <c r="AE263" s="1">
        <f>SUM(-SUM(AE251,AE246)*(Założenia!$O$172="tak")*Założenia!$O$173,'Wariant 3'!AE$169)</f>
        <v>0</v>
      </c>
      <c r="AF263" s="1">
        <f>SUM(-SUM(AF251,AF246)*(Założenia!$O$172="tak")*Założenia!$O$173,'Wariant 3'!AF$169)</f>
        <v>0</v>
      </c>
      <c r="AG263" s="1">
        <f>SUM(-SUM(AG251,AG246)*(Założenia!$O$172="tak")*Założenia!$O$173,'Wariant 3'!AG$169)</f>
        <v>0</v>
      </c>
      <c r="AH263" s="1">
        <f>SUM(-SUM(AH251,AH246)*(Założenia!$O$172="tak")*Założenia!$O$173,'Wariant 3'!AH$169)</f>
        <v>0</v>
      </c>
      <c r="AI263" s="1">
        <f>SUM(-SUM(AI251,AI246)*(Założenia!$O$172="tak")*Założenia!$O$173,'Wariant 3'!AI$169)</f>
        <v>0</v>
      </c>
      <c r="AJ263" s="1">
        <f>SUM(-SUM(AJ251,AJ246)*(Założenia!$O$172="tak")*Założenia!$O$173,'Wariant 3'!AJ$169)</f>
        <v>0</v>
      </c>
      <c r="AK263" s="1">
        <f>SUM(-SUM(AK251,AK246)*(Założenia!$O$172="tak")*Założenia!$O$173,'Wariant 3'!AK$169)</f>
        <v>0</v>
      </c>
      <c r="AL263" s="1">
        <f>SUM(-SUM(AL251,AL246)*(Założenia!$O$172="tak")*Założenia!$O$173,'Wariant 3'!AL$169)</f>
        <v>0</v>
      </c>
      <c r="AM263" s="1">
        <f>SUM(-SUM(AM251,AM246)*(Założenia!$O$172="tak")*Założenia!$O$173,'Wariant 3'!AM$169)</f>
        <v>0</v>
      </c>
      <c r="AN263" s="1">
        <f>SUM(-SUM(AN251,AN246)*(Założenia!$O$172="tak")*Założenia!$O$173,'Wariant 3'!AN$169)</f>
        <v>0</v>
      </c>
      <c r="AO263" s="1">
        <f>SUM(-SUM(AO251,AO246)*(Założenia!$O$172="tak")*Założenia!$O$173,'Wariant 3'!AO$169)</f>
        <v>0</v>
      </c>
      <c r="AP263" s="1">
        <f>SUM(-SUM(AP251,AP246)*(Założenia!$O$172="tak")*Założenia!$O$173,'Wariant 3'!AP$169)</f>
        <v>0</v>
      </c>
      <c r="AQ263" s="1">
        <f>SUM(-SUM(AQ251,AQ246)*(Założenia!$O$172="tak")*Założenia!$O$173,'Wariant 3'!AQ$169)</f>
        <v>0</v>
      </c>
      <c r="AR263" s="1">
        <f>SUM(-SUM(AR251,AR246)*(Założenia!$O$172="tak")*Założenia!$O$173,'Wariant 3'!AR$169)</f>
        <v>0</v>
      </c>
      <c r="AS263" s="1">
        <f>SUM(-SUM(AS251,AS246)*(Założenia!$O$172="tak")*Założenia!$O$173,'Wariant 3'!AS$169)</f>
        <v>0</v>
      </c>
      <c r="AT263" s="1">
        <f>SUM(-SUM(AT251,AT246)*(Założenia!$O$172="tak")*Założenia!$O$173,'Wariant 3'!AT$169)</f>
        <v>0</v>
      </c>
      <c r="AU263" s="1">
        <f>SUM(-SUM(AU251,AU246)*(Założenia!$O$172="tak")*Założenia!$O$173,'Wariant 3'!AU$169)</f>
        <v>0</v>
      </c>
      <c r="AV263" s="1">
        <f>SUM(-SUM(AV251,AV246)*(Założenia!$O$172="tak")*Założenia!$O$173,'Wariant 3'!AV$169)</f>
        <v>0</v>
      </c>
      <c r="AW263" s="1">
        <f>SUM(-SUM(AW251,AW246)*(Założenia!$O$172="tak")*Założenia!$O$173,'Wariant 3'!AW$169)</f>
        <v>0</v>
      </c>
      <c r="AX263" s="1">
        <f>SUM(-SUM(AX251,AX246)*(Założenia!$O$172="tak")*Założenia!$O$173,'Wariant 3'!AX$169)</f>
        <v>0</v>
      </c>
      <c r="AY263" s="1">
        <f>SUM(-SUM(AY251,AY246)*(Założenia!$O$172="tak")*Założenia!$O$173,'Wariant 3'!AY$169)</f>
        <v>0</v>
      </c>
      <c r="AZ263" s="1">
        <f>SUM(-SUM(AZ251,AZ246)*(Założenia!$O$172="tak")*Założenia!$O$173,'Wariant 3'!AZ$169)</f>
        <v>0</v>
      </c>
      <c r="BA263" s="74">
        <f>SUM(-SUM(BA251,BA246)*(Założenia!$O$172="tak")*Założenia!$O$173,'Wariant 3'!BA$169)</f>
        <v>0</v>
      </c>
    </row>
    <row r="264" spans="1:53" ht="15.75" hidden="1" customHeight="1" outlineLevel="1" x14ac:dyDescent="0.35">
      <c r="A264" s="5"/>
      <c r="B264" s="5"/>
      <c r="C264" s="5" t="s">
        <v>144</v>
      </c>
      <c r="E264" s="5"/>
      <c r="F264" s="5"/>
      <c r="G264" s="5"/>
      <c r="H264" s="5"/>
      <c r="I264" s="5"/>
      <c r="J264" s="5"/>
      <c r="K264" s="5"/>
      <c r="N264" s="1">
        <f t="shared" si="69"/>
        <v>0</v>
      </c>
      <c r="Q264" s="1">
        <f>ABS(INDEX(Założenia!$O$87:$O$123,MATCH(Q$1,Założenia!$J$87:$J$123,0)))*CPIc*PPPt.w3</f>
        <v>0</v>
      </c>
      <c r="R264" s="1">
        <f>ABS(INDEX(Założenia!$O$87:$O$123,MATCH(R$1,Założenia!$J$87:$J$123,0)))*CPIc*PPPt.w3</f>
        <v>0</v>
      </c>
      <c r="S264" s="1">
        <f>ABS(INDEX(Założenia!$O$87:$O$123,MATCH(S$1,Założenia!$J$87:$J$123,0)))*CPIc*PPPt.w3</f>
        <v>0</v>
      </c>
      <c r="T264" s="1">
        <f>ABS(INDEX(Założenia!$O$87:$O$123,MATCH(T$1,Założenia!$J$87:$J$123,0)))*CPIc*PPPt.w3</f>
        <v>0</v>
      </c>
      <c r="U264" s="1">
        <f>ABS(INDEX(Założenia!$O$87:$O$123,MATCH(U$1,Założenia!$J$87:$J$123,0)))*CPIc*PPPt.w3</f>
        <v>0</v>
      </c>
      <c r="V264" s="1">
        <f>ABS(INDEX(Założenia!$O$87:$O$123,MATCH(V$1,Założenia!$J$87:$J$123,0)))*CPIc*PPPt.w3</f>
        <v>0</v>
      </c>
      <c r="W264" s="1">
        <f>ABS(INDEX(Założenia!$O$87:$O$123,MATCH(W$1,Założenia!$J$87:$J$123,0)))*CPIc*PPPt.w3</f>
        <v>0</v>
      </c>
      <c r="X264" s="1">
        <f>ABS(INDEX(Założenia!$O$87:$O$123,MATCH(X$1,Założenia!$J$87:$J$123,0)))*CPIc*PPPt.w3</f>
        <v>0</v>
      </c>
      <c r="Y264" s="1">
        <f>ABS(INDEX(Założenia!$O$87:$O$123,MATCH(Y$1,Założenia!$J$87:$J$123,0)))*CPIc*PPPt.w3</f>
        <v>0</v>
      </c>
      <c r="Z264" s="1">
        <f>ABS(INDEX(Założenia!$O$87:$O$123,MATCH(Z$1,Założenia!$J$87:$J$123,0)))*CPIc*PPPt.w3</f>
        <v>0</v>
      </c>
      <c r="AA264" s="1">
        <f>ABS(INDEX(Założenia!$O$87:$O$123,MATCH(AA$1,Założenia!$J$87:$J$123,0)))*CPIc*PPPt.w3</f>
        <v>0</v>
      </c>
      <c r="AB264" s="1">
        <f>ABS(INDEX(Założenia!$O$87:$O$123,MATCH(AB$1,Założenia!$J$87:$J$123,0)))*CPIc*PPPt.w3</f>
        <v>0</v>
      </c>
      <c r="AC264" s="1">
        <f>ABS(INDEX(Założenia!$O$87:$O$123,MATCH(AC$1,Założenia!$J$87:$J$123,0)))*CPIc*PPPt.w3</f>
        <v>0</v>
      </c>
      <c r="AD264" s="1">
        <f>ABS(INDEX(Założenia!$O$87:$O$123,MATCH(AD$1,Założenia!$J$87:$J$123,0)))*CPIc*PPPt.w3</f>
        <v>0</v>
      </c>
      <c r="AE264" s="1">
        <f>ABS(INDEX(Założenia!$O$87:$O$123,MATCH(AE$1,Założenia!$J$87:$J$123,0)))*CPIc*PPPt.w3</f>
        <v>0</v>
      </c>
      <c r="AF264" s="1">
        <f>ABS(INDEX(Założenia!$O$87:$O$123,MATCH(AF$1,Założenia!$J$87:$J$123,0)))*CPIc*PPPt.w3</f>
        <v>0</v>
      </c>
      <c r="AG264" s="1">
        <f>ABS(INDEX(Założenia!$O$87:$O$123,MATCH(AG$1,Założenia!$J$87:$J$123,0)))*CPIc*PPPt.w3</f>
        <v>0</v>
      </c>
      <c r="AH264" s="1">
        <f>ABS(INDEX(Założenia!$O$87:$O$123,MATCH(AH$1,Założenia!$J$87:$J$123,0)))*CPIc*PPPt.w3</f>
        <v>0</v>
      </c>
      <c r="AI264" s="1">
        <f>ABS(INDEX(Założenia!$O$87:$O$123,MATCH(AI$1,Założenia!$J$87:$J$123,0)))*CPIc*PPPt.w3</f>
        <v>0</v>
      </c>
      <c r="AJ264" s="1">
        <f>ABS(INDEX(Założenia!$O$87:$O$123,MATCH(AJ$1,Założenia!$J$87:$J$123,0)))*CPIc*PPPt.w3</f>
        <v>0</v>
      </c>
      <c r="AK264" s="1">
        <f>ABS(INDEX(Założenia!$O$87:$O$123,MATCH(AK$1,Założenia!$J$87:$J$123,0)))*CPIc*PPPt.w3</f>
        <v>0</v>
      </c>
      <c r="AL264" s="1">
        <f>ABS(INDEX(Założenia!$O$87:$O$123,MATCH(AL$1,Założenia!$J$87:$J$123,0)))*CPIc*PPPt.w3</f>
        <v>0</v>
      </c>
      <c r="AM264" s="1">
        <f>ABS(INDEX(Założenia!$O$87:$O$123,MATCH(AM$1,Założenia!$J$87:$J$123,0)))*CPIc*PPPt.w3</f>
        <v>0</v>
      </c>
      <c r="AN264" s="1">
        <f>ABS(INDEX(Założenia!$O$87:$O$123,MATCH(AN$1,Założenia!$J$87:$J$123,0)))*CPIc*PPPt.w3</f>
        <v>0</v>
      </c>
      <c r="AO264" s="1">
        <f>ABS(INDEX(Założenia!$O$87:$O$123,MATCH(AO$1,Założenia!$J$87:$J$123,0)))*CPIc*PPPt.w3</f>
        <v>0</v>
      </c>
      <c r="AP264" s="1">
        <f>ABS(INDEX(Założenia!$O$87:$O$123,MATCH(AP$1,Założenia!$J$87:$J$123,0)))*CPIc*PPPt.w3</f>
        <v>0</v>
      </c>
      <c r="AQ264" s="1">
        <f>ABS(INDEX(Założenia!$O$87:$O$123,MATCH(AQ$1,Założenia!$J$87:$J$123,0)))*CPIc*PPPt.w3</f>
        <v>0</v>
      </c>
      <c r="AR264" s="1">
        <f>ABS(INDEX(Założenia!$O$87:$O$123,MATCH(AR$1,Założenia!$J$87:$J$123,0)))*CPIc*PPPt.w3</f>
        <v>0</v>
      </c>
      <c r="AS264" s="1">
        <f>ABS(INDEX(Założenia!$O$87:$O$123,MATCH(AS$1,Założenia!$J$87:$J$123,0)))*CPIc*PPPt.w3</f>
        <v>0</v>
      </c>
      <c r="AT264" s="1">
        <f>ABS(INDEX(Założenia!$O$87:$O$123,MATCH(AT$1,Założenia!$J$87:$J$123,0)))*CPIc*PPPt.w3</f>
        <v>0</v>
      </c>
      <c r="AU264" s="1">
        <f>ABS(INDEX(Założenia!$O$87:$O$123,MATCH(AU$1,Założenia!$J$87:$J$123,0)))*CPIc*PPPt.w3</f>
        <v>0</v>
      </c>
      <c r="AV264" s="1">
        <f>ABS(INDEX(Założenia!$O$87:$O$123,MATCH(AV$1,Założenia!$J$87:$J$123,0)))*CPIc*PPPt.w3</f>
        <v>0</v>
      </c>
      <c r="AW264" s="1">
        <f>ABS(INDEX(Założenia!$O$87:$O$123,MATCH(AW$1,Założenia!$J$87:$J$123,0)))*CPIc*PPPt.w3</f>
        <v>0</v>
      </c>
      <c r="AX264" s="1">
        <f>ABS(INDEX(Założenia!$O$87:$O$123,MATCH(AX$1,Założenia!$J$87:$J$123,0)))*CPIc*PPPt.w3</f>
        <v>0</v>
      </c>
      <c r="AY264" s="1">
        <f>ABS(INDEX(Założenia!$O$87:$O$123,MATCH(AY$1,Założenia!$J$87:$J$123,0)))*CPIc*PPPt.w3</f>
        <v>0</v>
      </c>
      <c r="AZ264" s="1">
        <f>ABS(INDEX(Założenia!$O$87:$O$123,MATCH(AZ$1,Założenia!$J$87:$J$123,0)))*CPIc*PPPt.w3</f>
        <v>0</v>
      </c>
      <c r="BA264" s="74">
        <f>ABS(INDEX(Założenia!$O$87:$O$123,MATCH(BA$1,Założenia!$J$87:$J$123,0)))*CPIc*PPPt.w3</f>
        <v>0</v>
      </c>
    </row>
    <row r="265" spans="1:53" ht="15.75" hidden="1" customHeight="1" outlineLevel="1" x14ac:dyDescent="0.35">
      <c r="A265" s="5"/>
      <c r="B265" s="5"/>
      <c r="C265" s="5" t="s">
        <v>141</v>
      </c>
      <c r="E265" s="5"/>
      <c r="F265" s="5"/>
      <c r="G265" s="5"/>
      <c r="H265" s="5"/>
      <c r="I265" s="5"/>
      <c r="J265" s="5"/>
      <c r="K265" s="5"/>
      <c r="N265" s="1">
        <f t="shared" si="69"/>
        <v>0</v>
      </c>
      <c r="Q265" s="1">
        <f>-ABS(INDEX(Założenia!$O$126:$O$162,MATCH(Q$1,Założenia!$J$126:$J$162,0)))*CPIc*PPPt.w3</f>
        <v>0</v>
      </c>
      <c r="R265" s="1">
        <f>-ABS(INDEX(Założenia!$O$126:$O$162,MATCH(R$1,Założenia!$J$126:$J$162,0)))*CPIc*PPPt.w3</f>
        <v>0</v>
      </c>
      <c r="S265" s="1">
        <f>-ABS(INDEX(Założenia!$O$126:$O$162,MATCH(S$1,Założenia!$J$126:$J$162,0)))*CPIc*PPPt.w3</f>
        <v>0</v>
      </c>
      <c r="T265" s="1">
        <f>-ABS(INDEX(Założenia!$O$126:$O$162,MATCH(T$1,Założenia!$J$126:$J$162,0)))*CPIc*PPPt.w3</f>
        <v>0</v>
      </c>
      <c r="U265" s="1">
        <f>-ABS(INDEX(Założenia!$O$126:$O$162,MATCH(U$1,Założenia!$J$126:$J$162,0)))*CPIc*PPPt.w3</f>
        <v>0</v>
      </c>
      <c r="V265" s="1">
        <f>-ABS(INDEX(Założenia!$O$126:$O$162,MATCH(V$1,Założenia!$J$126:$J$162,0)))*CPIc*PPPt.w3</f>
        <v>0</v>
      </c>
      <c r="W265" s="1">
        <f>-ABS(INDEX(Założenia!$O$126:$O$162,MATCH(W$1,Założenia!$J$126:$J$162,0)))*CPIc*PPPt.w3</f>
        <v>0</v>
      </c>
      <c r="X265" s="1">
        <f>-ABS(INDEX(Założenia!$O$126:$O$162,MATCH(X$1,Założenia!$J$126:$J$162,0)))*CPIc*PPPt.w3</f>
        <v>0</v>
      </c>
      <c r="Y265" s="1">
        <f>-ABS(INDEX(Założenia!$O$126:$O$162,MATCH(Y$1,Założenia!$J$126:$J$162,0)))*CPIc*PPPt.w3</f>
        <v>0</v>
      </c>
      <c r="Z265" s="1">
        <f>-ABS(INDEX(Założenia!$O$126:$O$162,MATCH(Z$1,Założenia!$J$126:$J$162,0)))*CPIc*PPPt.w3</f>
        <v>0</v>
      </c>
      <c r="AA265" s="1">
        <f>-ABS(INDEX(Założenia!$O$126:$O$162,MATCH(AA$1,Założenia!$J$126:$J$162,0)))*CPIc*PPPt.w3</f>
        <v>0</v>
      </c>
      <c r="AB265" s="1">
        <f>-ABS(INDEX(Założenia!$O$126:$O$162,MATCH(AB$1,Założenia!$J$126:$J$162,0)))*CPIc*PPPt.w3</f>
        <v>0</v>
      </c>
      <c r="AC265" s="1">
        <f>-ABS(INDEX(Założenia!$O$126:$O$162,MATCH(AC$1,Założenia!$J$126:$J$162,0)))*CPIc*PPPt.w3</f>
        <v>0</v>
      </c>
      <c r="AD265" s="1">
        <f>-ABS(INDEX(Założenia!$O$126:$O$162,MATCH(AD$1,Założenia!$J$126:$J$162,0)))*CPIc*PPPt.w3</f>
        <v>0</v>
      </c>
      <c r="AE265" s="1">
        <f>-ABS(INDEX(Założenia!$O$126:$O$162,MATCH(AE$1,Założenia!$J$126:$J$162,0)))*CPIc*PPPt.w3</f>
        <v>0</v>
      </c>
      <c r="AF265" s="1">
        <f>-ABS(INDEX(Założenia!$O$126:$O$162,MATCH(AF$1,Założenia!$J$126:$J$162,0)))*CPIc*PPPt.w3</f>
        <v>0</v>
      </c>
      <c r="AG265" s="1">
        <f>-ABS(INDEX(Założenia!$O$126:$O$162,MATCH(AG$1,Założenia!$J$126:$J$162,0)))*CPIc*PPPt.w3</f>
        <v>0</v>
      </c>
      <c r="AH265" s="1">
        <f>-ABS(INDEX(Założenia!$O$126:$O$162,MATCH(AH$1,Założenia!$J$126:$J$162,0)))*CPIc*PPPt.w3</f>
        <v>0</v>
      </c>
      <c r="AI265" s="1">
        <f>-ABS(INDEX(Założenia!$O$126:$O$162,MATCH(AI$1,Założenia!$J$126:$J$162,0)))*CPIc*PPPt.w3</f>
        <v>0</v>
      </c>
      <c r="AJ265" s="1">
        <f>-ABS(INDEX(Założenia!$O$126:$O$162,MATCH(AJ$1,Założenia!$J$126:$J$162,0)))*CPIc*PPPt.w3</f>
        <v>0</v>
      </c>
      <c r="AK265" s="1">
        <f>-ABS(INDEX(Założenia!$O$126:$O$162,MATCH(AK$1,Założenia!$J$126:$J$162,0)))*CPIc*PPPt.w3</f>
        <v>0</v>
      </c>
      <c r="AL265" s="1">
        <f>-ABS(INDEX(Założenia!$O$126:$O$162,MATCH(AL$1,Założenia!$J$126:$J$162,0)))*CPIc*PPPt.w3</f>
        <v>0</v>
      </c>
      <c r="AM265" s="1">
        <f>-ABS(INDEX(Założenia!$O$126:$O$162,MATCH(AM$1,Założenia!$J$126:$J$162,0)))*CPIc*PPPt.w3</f>
        <v>0</v>
      </c>
      <c r="AN265" s="1">
        <f>-ABS(INDEX(Założenia!$O$126:$O$162,MATCH(AN$1,Założenia!$J$126:$J$162,0)))*CPIc*PPPt.w3</f>
        <v>0</v>
      </c>
      <c r="AO265" s="1">
        <f>-ABS(INDEX(Założenia!$O$126:$O$162,MATCH(AO$1,Założenia!$J$126:$J$162,0)))*CPIc*PPPt.w3</f>
        <v>0</v>
      </c>
      <c r="AP265" s="1">
        <f>-ABS(INDEX(Założenia!$O$126:$O$162,MATCH(AP$1,Założenia!$J$126:$J$162,0)))*CPIc*PPPt.w3</f>
        <v>0</v>
      </c>
      <c r="AQ265" s="1">
        <f>-ABS(INDEX(Założenia!$O$126:$O$162,MATCH(AQ$1,Założenia!$J$126:$J$162,0)))*CPIc*PPPt.w3</f>
        <v>0</v>
      </c>
      <c r="AR265" s="1">
        <f>-ABS(INDEX(Założenia!$O$126:$O$162,MATCH(AR$1,Założenia!$J$126:$J$162,0)))*CPIc*PPPt.w3</f>
        <v>0</v>
      </c>
      <c r="AS265" s="1">
        <f>-ABS(INDEX(Założenia!$O$126:$O$162,MATCH(AS$1,Założenia!$J$126:$J$162,0)))*CPIc*PPPt.w3</f>
        <v>0</v>
      </c>
      <c r="AT265" s="1">
        <f>-ABS(INDEX(Założenia!$O$126:$O$162,MATCH(AT$1,Założenia!$J$126:$J$162,0)))*CPIc*PPPt.w3</f>
        <v>0</v>
      </c>
      <c r="AU265" s="1">
        <f>-ABS(INDEX(Założenia!$O$126:$O$162,MATCH(AU$1,Założenia!$J$126:$J$162,0)))*CPIc*PPPt.w3</f>
        <v>0</v>
      </c>
      <c r="AV265" s="1">
        <f>-ABS(INDEX(Założenia!$O$126:$O$162,MATCH(AV$1,Założenia!$J$126:$J$162,0)))*CPIc*PPPt.w3</f>
        <v>0</v>
      </c>
      <c r="AW265" s="1">
        <f>-ABS(INDEX(Założenia!$O$126:$O$162,MATCH(AW$1,Założenia!$J$126:$J$162,0)))*CPIc*PPPt.w3</f>
        <v>0</v>
      </c>
      <c r="AX265" s="1">
        <f>-ABS(INDEX(Założenia!$O$126:$O$162,MATCH(AX$1,Założenia!$J$126:$J$162,0)))*CPIc*PPPt.w3</f>
        <v>0</v>
      </c>
      <c r="AY265" s="1">
        <f>-ABS(INDEX(Założenia!$O$126:$O$162,MATCH(AY$1,Założenia!$J$126:$J$162,0)))*CPIc*PPPt.w3</f>
        <v>0</v>
      </c>
      <c r="AZ265" s="1">
        <f>-ABS(INDEX(Założenia!$O$126:$O$162,MATCH(AZ$1,Założenia!$J$126:$J$162,0)))*CPIc*PPPt.w3</f>
        <v>0</v>
      </c>
      <c r="BA265" s="74">
        <f>-ABS(INDEX(Założenia!$O$126:$O$162,MATCH(BA$1,Założenia!$J$126:$J$162,0)))*CPIc*PPPt.w3</f>
        <v>0</v>
      </c>
    </row>
    <row r="266" spans="1:53" ht="14.5" hidden="1" collapsed="1" x14ac:dyDescent="0.35"/>
    <row r="268" spans="1:53" s="95" customFormat="1" hidden="1" outlineLevel="1" thickBot="1" x14ac:dyDescent="0.4">
      <c r="A268" s="94" t="s">
        <v>233</v>
      </c>
      <c r="B268" s="94"/>
      <c r="C268" s="94"/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O268" s="94"/>
      <c r="P268" s="94"/>
      <c r="Q268" s="94"/>
      <c r="R268" s="94"/>
      <c r="S268" s="94"/>
      <c r="T268" s="94"/>
      <c r="U268" s="94"/>
      <c r="V268" s="94"/>
      <c r="W268" s="94"/>
      <c r="X268" s="94"/>
      <c r="Y268" s="94"/>
      <c r="Z268" s="94"/>
      <c r="AA268" s="94"/>
      <c r="AB268" s="94"/>
      <c r="AC268" s="94"/>
      <c r="AD268" s="94"/>
      <c r="AE268" s="94"/>
      <c r="AF268" s="94"/>
      <c r="AG268" s="94"/>
      <c r="AH268" s="94"/>
      <c r="AI268" s="94"/>
      <c r="AJ268" s="94"/>
      <c r="AK268" s="94"/>
      <c r="AL268" s="94"/>
      <c r="AM268" s="94"/>
      <c r="AN268" s="94"/>
      <c r="AO268" s="94"/>
      <c r="AP268" s="94"/>
      <c r="AQ268" s="94"/>
      <c r="AR268" s="94"/>
      <c r="AS268" s="94"/>
      <c r="AT268" s="94"/>
      <c r="AU268" s="94"/>
      <c r="AV268" s="94"/>
      <c r="AW268" s="94"/>
      <c r="AX268" s="94"/>
      <c r="AY268" s="94"/>
      <c r="AZ268" s="94"/>
      <c r="BA268" s="94"/>
    </row>
    <row r="269" spans="1:53" ht="14.5" hidden="1" collapsed="1" x14ac:dyDescent="0.35"/>
  </sheetData>
  <sheetProtection algorithmName="SHA-512" hashValue="4p92hUS6QI5kjU7ZxX+eFWMdMDu9AjaFBcFbWId3+20mp1VYgAXTOfnULjWdUjBKrKCzTXRSR1C6TNd1JHh7yw==" saltValue="S+TalAB/KfTjDBqjmIfmbQ==" spinCount="100000" sheet="1" objects="1" scenarios="1"/>
  <mergeCells count="2">
    <mergeCell ref="B8:G8"/>
    <mergeCell ref="B9:G9"/>
  </mergeCells>
  <dataValidations count="2">
    <dataValidation type="list" allowBlank="1" showInputMessage="1" showErrorMessage="1" sqref="I9" xr:uid="{B8A85213-05B8-4B26-908C-8427619FC27D}">
      <formula1>"0,1,2,3"</formula1>
    </dataValidation>
    <dataValidation type="list" allowBlank="1" showInputMessage="1" showErrorMessage="1" sqref="I8" xr:uid="{CC27DB60-1C41-41DC-87AB-EF4C9F11BFAD}">
      <formula1>"1,2,3"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879C2-DEEE-4FCE-9554-DAB80EED4484}">
  <sheetPr codeName="Sheet3">
    <tabColor rgb="FF475493"/>
  </sheetPr>
  <dimension ref="A1:BB211"/>
  <sheetViews>
    <sheetView zoomScale="70" zoomScaleNormal="70" workbookViewId="0">
      <pane xSplit="15" ySplit="2" topLeftCell="P3" activePane="bottomRight" state="frozen"/>
      <selection activeCell="L41" sqref="L41"/>
      <selection pane="topRight" activeCell="L41" sqref="L41"/>
      <selection pane="bottomLeft" activeCell="L41" sqref="L41"/>
      <selection pane="bottomRight"/>
    </sheetView>
  </sheetViews>
  <sheetFormatPr defaultColWidth="0" defaultRowHeight="14.5" zeroHeight="1" outlineLevelRow="1" x14ac:dyDescent="0.35"/>
  <cols>
    <col min="1" max="1" width="2.81640625" style="2" customWidth="1"/>
    <col min="2" max="2" width="1.81640625" style="2" customWidth="1"/>
    <col min="3" max="5" width="3.453125" style="2" customWidth="1"/>
    <col min="6" max="11" width="9.1796875" style="2" customWidth="1"/>
    <col min="12" max="12" width="15.1796875" style="2" customWidth="1"/>
    <col min="13" max="13" width="12.81640625" style="2" bestFit="1" customWidth="1"/>
    <col min="14" max="14" width="16" style="2" customWidth="1"/>
    <col min="15" max="15" width="3.26953125" style="2" customWidth="1"/>
    <col min="16" max="16" width="9.1796875" style="2" customWidth="1"/>
    <col min="17" max="53" width="14.7265625" style="2" customWidth="1"/>
    <col min="54" max="54" width="9.1796875" hidden="1" customWidth="1"/>
    <col min="55" max="16384" width="9.1796875" hidden="1"/>
  </cols>
  <sheetData>
    <row r="1" spans="1:54" ht="15.75" customHeight="1" x14ac:dyDescent="0.35">
      <c r="A1" s="32" t="s">
        <v>128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 t="s">
        <v>0</v>
      </c>
      <c r="N1" s="35"/>
      <c r="O1" s="35"/>
      <c r="P1" s="35"/>
      <c r="Q1" s="35">
        <f>'zakładka techniczna'!Q1</f>
        <v>2024</v>
      </c>
      <c r="R1" s="35">
        <f>'zakładka techniczna'!R1</f>
        <v>2025</v>
      </c>
      <c r="S1" s="35">
        <f>'zakładka techniczna'!S1</f>
        <v>2026</v>
      </c>
      <c r="T1" s="35">
        <f>'zakładka techniczna'!T1</f>
        <v>2027</v>
      </c>
      <c r="U1" s="35">
        <f>'zakładka techniczna'!U1</f>
        <v>2028</v>
      </c>
      <c r="V1" s="35">
        <f>'zakładka techniczna'!V1</f>
        <v>2029</v>
      </c>
      <c r="W1" s="35">
        <f>'zakładka techniczna'!W1</f>
        <v>2030</v>
      </c>
      <c r="X1" s="35">
        <f>'zakładka techniczna'!X1</f>
        <v>2031</v>
      </c>
      <c r="Y1" s="35">
        <f>'zakładka techniczna'!Y1</f>
        <v>2032</v>
      </c>
      <c r="Z1" s="35">
        <f>'zakładka techniczna'!Z1</f>
        <v>2033</v>
      </c>
      <c r="AA1" s="35">
        <f>'zakładka techniczna'!AA1</f>
        <v>2034</v>
      </c>
      <c r="AB1" s="35">
        <f>'zakładka techniczna'!AB1</f>
        <v>2035</v>
      </c>
      <c r="AC1" s="35">
        <f>'zakładka techniczna'!AC1</f>
        <v>2036</v>
      </c>
      <c r="AD1" s="35">
        <f>'zakładka techniczna'!AD1</f>
        <v>2037</v>
      </c>
      <c r="AE1" s="35">
        <f>'zakładka techniczna'!AE1</f>
        <v>2038</v>
      </c>
      <c r="AF1" s="35">
        <f>'zakładka techniczna'!AF1</f>
        <v>2039</v>
      </c>
      <c r="AG1" s="35">
        <f>'zakładka techniczna'!AG1</f>
        <v>2040</v>
      </c>
      <c r="AH1" s="35">
        <f>'zakładka techniczna'!AH1</f>
        <v>2041</v>
      </c>
      <c r="AI1" s="35">
        <f>'zakładka techniczna'!AI1</f>
        <v>2042</v>
      </c>
      <c r="AJ1" s="35">
        <f>'zakładka techniczna'!AJ1</f>
        <v>2043</v>
      </c>
      <c r="AK1" s="35">
        <f>'zakładka techniczna'!AK1</f>
        <v>2044</v>
      </c>
      <c r="AL1" s="35">
        <f>'zakładka techniczna'!AL1</f>
        <v>2045</v>
      </c>
      <c r="AM1" s="35">
        <f>'zakładka techniczna'!AM1</f>
        <v>2046</v>
      </c>
      <c r="AN1" s="35">
        <f>'zakładka techniczna'!AN1</f>
        <v>2047</v>
      </c>
      <c r="AO1" s="35">
        <f>'zakładka techniczna'!AO1</f>
        <v>2048</v>
      </c>
      <c r="AP1" s="35">
        <f>'zakładka techniczna'!AP1</f>
        <v>2049</v>
      </c>
      <c r="AQ1" s="35">
        <f>'zakładka techniczna'!AQ1</f>
        <v>2050</v>
      </c>
      <c r="AR1" s="35">
        <f>'zakładka techniczna'!AR1</f>
        <v>2051</v>
      </c>
      <c r="AS1" s="35">
        <f>'zakładka techniczna'!AS1</f>
        <v>2052</v>
      </c>
      <c r="AT1" s="35">
        <f>'zakładka techniczna'!AT1</f>
        <v>2053</v>
      </c>
      <c r="AU1" s="35">
        <f>'zakładka techniczna'!AU1</f>
        <v>2054</v>
      </c>
      <c r="AV1" s="35">
        <f>'zakładka techniczna'!AV1</f>
        <v>2055</v>
      </c>
      <c r="AW1" s="35">
        <f>'zakładka techniczna'!AW1</f>
        <v>2056</v>
      </c>
      <c r="AX1" s="35">
        <f>'zakładka techniczna'!AX1</f>
        <v>2057</v>
      </c>
      <c r="AY1" s="35">
        <f>'zakładka techniczna'!AY1</f>
        <v>2058</v>
      </c>
      <c r="AZ1" s="35">
        <f>'zakładka techniczna'!AZ1</f>
        <v>2059</v>
      </c>
      <c r="BA1" s="35">
        <f>'zakładka techniczna'!BA1</f>
        <v>2060</v>
      </c>
      <c r="BB1" s="42"/>
    </row>
    <row r="2" spans="1:54" ht="15.75" customHeight="1" collapsed="1" x14ac:dyDescent="0.35">
      <c r="A2" s="32" t="s">
        <v>129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 t="s">
        <v>112</v>
      </c>
      <c r="N2" s="66" t="str">
        <f>Założenia!$I$7</f>
        <v>PLN</v>
      </c>
      <c r="O2" s="33"/>
      <c r="P2" s="35"/>
      <c r="Q2" s="41" t="str">
        <f>'zakładka techniczna'!Q48</f>
        <v/>
      </c>
      <c r="R2" s="41" t="str">
        <f>'zakładka techniczna'!R48</f>
        <v>Projektowanie</v>
      </c>
      <c r="S2" s="41" t="str">
        <f>'zakładka techniczna'!S48</f>
        <v>Budowa</v>
      </c>
      <c r="T2" s="41" t="str">
        <f>'zakładka techniczna'!T48</f>
        <v>Eksploatacja</v>
      </c>
      <c r="U2" s="41" t="str">
        <f>'zakładka techniczna'!U48</f>
        <v/>
      </c>
      <c r="V2" s="41" t="str">
        <f>'zakładka techniczna'!V48</f>
        <v/>
      </c>
      <c r="W2" s="41" t="str">
        <f>'zakładka techniczna'!W48</f>
        <v/>
      </c>
      <c r="X2" s="41" t="str">
        <f>'zakładka techniczna'!X48</f>
        <v/>
      </c>
      <c r="Y2" s="41" t="str">
        <f>'zakładka techniczna'!Y48</f>
        <v/>
      </c>
      <c r="Z2" s="41" t="str">
        <f>'zakładka techniczna'!Z48</f>
        <v/>
      </c>
      <c r="AA2" s="41" t="str">
        <f>'zakładka techniczna'!AA48</f>
        <v/>
      </c>
      <c r="AB2" s="41" t="str">
        <f>'zakładka techniczna'!AB48</f>
        <v/>
      </c>
      <c r="AC2" s="41" t="str">
        <f>'zakładka techniczna'!AC48</f>
        <v/>
      </c>
      <c r="AD2" s="41" t="str">
        <f>'zakładka techniczna'!AD48</f>
        <v/>
      </c>
      <c r="AE2" s="41" t="str">
        <f>'zakładka techniczna'!AE48</f>
        <v/>
      </c>
      <c r="AF2" s="41" t="str">
        <f>'zakładka techniczna'!AF48</f>
        <v/>
      </c>
      <c r="AG2" s="41" t="str">
        <f>'zakładka techniczna'!AG48</f>
        <v/>
      </c>
      <c r="AH2" s="41" t="str">
        <f>'zakładka techniczna'!AH48</f>
        <v/>
      </c>
      <c r="AI2" s="41" t="str">
        <f>'zakładka techniczna'!AI48</f>
        <v/>
      </c>
      <c r="AJ2" s="41" t="str">
        <f>'zakładka techniczna'!AJ48</f>
        <v/>
      </c>
      <c r="AK2" s="41" t="str">
        <f>'zakładka techniczna'!AK48</f>
        <v/>
      </c>
      <c r="AL2" s="41" t="str">
        <f>'zakładka techniczna'!AL48</f>
        <v/>
      </c>
      <c r="AM2" s="41" t="str">
        <f>'zakładka techniczna'!AM48</f>
        <v/>
      </c>
      <c r="AN2" s="41" t="str">
        <f>'zakładka techniczna'!AN48</f>
        <v/>
      </c>
      <c r="AO2" s="41" t="str">
        <f>'zakładka techniczna'!AO48</f>
        <v/>
      </c>
      <c r="AP2" s="41" t="str">
        <f>'zakładka techniczna'!AP48</f>
        <v/>
      </c>
      <c r="AQ2" s="41" t="str">
        <f>'zakładka techniczna'!AQ48</f>
        <v/>
      </c>
      <c r="AR2" s="41" t="str">
        <f>'zakładka techniczna'!AR48</f>
        <v/>
      </c>
      <c r="AS2" s="41" t="str">
        <f>'zakładka techniczna'!AS48</f>
        <v/>
      </c>
      <c r="AT2" s="41" t="str">
        <f>'zakładka techniczna'!AT48</f>
        <v/>
      </c>
      <c r="AU2" s="41" t="str">
        <f>'zakładka techniczna'!AU48</f>
        <v/>
      </c>
      <c r="AV2" s="41" t="str">
        <f>'zakładka techniczna'!AV48</f>
        <v/>
      </c>
      <c r="AW2" s="41" t="str">
        <f>'zakładka techniczna'!AW48</f>
        <v/>
      </c>
      <c r="AX2" s="41" t="str">
        <f>'zakładka techniczna'!AX48</f>
        <v/>
      </c>
      <c r="AY2" s="41" t="str">
        <f>'zakładka techniczna'!AY48</f>
        <v/>
      </c>
      <c r="AZ2" s="41" t="str">
        <f>'zakładka techniczna'!AZ48</f>
        <v/>
      </c>
      <c r="BA2" s="41" t="str">
        <f>'zakładka techniczna'!BA48</f>
        <v/>
      </c>
      <c r="BB2" s="43"/>
    </row>
    <row r="3" spans="1:54" x14ac:dyDescent="0.35"/>
    <row r="4" spans="1:54" ht="15" thickBot="1" x14ac:dyDescent="0.4">
      <c r="A4" s="44" t="s">
        <v>62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5"/>
    </row>
    <row r="5" spans="1:54" ht="15" thickTop="1" x14ac:dyDescent="0.35"/>
    <row r="6" spans="1:54" ht="15.75" customHeight="1" x14ac:dyDescent="0.35">
      <c r="A6" s="3" t="s">
        <v>4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4">
        <f>SUM(Q6:BA6)</f>
        <v>0</v>
      </c>
      <c r="O6" s="3"/>
      <c r="P6" s="3"/>
      <c r="Q6" s="4">
        <f t="shared" ref="Q6:BA6" si="0">SUM(Q7:Q9)</f>
        <v>0</v>
      </c>
      <c r="R6" s="4">
        <f t="shared" si="0"/>
        <v>0</v>
      </c>
      <c r="S6" s="4">
        <f t="shared" si="0"/>
        <v>0</v>
      </c>
      <c r="T6" s="4">
        <f t="shared" si="0"/>
        <v>0</v>
      </c>
      <c r="U6" s="4">
        <f t="shared" si="0"/>
        <v>0</v>
      </c>
      <c r="V6" s="4">
        <f t="shared" si="0"/>
        <v>0</v>
      </c>
      <c r="W6" s="4">
        <f t="shared" si="0"/>
        <v>0</v>
      </c>
      <c r="X6" s="4">
        <f t="shared" si="0"/>
        <v>0</v>
      </c>
      <c r="Y6" s="4">
        <f t="shared" si="0"/>
        <v>0</v>
      </c>
      <c r="Z6" s="4">
        <f t="shared" si="0"/>
        <v>0</v>
      </c>
      <c r="AA6" s="4">
        <f t="shared" si="0"/>
        <v>0</v>
      </c>
      <c r="AB6" s="4">
        <f t="shared" si="0"/>
        <v>0</v>
      </c>
      <c r="AC6" s="4">
        <f t="shared" si="0"/>
        <v>0</v>
      </c>
      <c r="AD6" s="4">
        <f t="shared" si="0"/>
        <v>0</v>
      </c>
      <c r="AE6" s="4">
        <f t="shared" si="0"/>
        <v>0</v>
      </c>
      <c r="AF6" s="4">
        <f t="shared" si="0"/>
        <v>0</v>
      </c>
      <c r="AG6" s="4">
        <f t="shared" si="0"/>
        <v>0</v>
      </c>
      <c r="AH6" s="4">
        <f t="shared" si="0"/>
        <v>0</v>
      </c>
      <c r="AI6" s="4">
        <f t="shared" si="0"/>
        <v>0</v>
      </c>
      <c r="AJ6" s="4">
        <f t="shared" si="0"/>
        <v>0</v>
      </c>
      <c r="AK6" s="4">
        <f t="shared" si="0"/>
        <v>0</v>
      </c>
      <c r="AL6" s="4">
        <f t="shared" si="0"/>
        <v>0</v>
      </c>
      <c r="AM6" s="4">
        <f t="shared" si="0"/>
        <v>0</v>
      </c>
      <c r="AN6" s="4">
        <f t="shared" si="0"/>
        <v>0</v>
      </c>
      <c r="AO6" s="4">
        <f t="shared" si="0"/>
        <v>0</v>
      </c>
      <c r="AP6" s="4">
        <f t="shared" si="0"/>
        <v>0</v>
      </c>
      <c r="AQ6" s="4">
        <f t="shared" si="0"/>
        <v>0</v>
      </c>
      <c r="AR6" s="4">
        <f t="shared" si="0"/>
        <v>0</v>
      </c>
      <c r="AS6" s="4">
        <f t="shared" si="0"/>
        <v>0</v>
      </c>
      <c r="AT6" s="4">
        <f t="shared" si="0"/>
        <v>0</v>
      </c>
      <c r="AU6" s="4">
        <f t="shared" si="0"/>
        <v>0</v>
      </c>
      <c r="AV6" s="4">
        <f t="shared" si="0"/>
        <v>0</v>
      </c>
      <c r="AW6" s="4">
        <f t="shared" si="0"/>
        <v>0</v>
      </c>
      <c r="AX6" s="4">
        <f t="shared" si="0"/>
        <v>0</v>
      </c>
      <c r="AY6" s="4">
        <f t="shared" si="0"/>
        <v>0</v>
      </c>
      <c r="AZ6" s="4">
        <f t="shared" si="0"/>
        <v>0</v>
      </c>
      <c r="BA6" s="4">
        <f t="shared" si="0"/>
        <v>0</v>
      </c>
    </row>
    <row r="7" spans="1:54" ht="15.75" customHeight="1" x14ac:dyDescent="0.35">
      <c r="A7" s="5"/>
      <c r="B7" s="5" t="s">
        <v>1</v>
      </c>
      <c r="C7" s="5"/>
      <c r="D7" s="5"/>
      <c r="E7" s="5"/>
      <c r="F7" s="5"/>
      <c r="G7" s="5"/>
      <c r="H7" s="5"/>
      <c r="I7" s="5"/>
      <c r="J7" s="5"/>
      <c r="K7" s="5"/>
      <c r="L7" s="5"/>
      <c r="N7" s="1">
        <f>SUM(Q7:BA7)</f>
        <v>0</v>
      </c>
      <c r="O7" s="5"/>
      <c r="Q7" s="1">
        <f>SUM($Q$66:Q66)*OBk.w1</f>
        <v>0</v>
      </c>
      <c r="R7" s="1">
        <f>SUM($Q$66:R66)*OBk.w1</f>
        <v>0</v>
      </c>
      <c r="S7" s="1">
        <f>SUM($Q$66:S66)*OBk.w1</f>
        <v>0</v>
      </c>
      <c r="T7" s="1">
        <f>SUM($Q$66:T66)*OBk.w1</f>
        <v>0</v>
      </c>
      <c r="U7" s="1">
        <f>SUM($Q$66:U66)*OBk.w1</f>
        <v>0</v>
      </c>
      <c r="V7" s="1">
        <f>SUM($Q$66:V66)*OBk.w1</f>
        <v>0</v>
      </c>
      <c r="W7" s="1">
        <f>SUM($Q$66:W66)*OBk.w1</f>
        <v>0</v>
      </c>
      <c r="X7" s="1">
        <f>SUM($Q$66:X66)*OBk.w1</f>
        <v>0</v>
      </c>
      <c r="Y7" s="1">
        <f>SUM($Q$66:Y66)*OBk.w1</f>
        <v>0</v>
      </c>
      <c r="Z7" s="1">
        <f>SUM($Q$66:Z66)*OBk.w1</f>
        <v>0</v>
      </c>
      <c r="AA7" s="1">
        <f>SUM($Q$66:AA66)*OBk.w1</f>
        <v>0</v>
      </c>
      <c r="AB7" s="1">
        <f>SUM($Q$66:AB66)*OBk.w1</f>
        <v>0</v>
      </c>
      <c r="AC7" s="1">
        <f>SUM($Q$66:AC66)*OBk.w1</f>
        <v>0</v>
      </c>
      <c r="AD7" s="1">
        <f>SUM($Q$66:AD66)*OBk.w1</f>
        <v>0</v>
      </c>
      <c r="AE7" s="1">
        <f>SUM($Q$66:AE66)*OBk.w1</f>
        <v>0</v>
      </c>
      <c r="AF7" s="1">
        <f>SUM($Q$66:AF66)*OBk.w1</f>
        <v>0</v>
      </c>
      <c r="AG7" s="1">
        <f>SUM($Q$66:AG66)*OBk.w1</f>
        <v>0</v>
      </c>
      <c r="AH7" s="1">
        <f>SUM($Q$66:AH66)*OBk.w1</f>
        <v>0</v>
      </c>
      <c r="AI7" s="1">
        <f>SUM($Q$66:AI66)*OBk.w1</f>
        <v>0</v>
      </c>
      <c r="AJ7" s="1">
        <f>SUM($Q$66:AJ66)*OBk.w1</f>
        <v>0</v>
      </c>
      <c r="AK7" s="1">
        <f>SUM($Q$66:AK66)*OBk.w1</f>
        <v>0</v>
      </c>
      <c r="AL7" s="1">
        <f>SUM($Q$66:AL66)*OBk.w1</f>
        <v>0</v>
      </c>
      <c r="AM7" s="1">
        <f>SUM($Q$66:AM66)*OBk.w1</f>
        <v>0</v>
      </c>
      <c r="AN7" s="1">
        <f>SUM($Q$66:AN66)*OBk.w1</f>
        <v>0</v>
      </c>
      <c r="AO7" s="1">
        <f>SUM($Q$66:AO66)*OBk.w1</f>
        <v>0</v>
      </c>
      <c r="AP7" s="1">
        <f>SUM($Q$66:AP66)*OBk.w1</f>
        <v>0</v>
      </c>
      <c r="AQ7" s="1">
        <f>SUM($Q$66:AQ66)*OBk.w1</f>
        <v>0</v>
      </c>
      <c r="AR7" s="1">
        <f>SUM($Q$66:AR66)*OBk.w1</f>
        <v>0</v>
      </c>
      <c r="AS7" s="1">
        <f>SUM($Q$66:AS66)*OBk.w1</f>
        <v>0</v>
      </c>
      <c r="AT7" s="1">
        <f>SUM($Q$66:AT66)*OBk.w1</f>
        <v>0</v>
      </c>
      <c r="AU7" s="1">
        <f>SUM($Q$66:AU66)*OBk.w1</f>
        <v>0</v>
      </c>
      <c r="AV7" s="1">
        <f>SUM($Q$66:AV66)*OBk.w1</f>
        <v>0</v>
      </c>
      <c r="AW7" s="1">
        <f>SUM($Q$66:AW66)*OBk.w1</f>
        <v>0</v>
      </c>
      <c r="AX7" s="1">
        <f>SUM($Q$66:AX66)*OBk.w1</f>
        <v>0</v>
      </c>
      <c r="AY7" s="1">
        <f>SUM($Q$66:AY66)*OBk.w1</f>
        <v>0</v>
      </c>
      <c r="AZ7" s="1">
        <f>SUM($Q$66:AZ66)*OBk.w1</f>
        <v>0</v>
      </c>
      <c r="BA7" s="1">
        <f>SUM($Q$66:BA66)*OBk.w1</f>
        <v>0</v>
      </c>
    </row>
    <row r="8" spans="1:54" ht="15.75" customHeight="1" x14ac:dyDescent="0.35">
      <c r="A8" s="5"/>
      <c r="B8" s="5" t="s">
        <v>3</v>
      </c>
      <c r="C8" s="5"/>
      <c r="D8" s="5"/>
      <c r="E8" s="5"/>
      <c r="F8" s="5"/>
      <c r="G8" s="5"/>
      <c r="H8" s="5"/>
      <c r="I8" s="5"/>
      <c r="J8" s="5"/>
      <c r="K8" s="5"/>
      <c r="L8" s="5"/>
      <c r="N8" s="1">
        <f>SUM(Q8:BA8)</f>
        <v>0</v>
      </c>
      <c r="O8" s="5"/>
      <c r="Q8" s="1">
        <f t="shared" ref="Q8:BA8" si="1">Q95</f>
        <v>0</v>
      </c>
      <c r="R8" s="1">
        <f t="shared" si="1"/>
        <v>0</v>
      </c>
      <c r="S8" s="1">
        <f t="shared" si="1"/>
        <v>0</v>
      </c>
      <c r="T8" s="1">
        <f t="shared" si="1"/>
        <v>0</v>
      </c>
      <c r="U8" s="1">
        <f t="shared" si="1"/>
        <v>0</v>
      </c>
      <c r="V8" s="1">
        <f t="shared" si="1"/>
        <v>0</v>
      </c>
      <c r="W8" s="1">
        <f t="shared" si="1"/>
        <v>0</v>
      </c>
      <c r="X8" s="1">
        <f t="shared" si="1"/>
        <v>0</v>
      </c>
      <c r="Y8" s="1">
        <f t="shared" si="1"/>
        <v>0</v>
      </c>
      <c r="Z8" s="1">
        <f t="shared" si="1"/>
        <v>0</v>
      </c>
      <c r="AA8" s="1">
        <f t="shared" si="1"/>
        <v>0</v>
      </c>
      <c r="AB8" s="1">
        <f t="shared" si="1"/>
        <v>0</v>
      </c>
      <c r="AC8" s="1">
        <f t="shared" si="1"/>
        <v>0</v>
      </c>
      <c r="AD8" s="1">
        <f t="shared" si="1"/>
        <v>0</v>
      </c>
      <c r="AE8" s="1">
        <f t="shared" si="1"/>
        <v>0</v>
      </c>
      <c r="AF8" s="1">
        <f t="shared" si="1"/>
        <v>0</v>
      </c>
      <c r="AG8" s="1">
        <f t="shared" si="1"/>
        <v>0</v>
      </c>
      <c r="AH8" s="1">
        <f t="shared" si="1"/>
        <v>0</v>
      </c>
      <c r="AI8" s="1">
        <f t="shared" si="1"/>
        <v>0</v>
      </c>
      <c r="AJ8" s="1">
        <f t="shared" si="1"/>
        <v>0</v>
      </c>
      <c r="AK8" s="1">
        <f t="shared" si="1"/>
        <v>0</v>
      </c>
      <c r="AL8" s="1">
        <f t="shared" si="1"/>
        <v>0</v>
      </c>
      <c r="AM8" s="1">
        <f t="shared" si="1"/>
        <v>0</v>
      </c>
      <c r="AN8" s="1">
        <f t="shared" si="1"/>
        <v>0</v>
      </c>
      <c r="AO8" s="1">
        <f t="shared" si="1"/>
        <v>0</v>
      </c>
      <c r="AP8" s="1">
        <f t="shared" si="1"/>
        <v>0</v>
      </c>
      <c r="AQ8" s="1">
        <f t="shared" si="1"/>
        <v>0</v>
      </c>
      <c r="AR8" s="1">
        <f t="shared" si="1"/>
        <v>0</v>
      </c>
      <c r="AS8" s="1">
        <f t="shared" si="1"/>
        <v>0</v>
      </c>
      <c r="AT8" s="1">
        <f t="shared" si="1"/>
        <v>0</v>
      </c>
      <c r="AU8" s="1">
        <f t="shared" si="1"/>
        <v>0</v>
      </c>
      <c r="AV8" s="1">
        <f t="shared" si="1"/>
        <v>0</v>
      </c>
      <c r="AW8" s="1">
        <f t="shared" si="1"/>
        <v>0</v>
      </c>
      <c r="AX8" s="1">
        <f t="shared" si="1"/>
        <v>0</v>
      </c>
      <c r="AY8" s="1">
        <f t="shared" si="1"/>
        <v>0</v>
      </c>
      <c r="AZ8" s="1">
        <f t="shared" si="1"/>
        <v>0</v>
      </c>
      <c r="BA8" s="1">
        <f t="shared" si="1"/>
        <v>0</v>
      </c>
    </row>
    <row r="9" spans="1:54" ht="15.75" customHeight="1" x14ac:dyDescent="0.35">
      <c r="A9" s="5"/>
      <c r="B9" s="5" t="s">
        <v>2</v>
      </c>
      <c r="C9" s="5"/>
      <c r="D9" s="5"/>
      <c r="E9" s="5"/>
      <c r="F9" s="5"/>
      <c r="G9" s="5"/>
      <c r="H9" s="5"/>
      <c r="I9" s="5"/>
      <c r="J9" s="5"/>
      <c r="K9" s="5"/>
      <c r="L9" s="5"/>
      <c r="N9" s="1">
        <f>SUM(Q9:BA9)</f>
        <v>0</v>
      </c>
      <c r="O9" s="5"/>
      <c r="Q9" s="1">
        <f t="shared" ref="Q9:BA9" si="2">Q98</f>
        <v>0</v>
      </c>
      <c r="R9" s="1">
        <f t="shared" si="2"/>
        <v>0</v>
      </c>
      <c r="S9" s="1">
        <f t="shared" si="2"/>
        <v>0</v>
      </c>
      <c r="T9" s="1">
        <f t="shared" si="2"/>
        <v>0</v>
      </c>
      <c r="U9" s="1">
        <f t="shared" si="2"/>
        <v>0</v>
      </c>
      <c r="V9" s="1">
        <f t="shared" si="2"/>
        <v>0</v>
      </c>
      <c r="W9" s="1">
        <f t="shared" si="2"/>
        <v>0</v>
      </c>
      <c r="X9" s="1">
        <f t="shared" si="2"/>
        <v>0</v>
      </c>
      <c r="Y9" s="1">
        <f t="shared" si="2"/>
        <v>0</v>
      </c>
      <c r="Z9" s="1">
        <f t="shared" si="2"/>
        <v>0</v>
      </c>
      <c r="AA9" s="1">
        <f t="shared" si="2"/>
        <v>0</v>
      </c>
      <c r="AB9" s="1">
        <f t="shared" si="2"/>
        <v>0</v>
      </c>
      <c r="AC9" s="1">
        <f t="shared" si="2"/>
        <v>0</v>
      </c>
      <c r="AD9" s="1">
        <f t="shared" si="2"/>
        <v>0</v>
      </c>
      <c r="AE9" s="1">
        <f t="shared" si="2"/>
        <v>0</v>
      </c>
      <c r="AF9" s="1">
        <f t="shared" si="2"/>
        <v>0</v>
      </c>
      <c r="AG9" s="1">
        <f t="shared" si="2"/>
        <v>0</v>
      </c>
      <c r="AH9" s="1">
        <f t="shared" si="2"/>
        <v>0</v>
      </c>
      <c r="AI9" s="1">
        <f t="shared" si="2"/>
        <v>0</v>
      </c>
      <c r="AJ9" s="1">
        <f t="shared" si="2"/>
        <v>0</v>
      </c>
      <c r="AK9" s="1">
        <f t="shared" si="2"/>
        <v>0</v>
      </c>
      <c r="AL9" s="1">
        <f t="shared" si="2"/>
        <v>0</v>
      </c>
      <c r="AM9" s="1">
        <f t="shared" si="2"/>
        <v>0</v>
      </c>
      <c r="AN9" s="1">
        <f t="shared" si="2"/>
        <v>0</v>
      </c>
      <c r="AO9" s="1">
        <f t="shared" si="2"/>
        <v>0</v>
      </c>
      <c r="AP9" s="1">
        <f t="shared" si="2"/>
        <v>0</v>
      </c>
      <c r="AQ9" s="1">
        <f t="shared" si="2"/>
        <v>0</v>
      </c>
      <c r="AR9" s="1">
        <f t="shared" si="2"/>
        <v>0</v>
      </c>
      <c r="AS9" s="1">
        <f t="shared" si="2"/>
        <v>0</v>
      </c>
      <c r="AT9" s="1">
        <f t="shared" si="2"/>
        <v>0</v>
      </c>
      <c r="AU9" s="1">
        <f t="shared" si="2"/>
        <v>0</v>
      </c>
      <c r="AV9" s="1">
        <f t="shared" si="2"/>
        <v>0</v>
      </c>
      <c r="AW9" s="1">
        <f t="shared" si="2"/>
        <v>0</v>
      </c>
      <c r="AX9" s="1">
        <f t="shared" si="2"/>
        <v>0</v>
      </c>
      <c r="AY9" s="1">
        <f t="shared" si="2"/>
        <v>0</v>
      </c>
      <c r="AZ9" s="1">
        <f t="shared" si="2"/>
        <v>0</v>
      </c>
      <c r="BA9" s="1">
        <f t="shared" si="2"/>
        <v>0</v>
      </c>
    </row>
    <row r="10" spans="1:54" x14ac:dyDescent="0.35"/>
    <row r="11" spans="1:54" ht="15.75" customHeight="1" x14ac:dyDescent="0.35">
      <c r="A11" s="3" t="s">
        <v>5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4">
        <f>SUM(Q11:BA11)</f>
        <v>0</v>
      </c>
      <c r="O11" s="3"/>
      <c r="P11" s="3"/>
      <c r="Q11" s="4">
        <f t="shared" ref="Q11:BA11" si="3">SUM(Q12:Q15)</f>
        <v>0</v>
      </c>
      <c r="R11" s="4">
        <f t="shared" si="3"/>
        <v>0</v>
      </c>
      <c r="S11" s="4">
        <f t="shared" si="3"/>
        <v>0</v>
      </c>
      <c r="T11" s="4">
        <f t="shared" si="3"/>
        <v>0</v>
      </c>
      <c r="U11" s="4">
        <f t="shared" si="3"/>
        <v>0</v>
      </c>
      <c r="V11" s="4">
        <f t="shared" si="3"/>
        <v>0</v>
      </c>
      <c r="W11" s="4">
        <f t="shared" si="3"/>
        <v>0</v>
      </c>
      <c r="X11" s="4">
        <f t="shared" si="3"/>
        <v>0</v>
      </c>
      <c r="Y11" s="4">
        <f t="shared" si="3"/>
        <v>0</v>
      </c>
      <c r="Z11" s="4">
        <f t="shared" si="3"/>
        <v>0</v>
      </c>
      <c r="AA11" s="4">
        <f t="shared" si="3"/>
        <v>0</v>
      </c>
      <c r="AB11" s="4">
        <f t="shared" si="3"/>
        <v>0</v>
      </c>
      <c r="AC11" s="4">
        <f t="shared" si="3"/>
        <v>0</v>
      </c>
      <c r="AD11" s="4">
        <f t="shared" si="3"/>
        <v>0</v>
      </c>
      <c r="AE11" s="4">
        <f t="shared" si="3"/>
        <v>0</v>
      </c>
      <c r="AF11" s="4">
        <f t="shared" si="3"/>
        <v>0</v>
      </c>
      <c r="AG11" s="4">
        <f t="shared" si="3"/>
        <v>0</v>
      </c>
      <c r="AH11" s="4">
        <f t="shared" si="3"/>
        <v>0</v>
      </c>
      <c r="AI11" s="4">
        <f t="shared" si="3"/>
        <v>0</v>
      </c>
      <c r="AJ11" s="4">
        <f t="shared" si="3"/>
        <v>0</v>
      </c>
      <c r="AK11" s="4">
        <f t="shared" si="3"/>
        <v>0</v>
      </c>
      <c r="AL11" s="4">
        <f t="shared" si="3"/>
        <v>0</v>
      </c>
      <c r="AM11" s="4">
        <f t="shared" si="3"/>
        <v>0</v>
      </c>
      <c r="AN11" s="4">
        <f t="shared" si="3"/>
        <v>0</v>
      </c>
      <c r="AO11" s="4">
        <f t="shared" si="3"/>
        <v>0</v>
      </c>
      <c r="AP11" s="4">
        <f t="shared" si="3"/>
        <v>0</v>
      </c>
      <c r="AQ11" s="4">
        <f t="shared" si="3"/>
        <v>0</v>
      </c>
      <c r="AR11" s="4">
        <f t="shared" si="3"/>
        <v>0</v>
      </c>
      <c r="AS11" s="4">
        <f t="shared" si="3"/>
        <v>0</v>
      </c>
      <c r="AT11" s="4">
        <f t="shared" si="3"/>
        <v>0</v>
      </c>
      <c r="AU11" s="4">
        <f t="shared" si="3"/>
        <v>0</v>
      </c>
      <c r="AV11" s="4">
        <f t="shared" si="3"/>
        <v>0</v>
      </c>
      <c r="AW11" s="4">
        <f t="shared" si="3"/>
        <v>0</v>
      </c>
      <c r="AX11" s="4">
        <f t="shared" si="3"/>
        <v>0</v>
      </c>
      <c r="AY11" s="4">
        <f t="shared" si="3"/>
        <v>0</v>
      </c>
      <c r="AZ11" s="4">
        <f t="shared" si="3"/>
        <v>0</v>
      </c>
      <c r="BA11" s="4">
        <f t="shared" si="3"/>
        <v>0</v>
      </c>
    </row>
    <row r="12" spans="1:54" ht="15.75" customHeight="1" x14ac:dyDescent="0.35">
      <c r="A12" s="5"/>
      <c r="B12" s="5" t="s">
        <v>81</v>
      </c>
      <c r="C12" s="5"/>
      <c r="D12" s="5"/>
      <c r="E12" s="5"/>
      <c r="F12" s="5"/>
      <c r="G12" s="5"/>
      <c r="H12" s="5"/>
      <c r="I12" s="5"/>
      <c r="J12" s="5"/>
      <c r="K12" s="5"/>
      <c r="L12" s="5"/>
      <c r="N12" s="1">
        <f>SUM(Q12:BA12)</f>
        <v>0</v>
      </c>
      <c r="O12" s="5"/>
      <c r="Q12" s="1">
        <f>SUM($Q$66:Q66)*OBk.w1</f>
        <v>0</v>
      </c>
      <c r="R12" s="1">
        <f>SUM($Q$66:R66)*OBk.w1</f>
        <v>0</v>
      </c>
      <c r="S12" s="1">
        <f>SUM($Q$66:S66)*OBk.w1</f>
        <v>0</v>
      </c>
      <c r="T12" s="1">
        <f>SUM($Q$66:T66)*OBk.w1</f>
        <v>0</v>
      </c>
      <c r="U12" s="1">
        <f>SUM($Q$66:U66)*OBk.w1</f>
        <v>0</v>
      </c>
      <c r="V12" s="1">
        <f>SUM($Q$66:V66)*OBk.w1</f>
        <v>0</v>
      </c>
      <c r="W12" s="1">
        <f>SUM($Q$66:W66)*OBk.w1</f>
        <v>0</v>
      </c>
      <c r="X12" s="1">
        <f>SUM($Q$66:X66)*OBk.w1</f>
        <v>0</v>
      </c>
      <c r="Y12" s="1">
        <f>SUM($Q$66:Y66)*OBk.w1</f>
        <v>0</v>
      </c>
      <c r="Z12" s="1">
        <f>SUM($Q$66:Z66)*OBk.w1</f>
        <v>0</v>
      </c>
      <c r="AA12" s="1">
        <f>SUM($Q$66:AA66)*OBk.w1</f>
        <v>0</v>
      </c>
      <c r="AB12" s="1">
        <f>SUM($Q$66:AB66)*OBk.w1</f>
        <v>0</v>
      </c>
      <c r="AC12" s="1">
        <f>SUM($Q$66:AC66)*OBk.w1</f>
        <v>0</v>
      </c>
      <c r="AD12" s="1">
        <f>SUM($Q$66:AD66)*OBk.w1</f>
        <v>0</v>
      </c>
      <c r="AE12" s="1">
        <f>SUM($Q$66:AE66)*OBk.w1</f>
        <v>0</v>
      </c>
      <c r="AF12" s="1">
        <f>SUM($Q$66:AF66)*OBk.w1</f>
        <v>0</v>
      </c>
      <c r="AG12" s="1">
        <f>SUM($Q$66:AG66)*OBk.w1</f>
        <v>0</v>
      </c>
      <c r="AH12" s="1">
        <f>SUM($Q$66:AH66)*OBk.w1</f>
        <v>0</v>
      </c>
      <c r="AI12" s="1">
        <f>SUM($Q$66:AI66)*OBk.w1</f>
        <v>0</v>
      </c>
      <c r="AJ12" s="1">
        <f>SUM($Q$66:AJ66)*OBk.w1</f>
        <v>0</v>
      </c>
      <c r="AK12" s="1">
        <f>SUM($Q$66:AK66)*OBk.w1</f>
        <v>0</v>
      </c>
      <c r="AL12" s="1">
        <f>SUM($Q$66:AL66)*OBk.w1</f>
        <v>0</v>
      </c>
      <c r="AM12" s="1">
        <f>SUM($Q$66:AM66)*OBk.w1</f>
        <v>0</v>
      </c>
      <c r="AN12" s="1">
        <f>SUM($Q$66:AN66)*OBk.w1</f>
        <v>0</v>
      </c>
      <c r="AO12" s="1">
        <f>SUM($Q$66:AO66)*OBk.w1</f>
        <v>0</v>
      </c>
      <c r="AP12" s="1">
        <f>SUM($Q$66:AP66)*OBk.w1</f>
        <v>0</v>
      </c>
      <c r="AQ12" s="1">
        <f>SUM($Q$66:AQ66)*OBk.w1</f>
        <v>0</v>
      </c>
      <c r="AR12" s="1">
        <f>SUM($Q$66:AR66)*OBk.w1</f>
        <v>0</v>
      </c>
      <c r="AS12" s="1">
        <f>SUM($Q$66:AS66)*OBk.w1</f>
        <v>0</v>
      </c>
      <c r="AT12" s="1">
        <f>SUM($Q$66:AT66)*OBk.w1</f>
        <v>0</v>
      </c>
      <c r="AU12" s="1">
        <f>SUM($Q$66:AU66)*OBk.w1</f>
        <v>0</v>
      </c>
      <c r="AV12" s="1">
        <f>SUM($Q$66:AV66)*OBk.w1</f>
        <v>0</v>
      </c>
      <c r="AW12" s="1">
        <f>SUM($Q$66:AW66)*OBk.w1</f>
        <v>0</v>
      </c>
      <c r="AX12" s="1">
        <f>SUM($Q$66:AX66)*OBk.w1</f>
        <v>0</v>
      </c>
      <c r="AY12" s="1">
        <f>SUM($Q$66:AY66)*OBk.w1</f>
        <v>0</v>
      </c>
      <c r="AZ12" s="1">
        <f>SUM($Q$66:AZ66)*OBk.w1</f>
        <v>0</v>
      </c>
      <c r="BA12" s="1">
        <f>SUM($Q$66:BA66)*OBk.w1</f>
        <v>0</v>
      </c>
    </row>
    <row r="13" spans="1:54" ht="15.75" customHeight="1" x14ac:dyDescent="0.35">
      <c r="A13" s="5"/>
      <c r="B13" s="5" t="s">
        <v>82</v>
      </c>
      <c r="C13" s="5"/>
      <c r="D13" s="5"/>
      <c r="E13" s="5"/>
      <c r="F13" s="5"/>
      <c r="G13" s="5"/>
      <c r="H13" s="5"/>
      <c r="I13" s="5"/>
      <c r="J13" s="5"/>
      <c r="K13" s="5"/>
      <c r="L13" s="5"/>
      <c r="N13" s="1">
        <f>SUM(Q13:BA13)</f>
        <v>0</v>
      </c>
      <c r="O13" s="5"/>
      <c r="Q13" s="1">
        <f t="shared" ref="Q13:BA13" si="4">Q74</f>
        <v>0</v>
      </c>
      <c r="R13" s="1">
        <f t="shared" si="4"/>
        <v>0</v>
      </c>
      <c r="S13" s="1">
        <f t="shared" si="4"/>
        <v>0</v>
      </c>
      <c r="T13" s="1">
        <f t="shared" si="4"/>
        <v>0</v>
      </c>
      <c r="U13" s="1">
        <f t="shared" si="4"/>
        <v>0</v>
      </c>
      <c r="V13" s="1">
        <f t="shared" si="4"/>
        <v>0</v>
      </c>
      <c r="W13" s="1">
        <f t="shared" si="4"/>
        <v>0</v>
      </c>
      <c r="X13" s="1">
        <f t="shared" si="4"/>
        <v>0</v>
      </c>
      <c r="Y13" s="1">
        <f t="shared" si="4"/>
        <v>0</v>
      </c>
      <c r="Z13" s="1">
        <f t="shared" si="4"/>
        <v>0</v>
      </c>
      <c r="AA13" s="1">
        <f t="shared" si="4"/>
        <v>0</v>
      </c>
      <c r="AB13" s="1">
        <f t="shared" si="4"/>
        <v>0</v>
      </c>
      <c r="AC13" s="1">
        <f t="shared" si="4"/>
        <v>0</v>
      </c>
      <c r="AD13" s="1">
        <f t="shared" si="4"/>
        <v>0</v>
      </c>
      <c r="AE13" s="1">
        <f t="shared" si="4"/>
        <v>0</v>
      </c>
      <c r="AF13" s="1">
        <f t="shared" si="4"/>
        <v>0</v>
      </c>
      <c r="AG13" s="1">
        <f t="shared" si="4"/>
        <v>0</v>
      </c>
      <c r="AH13" s="1">
        <f t="shared" si="4"/>
        <v>0</v>
      </c>
      <c r="AI13" s="1">
        <f t="shared" si="4"/>
        <v>0</v>
      </c>
      <c r="AJ13" s="1">
        <f t="shared" si="4"/>
        <v>0</v>
      </c>
      <c r="AK13" s="1">
        <f t="shared" si="4"/>
        <v>0</v>
      </c>
      <c r="AL13" s="1">
        <f t="shared" si="4"/>
        <v>0</v>
      </c>
      <c r="AM13" s="1">
        <f t="shared" si="4"/>
        <v>0</v>
      </c>
      <c r="AN13" s="1">
        <f t="shared" si="4"/>
        <v>0</v>
      </c>
      <c r="AO13" s="1">
        <f t="shared" si="4"/>
        <v>0</v>
      </c>
      <c r="AP13" s="1">
        <f t="shared" si="4"/>
        <v>0</v>
      </c>
      <c r="AQ13" s="1">
        <f t="shared" si="4"/>
        <v>0</v>
      </c>
      <c r="AR13" s="1">
        <f t="shared" si="4"/>
        <v>0</v>
      </c>
      <c r="AS13" s="1">
        <f t="shared" si="4"/>
        <v>0</v>
      </c>
      <c r="AT13" s="1">
        <f t="shared" si="4"/>
        <v>0</v>
      </c>
      <c r="AU13" s="1">
        <f t="shared" si="4"/>
        <v>0</v>
      </c>
      <c r="AV13" s="1">
        <f t="shared" si="4"/>
        <v>0</v>
      </c>
      <c r="AW13" s="1">
        <f t="shared" si="4"/>
        <v>0</v>
      </c>
      <c r="AX13" s="1">
        <f t="shared" si="4"/>
        <v>0</v>
      </c>
      <c r="AY13" s="1">
        <f t="shared" si="4"/>
        <v>0</v>
      </c>
      <c r="AZ13" s="1">
        <f t="shared" si="4"/>
        <v>0</v>
      </c>
      <c r="BA13" s="1">
        <f t="shared" si="4"/>
        <v>0</v>
      </c>
    </row>
    <row r="14" spans="1:54" ht="15.75" customHeight="1" x14ac:dyDescent="0.35">
      <c r="A14" s="5"/>
      <c r="B14" s="5" t="s">
        <v>6</v>
      </c>
      <c r="C14" s="5"/>
      <c r="D14" s="5"/>
      <c r="E14" s="5"/>
      <c r="F14" s="5"/>
      <c r="G14" s="5"/>
      <c r="H14" s="5"/>
      <c r="I14" s="5"/>
      <c r="J14" s="5"/>
      <c r="K14" s="5"/>
      <c r="L14" s="5"/>
      <c r="N14" s="1">
        <f>SUM(Q14:BA14)</f>
        <v>0</v>
      </c>
      <c r="O14" s="5"/>
      <c r="Q14" s="1">
        <f t="shared" ref="Q14:BA14" si="5">Q73</f>
        <v>0</v>
      </c>
      <c r="R14" s="1">
        <f t="shared" si="5"/>
        <v>0</v>
      </c>
      <c r="S14" s="1">
        <f t="shared" si="5"/>
        <v>0</v>
      </c>
      <c r="T14" s="1">
        <f t="shared" si="5"/>
        <v>0</v>
      </c>
      <c r="U14" s="1">
        <f t="shared" si="5"/>
        <v>0</v>
      </c>
      <c r="V14" s="1">
        <f t="shared" si="5"/>
        <v>0</v>
      </c>
      <c r="W14" s="1">
        <f t="shared" si="5"/>
        <v>0</v>
      </c>
      <c r="X14" s="1">
        <f t="shared" si="5"/>
        <v>0</v>
      </c>
      <c r="Y14" s="1">
        <f t="shared" si="5"/>
        <v>0</v>
      </c>
      <c r="Z14" s="1">
        <f t="shared" si="5"/>
        <v>0</v>
      </c>
      <c r="AA14" s="1">
        <f t="shared" si="5"/>
        <v>0</v>
      </c>
      <c r="AB14" s="1">
        <f t="shared" si="5"/>
        <v>0</v>
      </c>
      <c r="AC14" s="1">
        <f t="shared" si="5"/>
        <v>0</v>
      </c>
      <c r="AD14" s="1">
        <f t="shared" si="5"/>
        <v>0</v>
      </c>
      <c r="AE14" s="1">
        <f t="shared" si="5"/>
        <v>0</v>
      </c>
      <c r="AF14" s="1">
        <f t="shared" si="5"/>
        <v>0</v>
      </c>
      <c r="AG14" s="1">
        <f t="shared" si="5"/>
        <v>0</v>
      </c>
      <c r="AH14" s="1">
        <f t="shared" si="5"/>
        <v>0</v>
      </c>
      <c r="AI14" s="1">
        <f t="shared" si="5"/>
        <v>0</v>
      </c>
      <c r="AJ14" s="1">
        <f t="shared" si="5"/>
        <v>0</v>
      </c>
      <c r="AK14" s="1">
        <f t="shared" si="5"/>
        <v>0</v>
      </c>
      <c r="AL14" s="1">
        <f t="shared" si="5"/>
        <v>0</v>
      </c>
      <c r="AM14" s="1">
        <f t="shared" si="5"/>
        <v>0</v>
      </c>
      <c r="AN14" s="1">
        <f t="shared" si="5"/>
        <v>0</v>
      </c>
      <c r="AO14" s="1">
        <f t="shared" si="5"/>
        <v>0</v>
      </c>
      <c r="AP14" s="1">
        <f t="shared" si="5"/>
        <v>0</v>
      </c>
      <c r="AQ14" s="1">
        <f t="shared" si="5"/>
        <v>0</v>
      </c>
      <c r="AR14" s="1">
        <f t="shared" si="5"/>
        <v>0</v>
      </c>
      <c r="AS14" s="1">
        <f t="shared" si="5"/>
        <v>0</v>
      </c>
      <c r="AT14" s="1">
        <f t="shared" si="5"/>
        <v>0</v>
      </c>
      <c r="AU14" s="1">
        <f t="shared" si="5"/>
        <v>0</v>
      </c>
      <c r="AV14" s="1">
        <f t="shared" si="5"/>
        <v>0</v>
      </c>
      <c r="AW14" s="1">
        <f t="shared" si="5"/>
        <v>0</v>
      </c>
      <c r="AX14" s="1">
        <f t="shared" si="5"/>
        <v>0</v>
      </c>
      <c r="AY14" s="1">
        <f t="shared" si="5"/>
        <v>0</v>
      </c>
      <c r="AZ14" s="1">
        <f t="shared" si="5"/>
        <v>0</v>
      </c>
      <c r="BA14" s="1">
        <f t="shared" si="5"/>
        <v>0</v>
      </c>
    </row>
    <row r="15" spans="1:54" ht="15.75" customHeight="1" x14ac:dyDescent="0.35">
      <c r="A15" s="5"/>
      <c r="B15" s="5" t="s">
        <v>7</v>
      </c>
      <c r="C15" s="5"/>
      <c r="D15" s="5"/>
      <c r="E15" s="5"/>
      <c r="F15" s="5"/>
      <c r="G15" s="5"/>
      <c r="H15" s="5"/>
      <c r="I15" s="5"/>
      <c r="J15" s="5"/>
      <c r="K15" s="5"/>
      <c r="L15" s="5"/>
      <c r="N15" s="1">
        <f>SUM(Q15:BA15)</f>
        <v>0</v>
      </c>
      <c r="O15" s="5"/>
      <c r="Q15" s="1">
        <f t="shared" ref="Q15:BA15" si="6">Q76</f>
        <v>0</v>
      </c>
      <c r="R15" s="1">
        <f t="shared" si="6"/>
        <v>0</v>
      </c>
      <c r="S15" s="1">
        <f t="shared" si="6"/>
        <v>0</v>
      </c>
      <c r="T15" s="1">
        <f t="shared" si="6"/>
        <v>0</v>
      </c>
      <c r="U15" s="1">
        <f t="shared" si="6"/>
        <v>0</v>
      </c>
      <c r="V15" s="1">
        <f t="shared" si="6"/>
        <v>0</v>
      </c>
      <c r="W15" s="1">
        <f t="shared" si="6"/>
        <v>0</v>
      </c>
      <c r="X15" s="1">
        <f t="shared" si="6"/>
        <v>0</v>
      </c>
      <c r="Y15" s="1">
        <f t="shared" si="6"/>
        <v>0</v>
      </c>
      <c r="Z15" s="1">
        <f t="shared" si="6"/>
        <v>0</v>
      </c>
      <c r="AA15" s="1">
        <f t="shared" si="6"/>
        <v>0</v>
      </c>
      <c r="AB15" s="1">
        <f t="shared" si="6"/>
        <v>0</v>
      </c>
      <c r="AC15" s="1">
        <f t="shared" si="6"/>
        <v>0</v>
      </c>
      <c r="AD15" s="1">
        <f t="shared" si="6"/>
        <v>0</v>
      </c>
      <c r="AE15" s="1">
        <f t="shared" si="6"/>
        <v>0</v>
      </c>
      <c r="AF15" s="1">
        <f t="shared" si="6"/>
        <v>0</v>
      </c>
      <c r="AG15" s="1">
        <f t="shared" si="6"/>
        <v>0</v>
      </c>
      <c r="AH15" s="1">
        <f t="shared" si="6"/>
        <v>0</v>
      </c>
      <c r="AI15" s="1">
        <f t="shared" si="6"/>
        <v>0</v>
      </c>
      <c r="AJ15" s="1">
        <f t="shared" si="6"/>
        <v>0</v>
      </c>
      <c r="AK15" s="1">
        <f t="shared" si="6"/>
        <v>0</v>
      </c>
      <c r="AL15" s="1">
        <f t="shared" si="6"/>
        <v>0</v>
      </c>
      <c r="AM15" s="1">
        <f t="shared" si="6"/>
        <v>0</v>
      </c>
      <c r="AN15" s="1">
        <f t="shared" si="6"/>
        <v>0</v>
      </c>
      <c r="AO15" s="1">
        <f t="shared" si="6"/>
        <v>0</v>
      </c>
      <c r="AP15" s="1">
        <f t="shared" si="6"/>
        <v>0</v>
      </c>
      <c r="AQ15" s="1">
        <f t="shared" si="6"/>
        <v>0</v>
      </c>
      <c r="AR15" s="1">
        <f t="shared" si="6"/>
        <v>0</v>
      </c>
      <c r="AS15" s="1">
        <f t="shared" si="6"/>
        <v>0</v>
      </c>
      <c r="AT15" s="1">
        <f t="shared" si="6"/>
        <v>0</v>
      </c>
      <c r="AU15" s="1">
        <f t="shared" si="6"/>
        <v>0</v>
      </c>
      <c r="AV15" s="1">
        <f t="shared" si="6"/>
        <v>0</v>
      </c>
      <c r="AW15" s="1">
        <f t="shared" si="6"/>
        <v>0</v>
      </c>
      <c r="AX15" s="1">
        <f t="shared" si="6"/>
        <v>0</v>
      </c>
      <c r="AY15" s="1">
        <f t="shared" si="6"/>
        <v>0</v>
      </c>
      <c r="AZ15" s="1">
        <f t="shared" si="6"/>
        <v>0</v>
      </c>
      <c r="BA15" s="1">
        <f t="shared" si="6"/>
        <v>0</v>
      </c>
    </row>
    <row r="16" spans="1:54" x14ac:dyDescent="0.35"/>
    <row r="17" spans="1:54" ht="15" customHeight="1" x14ac:dyDescent="0.35">
      <c r="A17" s="3" t="s">
        <v>8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4">
        <f>SUM(Q17:BA17)</f>
        <v>0</v>
      </c>
      <c r="O17" s="3"/>
      <c r="P17" s="3"/>
      <c r="Q17" s="4">
        <f t="shared" ref="Q17:BA17" si="7">Q6-Q11</f>
        <v>0</v>
      </c>
      <c r="R17" s="4">
        <f t="shared" si="7"/>
        <v>0</v>
      </c>
      <c r="S17" s="4">
        <f t="shared" si="7"/>
        <v>0</v>
      </c>
      <c r="T17" s="4">
        <f t="shared" si="7"/>
        <v>0</v>
      </c>
      <c r="U17" s="4">
        <f t="shared" si="7"/>
        <v>0</v>
      </c>
      <c r="V17" s="4">
        <f t="shared" si="7"/>
        <v>0</v>
      </c>
      <c r="W17" s="4">
        <f t="shared" si="7"/>
        <v>0</v>
      </c>
      <c r="X17" s="4">
        <f t="shared" si="7"/>
        <v>0</v>
      </c>
      <c r="Y17" s="4">
        <f t="shared" si="7"/>
        <v>0</v>
      </c>
      <c r="Z17" s="4">
        <f t="shared" si="7"/>
        <v>0</v>
      </c>
      <c r="AA17" s="4">
        <f t="shared" si="7"/>
        <v>0</v>
      </c>
      <c r="AB17" s="4">
        <f t="shared" si="7"/>
        <v>0</v>
      </c>
      <c r="AC17" s="4">
        <f t="shared" si="7"/>
        <v>0</v>
      </c>
      <c r="AD17" s="4">
        <f t="shared" si="7"/>
        <v>0</v>
      </c>
      <c r="AE17" s="4">
        <f t="shared" si="7"/>
        <v>0</v>
      </c>
      <c r="AF17" s="4">
        <f t="shared" si="7"/>
        <v>0</v>
      </c>
      <c r="AG17" s="4">
        <f t="shared" si="7"/>
        <v>0</v>
      </c>
      <c r="AH17" s="4">
        <f t="shared" si="7"/>
        <v>0</v>
      </c>
      <c r="AI17" s="4">
        <f t="shared" si="7"/>
        <v>0</v>
      </c>
      <c r="AJ17" s="4">
        <f t="shared" si="7"/>
        <v>0</v>
      </c>
      <c r="AK17" s="4">
        <f t="shared" si="7"/>
        <v>0</v>
      </c>
      <c r="AL17" s="4">
        <f t="shared" si="7"/>
        <v>0</v>
      </c>
      <c r="AM17" s="4">
        <f t="shared" si="7"/>
        <v>0</v>
      </c>
      <c r="AN17" s="4">
        <f t="shared" si="7"/>
        <v>0</v>
      </c>
      <c r="AO17" s="4">
        <f t="shared" si="7"/>
        <v>0</v>
      </c>
      <c r="AP17" s="4">
        <f t="shared" si="7"/>
        <v>0</v>
      </c>
      <c r="AQ17" s="4">
        <f t="shared" si="7"/>
        <v>0</v>
      </c>
      <c r="AR17" s="4">
        <f t="shared" si="7"/>
        <v>0</v>
      </c>
      <c r="AS17" s="4">
        <f t="shared" si="7"/>
        <v>0</v>
      </c>
      <c r="AT17" s="4">
        <f t="shared" si="7"/>
        <v>0</v>
      </c>
      <c r="AU17" s="4">
        <f t="shared" si="7"/>
        <v>0</v>
      </c>
      <c r="AV17" s="4">
        <f t="shared" si="7"/>
        <v>0</v>
      </c>
      <c r="AW17" s="4">
        <f t="shared" si="7"/>
        <v>0</v>
      </c>
      <c r="AX17" s="4">
        <f t="shared" si="7"/>
        <v>0</v>
      </c>
      <c r="AY17" s="4">
        <f t="shared" si="7"/>
        <v>0</v>
      </c>
      <c r="AZ17" s="4">
        <f t="shared" si="7"/>
        <v>0</v>
      </c>
      <c r="BA17" s="4">
        <f t="shared" si="7"/>
        <v>0</v>
      </c>
    </row>
    <row r="18" spans="1:54" x14ac:dyDescent="0.35"/>
    <row r="19" spans="1:54" ht="15.75" customHeight="1" x14ac:dyDescent="0.35">
      <c r="A19" s="5"/>
      <c r="B19" s="5" t="s">
        <v>9</v>
      </c>
      <c r="C19" s="5"/>
      <c r="D19" s="5"/>
      <c r="E19" s="5"/>
      <c r="F19" s="5"/>
      <c r="G19" s="5"/>
      <c r="H19" s="5"/>
      <c r="I19" s="5"/>
      <c r="J19" s="5"/>
      <c r="K19" s="5"/>
      <c r="L19" s="5"/>
      <c r="N19" s="1">
        <f>SUM(Q19:BA19)</f>
        <v>0</v>
      </c>
      <c r="O19" s="5"/>
      <c r="Q19" s="1">
        <f t="shared" ref="Q19:BA19" si="8">(Q17&gt;0)*Q17*CIT</f>
        <v>0</v>
      </c>
      <c r="R19" s="1">
        <f t="shared" si="8"/>
        <v>0</v>
      </c>
      <c r="S19" s="1">
        <f t="shared" si="8"/>
        <v>0</v>
      </c>
      <c r="T19" s="1">
        <f t="shared" si="8"/>
        <v>0</v>
      </c>
      <c r="U19" s="1">
        <f t="shared" si="8"/>
        <v>0</v>
      </c>
      <c r="V19" s="1">
        <f t="shared" si="8"/>
        <v>0</v>
      </c>
      <c r="W19" s="1">
        <f t="shared" si="8"/>
        <v>0</v>
      </c>
      <c r="X19" s="1">
        <f t="shared" si="8"/>
        <v>0</v>
      </c>
      <c r="Y19" s="1">
        <f t="shared" si="8"/>
        <v>0</v>
      </c>
      <c r="Z19" s="1">
        <f t="shared" si="8"/>
        <v>0</v>
      </c>
      <c r="AA19" s="1">
        <f t="shared" si="8"/>
        <v>0</v>
      </c>
      <c r="AB19" s="1">
        <f t="shared" si="8"/>
        <v>0</v>
      </c>
      <c r="AC19" s="1">
        <f t="shared" si="8"/>
        <v>0</v>
      </c>
      <c r="AD19" s="1">
        <f t="shared" si="8"/>
        <v>0</v>
      </c>
      <c r="AE19" s="1">
        <f t="shared" si="8"/>
        <v>0</v>
      </c>
      <c r="AF19" s="1">
        <f t="shared" si="8"/>
        <v>0</v>
      </c>
      <c r="AG19" s="1">
        <f t="shared" si="8"/>
        <v>0</v>
      </c>
      <c r="AH19" s="1">
        <f t="shared" si="8"/>
        <v>0</v>
      </c>
      <c r="AI19" s="1">
        <f t="shared" si="8"/>
        <v>0</v>
      </c>
      <c r="AJ19" s="1">
        <f t="shared" si="8"/>
        <v>0</v>
      </c>
      <c r="AK19" s="1">
        <f t="shared" si="8"/>
        <v>0</v>
      </c>
      <c r="AL19" s="1">
        <f t="shared" si="8"/>
        <v>0</v>
      </c>
      <c r="AM19" s="1">
        <f t="shared" si="8"/>
        <v>0</v>
      </c>
      <c r="AN19" s="1">
        <f t="shared" si="8"/>
        <v>0</v>
      </c>
      <c r="AO19" s="1">
        <f t="shared" si="8"/>
        <v>0</v>
      </c>
      <c r="AP19" s="1">
        <f t="shared" si="8"/>
        <v>0</v>
      </c>
      <c r="AQ19" s="1">
        <f t="shared" si="8"/>
        <v>0</v>
      </c>
      <c r="AR19" s="1">
        <f t="shared" si="8"/>
        <v>0</v>
      </c>
      <c r="AS19" s="1">
        <f t="shared" si="8"/>
        <v>0</v>
      </c>
      <c r="AT19" s="1">
        <f t="shared" si="8"/>
        <v>0</v>
      </c>
      <c r="AU19" s="1">
        <f t="shared" si="8"/>
        <v>0</v>
      </c>
      <c r="AV19" s="1">
        <f t="shared" si="8"/>
        <v>0</v>
      </c>
      <c r="AW19" s="1">
        <f t="shared" si="8"/>
        <v>0</v>
      </c>
      <c r="AX19" s="1">
        <f t="shared" si="8"/>
        <v>0</v>
      </c>
      <c r="AY19" s="1">
        <f t="shared" si="8"/>
        <v>0</v>
      </c>
      <c r="AZ19" s="1">
        <f t="shared" si="8"/>
        <v>0</v>
      </c>
      <c r="BA19" s="1">
        <f t="shared" si="8"/>
        <v>0</v>
      </c>
    </row>
    <row r="20" spans="1:54" x14ac:dyDescent="0.35"/>
    <row r="21" spans="1:54" ht="15.75" customHeight="1" x14ac:dyDescent="0.35">
      <c r="A21" s="3" t="s">
        <v>10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4">
        <f>SUM(Q21:BA21)</f>
        <v>0</v>
      </c>
      <c r="O21" s="3"/>
      <c r="P21" s="3"/>
      <c r="Q21" s="4">
        <f t="shared" ref="Q21:BA21" si="9">Q17-Q19</f>
        <v>0</v>
      </c>
      <c r="R21" s="4">
        <f t="shared" si="9"/>
        <v>0</v>
      </c>
      <c r="S21" s="4">
        <f t="shared" si="9"/>
        <v>0</v>
      </c>
      <c r="T21" s="4">
        <f t="shared" si="9"/>
        <v>0</v>
      </c>
      <c r="U21" s="4">
        <f t="shared" si="9"/>
        <v>0</v>
      </c>
      <c r="V21" s="4">
        <f t="shared" si="9"/>
        <v>0</v>
      </c>
      <c r="W21" s="4">
        <f t="shared" si="9"/>
        <v>0</v>
      </c>
      <c r="X21" s="4">
        <f t="shared" si="9"/>
        <v>0</v>
      </c>
      <c r="Y21" s="4">
        <f t="shared" si="9"/>
        <v>0</v>
      </c>
      <c r="Z21" s="4">
        <f t="shared" si="9"/>
        <v>0</v>
      </c>
      <c r="AA21" s="4">
        <f t="shared" si="9"/>
        <v>0</v>
      </c>
      <c r="AB21" s="4">
        <f t="shared" si="9"/>
        <v>0</v>
      </c>
      <c r="AC21" s="4">
        <f t="shared" si="9"/>
        <v>0</v>
      </c>
      <c r="AD21" s="4">
        <f t="shared" si="9"/>
        <v>0</v>
      </c>
      <c r="AE21" s="4">
        <f t="shared" si="9"/>
        <v>0</v>
      </c>
      <c r="AF21" s="4">
        <f t="shared" si="9"/>
        <v>0</v>
      </c>
      <c r="AG21" s="4">
        <f t="shared" si="9"/>
        <v>0</v>
      </c>
      <c r="AH21" s="4">
        <f t="shared" si="9"/>
        <v>0</v>
      </c>
      <c r="AI21" s="4">
        <f t="shared" si="9"/>
        <v>0</v>
      </c>
      <c r="AJ21" s="4">
        <f t="shared" si="9"/>
        <v>0</v>
      </c>
      <c r="AK21" s="4">
        <f t="shared" si="9"/>
        <v>0</v>
      </c>
      <c r="AL21" s="4">
        <f t="shared" si="9"/>
        <v>0</v>
      </c>
      <c r="AM21" s="4">
        <f t="shared" si="9"/>
        <v>0</v>
      </c>
      <c r="AN21" s="4">
        <f t="shared" si="9"/>
        <v>0</v>
      </c>
      <c r="AO21" s="4">
        <f t="shared" si="9"/>
        <v>0</v>
      </c>
      <c r="AP21" s="4">
        <f t="shared" si="9"/>
        <v>0</v>
      </c>
      <c r="AQ21" s="4">
        <f t="shared" si="9"/>
        <v>0</v>
      </c>
      <c r="AR21" s="4">
        <f t="shared" si="9"/>
        <v>0</v>
      </c>
      <c r="AS21" s="4">
        <f t="shared" si="9"/>
        <v>0</v>
      </c>
      <c r="AT21" s="4">
        <f t="shared" si="9"/>
        <v>0</v>
      </c>
      <c r="AU21" s="4">
        <f t="shared" si="9"/>
        <v>0</v>
      </c>
      <c r="AV21" s="4">
        <f t="shared" si="9"/>
        <v>0</v>
      </c>
      <c r="AW21" s="4">
        <f t="shared" si="9"/>
        <v>0</v>
      </c>
      <c r="AX21" s="4">
        <f t="shared" si="9"/>
        <v>0</v>
      </c>
      <c r="AY21" s="4">
        <f t="shared" si="9"/>
        <v>0</v>
      </c>
      <c r="AZ21" s="4">
        <f t="shared" si="9"/>
        <v>0</v>
      </c>
      <c r="BA21" s="4">
        <f t="shared" si="9"/>
        <v>0</v>
      </c>
    </row>
    <row r="22" spans="1:54" x14ac:dyDescent="0.35"/>
    <row r="23" spans="1:54" ht="15.75" customHeight="1" thickBot="1" x14ac:dyDescent="0.4">
      <c r="A23" s="44" t="s">
        <v>63</v>
      </c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5"/>
    </row>
    <row r="24" spans="1:54" ht="15" thickTop="1" x14ac:dyDescent="0.35"/>
    <row r="25" spans="1:54" ht="15.75" customHeight="1" x14ac:dyDescent="0.35">
      <c r="A25" s="3" t="s">
        <v>12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4">
        <f t="shared" ref="Q25:BA25" si="10">SUM(Q26:Q27)</f>
        <v>0</v>
      </c>
      <c r="R25" s="4">
        <f t="shared" si="10"/>
        <v>0</v>
      </c>
      <c r="S25" s="4">
        <f t="shared" si="10"/>
        <v>0</v>
      </c>
      <c r="T25" s="4">
        <f t="shared" si="10"/>
        <v>0</v>
      </c>
      <c r="U25" s="4">
        <f t="shared" si="10"/>
        <v>0</v>
      </c>
      <c r="V25" s="4">
        <f t="shared" si="10"/>
        <v>0</v>
      </c>
      <c r="W25" s="4">
        <f t="shared" si="10"/>
        <v>0</v>
      </c>
      <c r="X25" s="4">
        <f t="shared" si="10"/>
        <v>0</v>
      </c>
      <c r="Y25" s="4">
        <f t="shared" si="10"/>
        <v>0</v>
      </c>
      <c r="Z25" s="4">
        <f t="shared" si="10"/>
        <v>0</v>
      </c>
      <c r="AA25" s="4">
        <f t="shared" si="10"/>
        <v>0</v>
      </c>
      <c r="AB25" s="4">
        <f t="shared" si="10"/>
        <v>0</v>
      </c>
      <c r="AC25" s="4">
        <f t="shared" si="10"/>
        <v>0</v>
      </c>
      <c r="AD25" s="4">
        <f t="shared" si="10"/>
        <v>0</v>
      </c>
      <c r="AE25" s="4">
        <f t="shared" si="10"/>
        <v>0</v>
      </c>
      <c r="AF25" s="4">
        <f t="shared" si="10"/>
        <v>0</v>
      </c>
      <c r="AG25" s="4">
        <f t="shared" si="10"/>
        <v>0</v>
      </c>
      <c r="AH25" s="4">
        <f t="shared" si="10"/>
        <v>0</v>
      </c>
      <c r="AI25" s="4">
        <f t="shared" si="10"/>
        <v>0</v>
      </c>
      <c r="AJ25" s="4">
        <f t="shared" si="10"/>
        <v>0</v>
      </c>
      <c r="AK25" s="4">
        <f t="shared" si="10"/>
        <v>0</v>
      </c>
      <c r="AL25" s="4">
        <f t="shared" si="10"/>
        <v>0</v>
      </c>
      <c r="AM25" s="4">
        <f t="shared" si="10"/>
        <v>0</v>
      </c>
      <c r="AN25" s="4">
        <f t="shared" si="10"/>
        <v>0</v>
      </c>
      <c r="AO25" s="4">
        <f t="shared" si="10"/>
        <v>0</v>
      </c>
      <c r="AP25" s="4">
        <f t="shared" si="10"/>
        <v>0</v>
      </c>
      <c r="AQ25" s="4">
        <f t="shared" si="10"/>
        <v>0</v>
      </c>
      <c r="AR25" s="4">
        <f t="shared" si="10"/>
        <v>0</v>
      </c>
      <c r="AS25" s="4">
        <f t="shared" si="10"/>
        <v>0</v>
      </c>
      <c r="AT25" s="4">
        <f t="shared" si="10"/>
        <v>0</v>
      </c>
      <c r="AU25" s="4">
        <f t="shared" si="10"/>
        <v>0</v>
      </c>
      <c r="AV25" s="4">
        <f t="shared" si="10"/>
        <v>0</v>
      </c>
      <c r="AW25" s="4">
        <f t="shared" si="10"/>
        <v>0</v>
      </c>
      <c r="AX25" s="4">
        <f t="shared" si="10"/>
        <v>0</v>
      </c>
      <c r="AY25" s="4">
        <f t="shared" si="10"/>
        <v>0</v>
      </c>
      <c r="AZ25" s="4">
        <f t="shared" si="10"/>
        <v>0</v>
      </c>
      <c r="BA25" s="4">
        <f t="shared" si="10"/>
        <v>0</v>
      </c>
    </row>
    <row r="26" spans="1:54" ht="15.75" customHeight="1" x14ac:dyDescent="0.35">
      <c r="A26" s="5"/>
      <c r="B26" s="5" t="s">
        <v>11</v>
      </c>
      <c r="C26" s="5"/>
      <c r="D26" s="5"/>
      <c r="E26" s="5"/>
      <c r="F26" s="5"/>
      <c r="G26" s="5"/>
      <c r="H26" s="5"/>
      <c r="I26" s="5"/>
      <c r="J26" s="5"/>
      <c r="K26" s="5"/>
      <c r="Q26" s="1">
        <f t="shared" ref="Q26:BA26" si="11">Q84</f>
        <v>0</v>
      </c>
      <c r="R26" s="1">
        <f t="shared" si="11"/>
        <v>0</v>
      </c>
      <c r="S26" s="1">
        <f t="shared" si="11"/>
        <v>0</v>
      </c>
      <c r="T26" s="1">
        <f t="shared" si="11"/>
        <v>0</v>
      </c>
      <c r="U26" s="1">
        <f t="shared" si="11"/>
        <v>0</v>
      </c>
      <c r="V26" s="1">
        <f t="shared" si="11"/>
        <v>0</v>
      </c>
      <c r="W26" s="1">
        <f t="shared" si="11"/>
        <v>0</v>
      </c>
      <c r="X26" s="1">
        <f t="shared" si="11"/>
        <v>0</v>
      </c>
      <c r="Y26" s="1">
        <f t="shared" si="11"/>
        <v>0</v>
      </c>
      <c r="Z26" s="1">
        <f t="shared" si="11"/>
        <v>0</v>
      </c>
      <c r="AA26" s="1">
        <f t="shared" si="11"/>
        <v>0</v>
      </c>
      <c r="AB26" s="1">
        <f t="shared" si="11"/>
        <v>0</v>
      </c>
      <c r="AC26" s="1">
        <f t="shared" si="11"/>
        <v>0</v>
      </c>
      <c r="AD26" s="1">
        <f t="shared" si="11"/>
        <v>0</v>
      </c>
      <c r="AE26" s="1">
        <f t="shared" si="11"/>
        <v>0</v>
      </c>
      <c r="AF26" s="1">
        <f t="shared" si="11"/>
        <v>0</v>
      </c>
      <c r="AG26" s="1">
        <f t="shared" si="11"/>
        <v>0</v>
      </c>
      <c r="AH26" s="1">
        <f t="shared" si="11"/>
        <v>0</v>
      </c>
      <c r="AI26" s="1">
        <f t="shared" si="11"/>
        <v>0</v>
      </c>
      <c r="AJ26" s="1">
        <f t="shared" si="11"/>
        <v>0</v>
      </c>
      <c r="AK26" s="1">
        <f t="shared" si="11"/>
        <v>0</v>
      </c>
      <c r="AL26" s="1">
        <f t="shared" si="11"/>
        <v>0</v>
      </c>
      <c r="AM26" s="1">
        <f t="shared" si="11"/>
        <v>0</v>
      </c>
      <c r="AN26" s="1">
        <f t="shared" si="11"/>
        <v>0</v>
      </c>
      <c r="AO26" s="1">
        <f t="shared" si="11"/>
        <v>0</v>
      </c>
      <c r="AP26" s="1">
        <f t="shared" si="11"/>
        <v>0</v>
      </c>
      <c r="AQ26" s="1">
        <f t="shared" si="11"/>
        <v>0</v>
      </c>
      <c r="AR26" s="1">
        <f t="shared" si="11"/>
        <v>0</v>
      </c>
      <c r="AS26" s="1">
        <f t="shared" si="11"/>
        <v>0</v>
      </c>
      <c r="AT26" s="1">
        <f t="shared" si="11"/>
        <v>0</v>
      </c>
      <c r="AU26" s="1">
        <f t="shared" si="11"/>
        <v>0</v>
      </c>
      <c r="AV26" s="1">
        <f t="shared" si="11"/>
        <v>0</v>
      </c>
      <c r="AW26" s="1">
        <f t="shared" si="11"/>
        <v>0</v>
      </c>
      <c r="AX26" s="1">
        <f t="shared" si="11"/>
        <v>0</v>
      </c>
      <c r="AY26" s="1">
        <f t="shared" si="11"/>
        <v>0</v>
      </c>
      <c r="AZ26" s="1">
        <f t="shared" si="11"/>
        <v>0</v>
      </c>
      <c r="BA26" s="1">
        <f t="shared" si="11"/>
        <v>0</v>
      </c>
    </row>
    <row r="27" spans="1:54" ht="15.75" customHeight="1" x14ac:dyDescent="0.35">
      <c r="A27" s="5"/>
      <c r="B27" s="5" t="s">
        <v>51</v>
      </c>
      <c r="C27" s="5"/>
      <c r="D27" s="5"/>
      <c r="E27" s="5"/>
      <c r="F27" s="5"/>
      <c r="G27" s="5"/>
      <c r="H27" s="5"/>
      <c r="I27" s="5"/>
      <c r="J27" s="5"/>
      <c r="K27" s="5"/>
      <c r="Q27" s="1">
        <f t="shared" ref="Q27:T27" si="12">SUM(Q29,-Q26)</f>
        <v>0</v>
      </c>
      <c r="R27" s="1">
        <f t="shared" si="12"/>
        <v>0</v>
      </c>
      <c r="S27" s="1">
        <f t="shared" si="12"/>
        <v>0</v>
      </c>
      <c r="T27" s="1">
        <f t="shared" si="12"/>
        <v>0</v>
      </c>
      <c r="U27" s="1">
        <f>SUM(U29,-U26)</f>
        <v>0</v>
      </c>
      <c r="V27" s="1">
        <f t="shared" ref="V27:BA27" si="13">SUM(V29,-V26)</f>
        <v>0</v>
      </c>
      <c r="W27" s="1">
        <f t="shared" si="13"/>
        <v>0</v>
      </c>
      <c r="X27" s="1">
        <f t="shared" si="13"/>
        <v>0</v>
      </c>
      <c r="Y27" s="1">
        <f t="shared" si="13"/>
        <v>0</v>
      </c>
      <c r="Z27" s="1">
        <f t="shared" si="13"/>
        <v>0</v>
      </c>
      <c r="AA27" s="1">
        <f t="shared" si="13"/>
        <v>0</v>
      </c>
      <c r="AB27" s="1">
        <f t="shared" si="13"/>
        <v>0</v>
      </c>
      <c r="AC27" s="1">
        <f t="shared" si="13"/>
        <v>0</v>
      </c>
      <c r="AD27" s="1">
        <f t="shared" si="13"/>
        <v>0</v>
      </c>
      <c r="AE27" s="1">
        <f t="shared" si="13"/>
        <v>0</v>
      </c>
      <c r="AF27" s="1">
        <f t="shared" si="13"/>
        <v>0</v>
      </c>
      <c r="AG27" s="1">
        <f t="shared" si="13"/>
        <v>0</v>
      </c>
      <c r="AH27" s="1">
        <f t="shared" si="13"/>
        <v>0</v>
      </c>
      <c r="AI27" s="1">
        <f t="shared" si="13"/>
        <v>0</v>
      </c>
      <c r="AJ27" s="1">
        <f t="shared" si="13"/>
        <v>0</v>
      </c>
      <c r="AK27" s="1">
        <f t="shared" si="13"/>
        <v>0</v>
      </c>
      <c r="AL27" s="1">
        <f t="shared" si="13"/>
        <v>0</v>
      </c>
      <c r="AM27" s="1">
        <f t="shared" si="13"/>
        <v>0</v>
      </c>
      <c r="AN27" s="1">
        <f t="shared" si="13"/>
        <v>0</v>
      </c>
      <c r="AO27" s="1">
        <f t="shared" si="13"/>
        <v>0</v>
      </c>
      <c r="AP27" s="1">
        <f t="shared" si="13"/>
        <v>0</v>
      </c>
      <c r="AQ27" s="1">
        <f t="shared" si="13"/>
        <v>0</v>
      </c>
      <c r="AR27" s="1">
        <f t="shared" si="13"/>
        <v>0</v>
      </c>
      <c r="AS27" s="1">
        <f t="shared" si="13"/>
        <v>0</v>
      </c>
      <c r="AT27" s="1">
        <f t="shared" si="13"/>
        <v>0</v>
      </c>
      <c r="AU27" s="1">
        <f t="shared" si="13"/>
        <v>0</v>
      </c>
      <c r="AV27" s="1">
        <f t="shared" si="13"/>
        <v>0</v>
      </c>
      <c r="AW27" s="1">
        <f t="shared" si="13"/>
        <v>0</v>
      </c>
      <c r="AX27" s="1">
        <f t="shared" si="13"/>
        <v>0</v>
      </c>
      <c r="AY27" s="1">
        <f t="shared" si="13"/>
        <v>0</v>
      </c>
      <c r="AZ27" s="1">
        <f t="shared" si="13"/>
        <v>0</v>
      </c>
      <c r="BA27" s="1">
        <f t="shared" si="13"/>
        <v>0</v>
      </c>
    </row>
    <row r="28" spans="1:54" x14ac:dyDescent="0.35"/>
    <row r="29" spans="1:54" ht="15.75" customHeight="1" x14ac:dyDescent="0.35">
      <c r="A29" s="3" t="s">
        <v>13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4">
        <f t="shared" ref="Q29:BA29" si="14">SUM(Q30:Q31)</f>
        <v>0</v>
      </c>
      <c r="R29" s="4">
        <f t="shared" si="14"/>
        <v>0</v>
      </c>
      <c r="S29" s="4">
        <f t="shared" si="14"/>
        <v>0</v>
      </c>
      <c r="T29" s="4">
        <f t="shared" si="14"/>
        <v>0</v>
      </c>
      <c r="U29" s="4">
        <f t="shared" si="14"/>
        <v>0</v>
      </c>
      <c r="V29" s="4">
        <f t="shared" si="14"/>
        <v>0</v>
      </c>
      <c r="W29" s="4">
        <f t="shared" si="14"/>
        <v>0</v>
      </c>
      <c r="X29" s="4">
        <f t="shared" si="14"/>
        <v>0</v>
      </c>
      <c r="Y29" s="4">
        <f t="shared" si="14"/>
        <v>0</v>
      </c>
      <c r="Z29" s="4">
        <f t="shared" si="14"/>
        <v>0</v>
      </c>
      <c r="AA29" s="4">
        <f t="shared" si="14"/>
        <v>0</v>
      </c>
      <c r="AB29" s="4">
        <f t="shared" si="14"/>
        <v>0</v>
      </c>
      <c r="AC29" s="4">
        <f t="shared" si="14"/>
        <v>0</v>
      </c>
      <c r="AD29" s="4">
        <f t="shared" si="14"/>
        <v>0</v>
      </c>
      <c r="AE29" s="4">
        <f t="shared" si="14"/>
        <v>0</v>
      </c>
      <c r="AF29" s="4">
        <f t="shared" si="14"/>
        <v>0</v>
      </c>
      <c r="AG29" s="4">
        <f t="shared" si="14"/>
        <v>0</v>
      </c>
      <c r="AH29" s="4">
        <f t="shared" si="14"/>
        <v>0</v>
      </c>
      <c r="AI29" s="4">
        <f t="shared" si="14"/>
        <v>0</v>
      </c>
      <c r="AJ29" s="4">
        <f t="shared" si="14"/>
        <v>0</v>
      </c>
      <c r="AK29" s="4">
        <f t="shared" si="14"/>
        <v>0</v>
      </c>
      <c r="AL29" s="4">
        <f t="shared" si="14"/>
        <v>0</v>
      </c>
      <c r="AM29" s="4">
        <f t="shared" si="14"/>
        <v>0</v>
      </c>
      <c r="AN29" s="4">
        <f t="shared" si="14"/>
        <v>0</v>
      </c>
      <c r="AO29" s="4">
        <f t="shared" si="14"/>
        <v>0</v>
      </c>
      <c r="AP29" s="4">
        <f t="shared" si="14"/>
        <v>0</v>
      </c>
      <c r="AQ29" s="4">
        <f t="shared" si="14"/>
        <v>0</v>
      </c>
      <c r="AR29" s="4">
        <f t="shared" si="14"/>
        <v>0</v>
      </c>
      <c r="AS29" s="4">
        <f t="shared" si="14"/>
        <v>0</v>
      </c>
      <c r="AT29" s="4">
        <f t="shared" si="14"/>
        <v>0</v>
      </c>
      <c r="AU29" s="4">
        <f t="shared" si="14"/>
        <v>0</v>
      </c>
      <c r="AV29" s="4">
        <f t="shared" si="14"/>
        <v>0</v>
      </c>
      <c r="AW29" s="4">
        <f t="shared" si="14"/>
        <v>0</v>
      </c>
      <c r="AX29" s="4">
        <f t="shared" si="14"/>
        <v>0</v>
      </c>
      <c r="AY29" s="4">
        <f t="shared" si="14"/>
        <v>0</v>
      </c>
      <c r="AZ29" s="4">
        <f t="shared" si="14"/>
        <v>0</v>
      </c>
      <c r="BA29" s="4">
        <f t="shared" si="14"/>
        <v>0</v>
      </c>
    </row>
    <row r="30" spans="1:54" ht="15.75" customHeight="1" x14ac:dyDescent="0.35">
      <c r="A30" s="5"/>
      <c r="B30" s="5" t="s">
        <v>14</v>
      </c>
      <c r="C30" s="5"/>
      <c r="D30" s="5"/>
      <c r="E30" s="5"/>
      <c r="F30" s="5"/>
      <c r="G30" s="5"/>
      <c r="H30" s="5"/>
      <c r="I30" s="5"/>
      <c r="J30" s="5"/>
      <c r="K30" s="5"/>
      <c r="Q30" s="1">
        <f t="shared" ref="Q30:BA30" si="15">Q117</f>
        <v>0</v>
      </c>
      <c r="R30" s="1">
        <f t="shared" si="15"/>
        <v>0</v>
      </c>
      <c r="S30" s="1">
        <f t="shared" si="15"/>
        <v>0</v>
      </c>
      <c r="T30" s="1">
        <f t="shared" si="15"/>
        <v>0</v>
      </c>
      <c r="U30" s="1">
        <f t="shared" si="15"/>
        <v>0</v>
      </c>
      <c r="V30" s="1">
        <f t="shared" si="15"/>
        <v>0</v>
      </c>
      <c r="W30" s="1">
        <f t="shared" si="15"/>
        <v>0</v>
      </c>
      <c r="X30" s="1">
        <f t="shared" si="15"/>
        <v>0</v>
      </c>
      <c r="Y30" s="1">
        <f t="shared" si="15"/>
        <v>0</v>
      </c>
      <c r="Z30" s="1">
        <f t="shared" si="15"/>
        <v>0</v>
      </c>
      <c r="AA30" s="1">
        <f t="shared" si="15"/>
        <v>0</v>
      </c>
      <c r="AB30" s="1">
        <f t="shared" si="15"/>
        <v>0</v>
      </c>
      <c r="AC30" s="1">
        <f t="shared" si="15"/>
        <v>0</v>
      </c>
      <c r="AD30" s="1">
        <f t="shared" si="15"/>
        <v>0</v>
      </c>
      <c r="AE30" s="1">
        <f t="shared" si="15"/>
        <v>0</v>
      </c>
      <c r="AF30" s="1">
        <f t="shared" si="15"/>
        <v>0</v>
      </c>
      <c r="AG30" s="1">
        <f t="shared" si="15"/>
        <v>0</v>
      </c>
      <c r="AH30" s="1">
        <f t="shared" si="15"/>
        <v>0</v>
      </c>
      <c r="AI30" s="1">
        <f t="shared" si="15"/>
        <v>0</v>
      </c>
      <c r="AJ30" s="1">
        <f t="shared" si="15"/>
        <v>0</v>
      </c>
      <c r="AK30" s="1">
        <f t="shared" si="15"/>
        <v>0</v>
      </c>
      <c r="AL30" s="1">
        <f t="shared" si="15"/>
        <v>0</v>
      </c>
      <c r="AM30" s="1">
        <f t="shared" si="15"/>
        <v>0</v>
      </c>
      <c r="AN30" s="1">
        <f t="shared" si="15"/>
        <v>0</v>
      </c>
      <c r="AO30" s="1">
        <f t="shared" si="15"/>
        <v>0</v>
      </c>
      <c r="AP30" s="1">
        <f t="shared" si="15"/>
        <v>0</v>
      </c>
      <c r="AQ30" s="1">
        <f t="shared" si="15"/>
        <v>0</v>
      </c>
      <c r="AR30" s="1">
        <f t="shared" si="15"/>
        <v>0</v>
      </c>
      <c r="AS30" s="1">
        <f t="shared" si="15"/>
        <v>0</v>
      </c>
      <c r="AT30" s="1">
        <f t="shared" si="15"/>
        <v>0</v>
      </c>
      <c r="AU30" s="1">
        <f t="shared" si="15"/>
        <v>0</v>
      </c>
      <c r="AV30" s="1">
        <f t="shared" si="15"/>
        <v>0</v>
      </c>
      <c r="AW30" s="1">
        <f t="shared" si="15"/>
        <v>0</v>
      </c>
      <c r="AX30" s="1">
        <f t="shared" si="15"/>
        <v>0</v>
      </c>
      <c r="AY30" s="1">
        <f t="shared" si="15"/>
        <v>0</v>
      </c>
      <c r="AZ30" s="1">
        <f t="shared" si="15"/>
        <v>0</v>
      </c>
      <c r="BA30" s="1">
        <f t="shared" si="15"/>
        <v>0</v>
      </c>
    </row>
    <row r="31" spans="1:54" ht="15.75" customHeight="1" x14ac:dyDescent="0.35">
      <c r="A31" s="5"/>
      <c r="B31" s="5" t="s">
        <v>15</v>
      </c>
      <c r="C31" s="5"/>
      <c r="D31" s="5"/>
      <c r="E31" s="5"/>
      <c r="F31" s="5"/>
      <c r="G31" s="5"/>
      <c r="H31" s="5"/>
      <c r="I31" s="5"/>
      <c r="J31" s="5"/>
      <c r="K31" s="5"/>
      <c r="Q31" s="1">
        <f t="shared" ref="Q31:AQ31" si="16">SUM(Q130,Q145)</f>
        <v>0</v>
      </c>
      <c r="R31" s="1">
        <f t="shared" si="16"/>
        <v>0</v>
      </c>
      <c r="S31" s="1">
        <f t="shared" si="16"/>
        <v>0</v>
      </c>
      <c r="T31" s="1">
        <f t="shared" si="16"/>
        <v>0</v>
      </c>
      <c r="U31" s="1">
        <f t="shared" si="16"/>
        <v>0</v>
      </c>
      <c r="V31" s="1">
        <f t="shared" si="16"/>
        <v>0</v>
      </c>
      <c r="W31" s="1">
        <f t="shared" si="16"/>
        <v>0</v>
      </c>
      <c r="X31" s="1">
        <f t="shared" si="16"/>
        <v>0</v>
      </c>
      <c r="Y31" s="1">
        <f t="shared" si="16"/>
        <v>0</v>
      </c>
      <c r="Z31" s="1">
        <f t="shared" si="16"/>
        <v>0</v>
      </c>
      <c r="AA31" s="1">
        <f t="shared" si="16"/>
        <v>0</v>
      </c>
      <c r="AB31" s="1">
        <f t="shared" si="16"/>
        <v>0</v>
      </c>
      <c r="AC31" s="1">
        <f t="shared" si="16"/>
        <v>0</v>
      </c>
      <c r="AD31" s="1">
        <f t="shared" si="16"/>
        <v>0</v>
      </c>
      <c r="AE31" s="1">
        <f t="shared" si="16"/>
        <v>0</v>
      </c>
      <c r="AF31" s="1">
        <f t="shared" si="16"/>
        <v>0</v>
      </c>
      <c r="AG31" s="1">
        <f t="shared" si="16"/>
        <v>0</v>
      </c>
      <c r="AH31" s="1">
        <f t="shared" si="16"/>
        <v>0</v>
      </c>
      <c r="AI31" s="1">
        <f t="shared" si="16"/>
        <v>0</v>
      </c>
      <c r="AJ31" s="1">
        <f t="shared" si="16"/>
        <v>0</v>
      </c>
      <c r="AK31" s="1">
        <f t="shared" si="16"/>
        <v>0</v>
      </c>
      <c r="AL31" s="1">
        <f t="shared" si="16"/>
        <v>0</v>
      </c>
      <c r="AM31" s="1">
        <f t="shared" si="16"/>
        <v>0</v>
      </c>
      <c r="AN31" s="1">
        <f t="shared" si="16"/>
        <v>0</v>
      </c>
      <c r="AO31" s="1">
        <f t="shared" si="16"/>
        <v>0</v>
      </c>
      <c r="AP31" s="1">
        <f t="shared" si="16"/>
        <v>0</v>
      </c>
      <c r="AQ31" s="1">
        <f t="shared" si="16"/>
        <v>0</v>
      </c>
      <c r="AR31" s="1">
        <f>SUM(AR130,AR145)</f>
        <v>0</v>
      </c>
      <c r="AS31" s="1">
        <f t="shared" ref="AS31:BA31" si="17">SUM(AS130,AS145)</f>
        <v>0</v>
      </c>
      <c r="AT31" s="1">
        <f t="shared" si="17"/>
        <v>0</v>
      </c>
      <c r="AU31" s="1">
        <f t="shared" si="17"/>
        <v>0</v>
      </c>
      <c r="AV31" s="1">
        <f t="shared" si="17"/>
        <v>0</v>
      </c>
      <c r="AW31" s="1">
        <f t="shared" si="17"/>
        <v>0</v>
      </c>
      <c r="AX31" s="1">
        <f t="shared" si="17"/>
        <v>0</v>
      </c>
      <c r="AY31" s="1">
        <f t="shared" si="17"/>
        <v>0</v>
      </c>
      <c r="AZ31" s="1">
        <f t="shared" si="17"/>
        <v>0</v>
      </c>
      <c r="BA31" s="1">
        <f t="shared" si="17"/>
        <v>0</v>
      </c>
    </row>
    <row r="32" spans="1:54" x14ac:dyDescent="0.35"/>
    <row r="33" spans="1:54" ht="15.75" customHeight="1" thickBot="1" x14ac:dyDescent="0.4">
      <c r="A33" s="44" t="s">
        <v>64</v>
      </c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5"/>
    </row>
    <row r="34" spans="1:54" ht="15" thickTop="1" x14ac:dyDescent="0.35"/>
    <row r="35" spans="1:54" ht="15.75" customHeight="1" x14ac:dyDescent="0.35">
      <c r="A35" s="3" t="s">
        <v>16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4">
        <f t="shared" ref="N35:N43" si="18">SUM(Q35:BA35)</f>
        <v>0</v>
      </c>
      <c r="O35" s="3"/>
      <c r="P35" s="3"/>
      <c r="Q35" s="4">
        <f t="shared" ref="Q35:BA35" si="19">SUM(Q36:Q43)</f>
        <v>0</v>
      </c>
      <c r="R35" s="4">
        <f t="shared" si="19"/>
        <v>0</v>
      </c>
      <c r="S35" s="4">
        <f t="shared" si="19"/>
        <v>0</v>
      </c>
      <c r="T35" s="4">
        <f t="shared" si="19"/>
        <v>0</v>
      </c>
      <c r="U35" s="4">
        <f t="shared" si="19"/>
        <v>0</v>
      </c>
      <c r="V35" s="4">
        <f t="shared" si="19"/>
        <v>0</v>
      </c>
      <c r="W35" s="4">
        <f t="shared" si="19"/>
        <v>0</v>
      </c>
      <c r="X35" s="4">
        <f t="shared" si="19"/>
        <v>0</v>
      </c>
      <c r="Y35" s="4">
        <f t="shared" si="19"/>
        <v>0</v>
      </c>
      <c r="Z35" s="4">
        <f t="shared" si="19"/>
        <v>0</v>
      </c>
      <c r="AA35" s="4">
        <f t="shared" si="19"/>
        <v>0</v>
      </c>
      <c r="AB35" s="4">
        <f t="shared" si="19"/>
        <v>0</v>
      </c>
      <c r="AC35" s="4">
        <f t="shared" si="19"/>
        <v>0</v>
      </c>
      <c r="AD35" s="4">
        <f t="shared" si="19"/>
        <v>0</v>
      </c>
      <c r="AE35" s="4">
        <f t="shared" si="19"/>
        <v>0</v>
      </c>
      <c r="AF35" s="4">
        <f t="shared" si="19"/>
        <v>0</v>
      </c>
      <c r="AG35" s="4">
        <f t="shared" si="19"/>
        <v>0</v>
      </c>
      <c r="AH35" s="4">
        <f t="shared" si="19"/>
        <v>0</v>
      </c>
      <c r="AI35" s="4">
        <f t="shared" si="19"/>
        <v>0</v>
      </c>
      <c r="AJ35" s="4">
        <f t="shared" si="19"/>
        <v>0</v>
      </c>
      <c r="AK35" s="4">
        <f t="shared" si="19"/>
        <v>0</v>
      </c>
      <c r="AL35" s="4">
        <f t="shared" si="19"/>
        <v>0</v>
      </c>
      <c r="AM35" s="4">
        <f t="shared" si="19"/>
        <v>0</v>
      </c>
      <c r="AN35" s="4">
        <f t="shared" si="19"/>
        <v>0</v>
      </c>
      <c r="AO35" s="4">
        <f t="shared" si="19"/>
        <v>0</v>
      </c>
      <c r="AP35" s="4">
        <f t="shared" si="19"/>
        <v>0</v>
      </c>
      <c r="AQ35" s="4">
        <f t="shared" si="19"/>
        <v>0</v>
      </c>
      <c r="AR35" s="4">
        <f t="shared" si="19"/>
        <v>0</v>
      </c>
      <c r="AS35" s="4">
        <f t="shared" si="19"/>
        <v>0</v>
      </c>
      <c r="AT35" s="4">
        <f t="shared" si="19"/>
        <v>0</v>
      </c>
      <c r="AU35" s="4">
        <f t="shared" si="19"/>
        <v>0</v>
      </c>
      <c r="AV35" s="4">
        <f t="shared" si="19"/>
        <v>0</v>
      </c>
      <c r="AW35" s="4">
        <f t="shared" si="19"/>
        <v>0</v>
      </c>
      <c r="AX35" s="4">
        <f t="shared" si="19"/>
        <v>0</v>
      </c>
      <c r="AY35" s="4">
        <f t="shared" si="19"/>
        <v>0</v>
      </c>
      <c r="AZ35" s="4">
        <f t="shared" si="19"/>
        <v>0</v>
      </c>
      <c r="BA35" s="4">
        <f t="shared" si="19"/>
        <v>0</v>
      </c>
    </row>
    <row r="36" spans="1:54" ht="15.75" customHeight="1" x14ac:dyDescent="0.35">
      <c r="A36" s="5"/>
      <c r="B36" s="5" t="s">
        <v>136</v>
      </c>
      <c r="C36" s="5"/>
      <c r="D36" s="5"/>
      <c r="E36" s="5"/>
      <c r="F36" s="5"/>
      <c r="G36" s="5"/>
      <c r="H36" s="5"/>
      <c r="I36" s="5"/>
      <c r="J36" s="5"/>
      <c r="K36" s="5"/>
      <c r="L36" s="5"/>
      <c r="N36" s="1">
        <f t="shared" si="18"/>
        <v>0</v>
      </c>
      <c r="Q36" s="1">
        <f t="shared" ref="Q36:BA36" si="20">Q88</f>
        <v>0</v>
      </c>
      <c r="R36" s="1">
        <f t="shared" si="20"/>
        <v>0</v>
      </c>
      <c r="S36" s="1">
        <f t="shared" si="20"/>
        <v>0</v>
      </c>
      <c r="T36" s="1">
        <f t="shared" si="20"/>
        <v>0</v>
      </c>
      <c r="U36" s="1">
        <f t="shared" si="20"/>
        <v>0</v>
      </c>
      <c r="V36" s="1">
        <f t="shared" si="20"/>
        <v>0</v>
      </c>
      <c r="W36" s="1">
        <f t="shared" si="20"/>
        <v>0</v>
      </c>
      <c r="X36" s="1">
        <f t="shared" si="20"/>
        <v>0</v>
      </c>
      <c r="Y36" s="1">
        <f t="shared" si="20"/>
        <v>0</v>
      </c>
      <c r="Z36" s="1">
        <f t="shared" si="20"/>
        <v>0</v>
      </c>
      <c r="AA36" s="1">
        <f t="shared" si="20"/>
        <v>0</v>
      </c>
      <c r="AB36" s="1">
        <f t="shared" si="20"/>
        <v>0</v>
      </c>
      <c r="AC36" s="1">
        <f t="shared" si="20"/>
        <v>0</v>
      </c>
      <c r="AD36" s="1">
        <f t="shared" si="20"/>
        <v>0</v>
      </c>
      <c r="AE36" s="1">
        <f t="shared" si="20"/>
        <v>0</v>
      </c>
      <c r="AF36" s="1">
        <f t="shared" si="20"/>
        <v>0</v>
      </c>
      <c r="AG36" s="1">
        <f t="shared" si="20"/>
        <v>0</v>
      </c>
      <c r="AH36" s="1">
        <f t="shared" si="20"/>
        <v>0</v>
      </c>
      <c r="AI36" s="1">
        <f t="shared" si="20"/>
        <v>0</v>
      </c>
      <c r="AJ36" s="1">
        <f t="shared" si="20"/>
        <v>0</v>
      </c>
      <c r="AK36" s="1">
        <f t="shared" si="20"/>
        <v>0</v>
      </c>
      <c r="AL36" s="1">
        <f t="shared" si="20"/>
        <v>0</v>
      </c>
      <c r="AM36" s="1">
        <f t="shared" si="20"/>
        <v>0</v>
      </c>
      <c r="AN36" s="1">
        <f t="shared" si="20"/>
        <v>0</v>
      </c>
      <c r="AO36" s="1">
        <f t="shared" si="20"/>
        <v>0</v>
      </c>
      <c r="AP36" s="1">
        <f t="shared" si="20"/>
        <v>0</v>
      </c>
      <c r="AQ36" s="1">
        <f t="shared" si="20"/>
        <v>0</v>
      </c>
      <c r="AR36" s="1">
        <f t="shared" si="20"/>
        <v>0</v>
      </c>
      <c r="AS36" s="1">
        <f t="shared" si="20"/>
        <v>0</v>
      </c>
      <c r="AT36" s="1">
        <f t="shared" si="20"/>
        <v>0</v>
      </c>
      <c r="AU36" s="1">
        <f t="shared" si="20"/>
        <v>0</v>
      </c>
      <c r="AV36" s="1">
        <f t="shared" si="20"/>
        <v>0</v>
      </c>
      <c r="AW36" s="1">
        <f t="shared" si="20"/>
        <v>0</v>
      </c>
      <c r="AX36" s="1">
        <f t="shared" si="20"/>
        <v>0</v>
      </c>
      <c r="AY36" s="1">
        <f t="shared" si="20"/>
        <v>0</v>
      </c>
      <c r="AZ36" s="1">
        <f t="shared" si="20"/>
        <v>0</v>
      </c>
      <c r="BA36" s="1">
        <f t="shared" si="20"/>
        <v>0</v>
      </c>
    </row>
    <row r="37" spans="1:54" ht="15.75" customHeight="1" x14ac:dyDescent="0.35">
      <c r="A37" s="5"/>
      <c r="B37" s="5" t="s">
        <v>99</v>
      </c>
      <c r="C37" s="5"/>
      <c r="D37" s="5"/>
      <c r="E37" s="5"/>
      <c r="F37" s="5"/>
      <c r="G37" s="5"/>
      <c r="H37" s="5"/>
      <c r="I37" s="5"/>
      <c r="J37" s="5"/>
      <c r="K37" s="5"/>
      <c r="L37" s="5"/>
      <c r="N37" s="1">
        <f t="shared" si="18"/>
        <v>0</v>
      </c>
      <c r="Q37" s="1">
        <f t="shared" ref="Q37:BA37" si="21">-Q176</f>
        <v>0</v>
      </c>
      <c r="R37" s="1">
        <f t="shared" si="21"/>
        <v>0</v>
      </c>
      <c r="S37" s="1">
        <f t="shared" si="21"/>
        <v>0</v>
      </c>
      <c r="T37" s="1">
        <f t="shared" si="21"/>
        <v>0</v>
      </c>
      <c r="U37" s="1">
        <f t="shared" si="21"/>
        <v>0</v>
      </c>
      <c r="V37" s="1">
        <f t="shared" si="21"/>
        <v>0</v>
      </c>
      <c r="W37" s="1">
        <f t="shared" si="21"/>
        <v>0</v>
      </c>
      <c r="X37" s="1">
        <f t="shared" si="21"/>
        <v>0</v>
      </c>
      <c r="Y37" s="1">
        <f t="shared" si="21"/>
        <v>0</v>
      </c>
      <c r="Z37" s="1">
        <f t="shared" si="21"/>
        <v>0</v>
      </c>
      <c r="AA37" s="1">
        <f t="shared" si="21"/>
        <v>0</v>
      </c>
      <c r="AB37" s="1">
        <f t="shared" si="21"/>
        <v>0</v>
      </c>
      <c r="AC37" s="1">
        <f t="shared" si="21"/>
        <v>0</v>
      </c>
      <c r="AD37" s="1">
        <f t="shared" si="21"/>
        <v>0</v>
      </c>
      <c r="AE37" s="1">
        <f t="shared" si="21"/>
        <v>0</v>
      </c>
      <c r="AF37" s="1">
        <f t="shared" si="21"/>
        <v>0</v>
      </c>
      <c r="AG37" s="1">
        <f t="shared" si="21"/>
        <v>0</v>
      </c>
      <c r="AH37" s="1">
        <f t="shared" si="21"/>
        <v>0</v>
      </c>
      <c r="AI37" s="1">
        <f t="shared" si="21"/>
        <v>0</v>
      </c>
      <c r="AJ37" s="1">
        <f t="shared" si="21"/>
        <v>0</v>
      </c>
      <c r="AK37" s="1">
        <f t="shared" si="21"/>
        <v>0</v>
      </c>
      <c r="AL37" s="1">
        <f t="shared" si="21"/>
        <v>0</v>
      </c>
      <c r="AM37" s="1">
        <f t="shared" si="21"/>
        <v>0</v>
      </c>
      <c r="AN37" s="1">
        <f t="shared" si="21"/>
        <v>0</v>
      </c>
      <c r="AO37" s="1">
        <f t="shared" si="21"/>
        <v>0</v>
      </c>
      <c r="AP37" s="1">
        <f t="shared" si="21"/>
        <v>0</v>
      </c>
      <c r="AQ37" s="1">
        <f t="shared" si="21"/>
        <v>0</v>
      </c>
      <c r="AR37" s="1">
        <f t="shared" si="21"/>
        <v>0</v>
      </c>
      <c r="AS37" s="1">
        <f t="shared" si="21"/>
        <v>0</v>
      </c>
      <c r="AT37" s="1">
        <f t="shared" si="21"/>
        <v>0</v>
      </c>
      <c r="AU37" s="1">
        <f t="shared" si="21"/>
        <v>0</v>
      </c>
      <c r="AV37" s="1">
        <f t="shared" si="21"/>
        <v>0</v>
      </c>
      <c r="AW37" s="1">
        <f t="shared" si="21"/>
        <v>0</v>
      </c>
      <c r="AX37" s="1">
        <f t="shared" si="21"/>
        <v>0</v>
      </c>
      <c r="AY37" s="1">
        <f t="shared" si="21"/>
        <v>0</v>
      </c>
      <c r="AZ37" s="1">
        <f t="shared" si="21"/>
        <v>0</v>
      </c>
      <c r="BA37" s="1">
        <f t="shared" si="21"/>
        <v>0</v>
      </c>
    </row>
    <row r="38" spans="1:54" ht="15.75" customHeight="1" x14ac:dyDescent="0.35">
      <c r="A38" s="5"/>
      <c r="B38" s="5" t="s">
        <v>100</v>
      </c>
      <c r="C38" s="5"/>
      <c r="D38" s="5"/>
      <c r="E38" s="5"/>
      <c r="F38" s="5"/>
      <c r="G38" s="5"/>
      <c r="H38" s="5"/>
      <c r="I38" s="5"/>
      <c r="J38" s="5"/>
      <c r="K38" s="5"/>
      <c r="L38" s="5"/>
      <c r="N38" s="1">
        <f t="shared" si="18"/>
        <v>0</v>
      </c>
      <c r="Q38" s="1">
        <f t="shared" ref="Q38:BA38" si="22">-Q177</f>
        <v>0</v>
      </c>
      <c r="R38" s="1">
        <f t="shared" si="22"/>
        <v>0</v>
      </c>
      <c r="S38" s="1">
        <f t="shared" si="22"/>
        <v>0</v>
      </c>
      <c r="T38" s="1">
        <f t="shared" si="22"/>
        <v>0</v>
      </c>
      <c r="U38" s="1">
        <f t="shared" si="22"/>
        <v>0</v>
      </c>
      <c r="V38" s="1">
        <f t="shared" si="22"/>
        <v>0</v>
      </c>
      <c r="W38" s="1">
        <f t="shared" si="22"/>
        <v>0</v>
      </c>
      <c r="X38" s="1">
        <f t="shared" si="22"/>
        <v>0</v>
      </c>
      <c r="Y38" s="1">
        <f t="shared" si="22"/>
        <v>0</v>
      </c>
      <c r="Z38" s="1">
        <f t="shared" si="22"/>
        <v>0</v>
      </c>
      <c r="AA38" s="1">
        <f t="shared" si="22"/>
        <v>0</v>
      </c>
      <c r="AB38" s="1">
        <f t="shared" si="22"/>
        <v>0</v>
      </c>
      <c r="AC38" s="1">
        <f t="shared" si="22"/>
        <v>0</v>
      </c>
      <c r="AD38" s="1">
        <f t="shared" si="22"/>
        <v>0</v>
      </c>
      <c r="AE38" s="1">
        <f t="shared" si="22"/>
        <v>0</v>
      </c>
      <c r="AF38" s="1">
        <f t="shared" si="22"/>
        <v>0</v>
      </c>
      <c r="AG38" s="1">
        <f t="shared" si="22"/>
        <v>0</v>
      </c>
      <c r="AH38" s="1">
        <f t="shared" si="22"/>
        <v>0</v>
      </c>
      <c r="AI38" s="1">
        <f t="shared" si="22"/>
        <v>0</v>
      </c>
      <c r="AJ38" s="1">
        <f t="shared" si="22"/>
        <v>0</v>
      </c>
      <c r="AK38" s="1">
        <f t="shared" si="22"/>
        <v>0</v>
      </c>
      <c r="AL38" s="1">
        <f t="shared" si="22"/>
        <v>0</v>
      </c>
      <c r="AM38" s="1">
        <f t="shared" si="22"/>
        <v>0</v>
      </c>
      <c r="AN38" s="1">
        <f t="shared" si="22"/>
        <v>0</v>
      </c>
      <c r="AO38" s="1">
        <f t="shared" si="22"/>
        <v>0</v>
      </c>
      <c r="AP38" s="1">
        <f t="shared" si="22"/>
        <v>0</v>
      </c>
      <c r="AQ38" s="1">
        <f t="shared" si="22"/>
        <v>0</v>
      </c>
      <c r="AR38" s="1">
        <f t="shared" si="22"/>
        <v>0</v>
      </c>
      <c r="AS38" s="1">
        <f t="shared" si="22"/>
        <v>0</v>
      </c>
      <c r="AT38" s="1">
        <f t="shared" si="22"/>
        <v>0</v>
      </c>
      <c r="AU38" s="1">
        <f t="shared" si="22"/>
        <v>0</v>
      </c>
      <c r="AV38" s="1">
        <f t="shared" si="22"/>
        <v>0</v>
      </c>
      <c r="AW38" s="1">
        <f t="shared" si="22"/>
        <v>0</v>
      </c>
      <c r="AX38" s="1">
        <f t="shared" si="22"/>
        <v>0</v>
      </c>
      <c r="AY38" s="1">
        <f t="shared" si="22"/>
        <v>0</v>
      </c>
      <c r="AZ38" s="1">
        <f t="shared" si="22"/>
        <v>0</v>
      </c>
      <c r="BA38" s="1">
        <f t="shared" si="22"/>
        <v>0</v>
      </c>
    </row>
    <row r="39" spans="1:54" ht="15.75" customHeight="1" x14ac:dyDescent="0.35">
      <c r="A39" s="5"/>
      <c r="B39" s="5" t="s">
        <v>66</v>
      </c>
      <c r="C39" s="5"/>
      <c r="D39" s="5"/>
      <c r="E39" s="5"/>
      <c r="F39" s="5"/>
      <c r="G39" s="5"/>
      <c r="H39" s="5"/>
      <c r="I39" s="5"/>
      <c r="J39" s="5"/>
      <c r="K39" s="5"/>
      <c r="L39" s="5"/>
      <c r="N39" s="1">
        <f t="shared" si="18"/>
        <v>0</v>
      </c>
      <c r="Q39" s="1">
        <f t="shared" ref="Q39:BA39" si="23">-Q69</f>
        <v>0</v>
      </c>
      <c r="R39" s="1">
        <f t="shared" si="23"/>
        <v>0</v>
      </c>
      <c r="S39" s="1">
        <f t="shared" si="23"/>
        <v>0</v>
      </c>
      <c r="T39" s="1">
        <f t="shared" si="23"/>
        <v>0</v>
      </c>
      <c r="U39" s="1">
        <f t="shared" si="23"/>
        <v>0</v>
      </c>
      <c r="V39" s="1">
        <f t="shared" si="23"/>
        <v>0</v>
      </c>
      <c r="W39" s="1">
        <f t="shared" si="23"/>
        <v>0</v>
      </c>
      <c r="X39" s="1">
        <f t="shared" si="23"/>
        <v>0</v>
      </c>
      <c r="Y39" s="1">
        <f t="shared" si="23"/>
        <v>0</v>
      </c>
      <c r="Z39" s="1">
        <f t="shared" si="23"/>
        <v>0</v>
      </c>
      <c r="AA39" s="1">
        <f t="shared" si="23"/>
        <v>0</v>
      </c>
      <c r="AB39" s="1">
        <f t="shared" si="23"/>
        <v>0</v>
      </c>
      <c r="AC39" s="1">
        <f t="shared" si="23"/>
        <v>0</v>
      </c>
      <c r="AD39" s="1">
        <f t="shared" si="23"/>
        <v>0</v>
      </c>
      <c r="AE39" s="1">
        <f t="shared" si="23"/>
        <v>0</v>
      </c>
      <c r="AF39" s="1">
        <f t="shared" si="23"/>
        <v>0</v>
      </c>
      <c r="AG39" s="1">
        <f t="shared" si="23"/>
        <v>0</v>
      </c>
      <c r="AH39" s="1">
        <f t="shared" si="23"/>
        <v>0</v>
      </c>
      <c r="AI39" s="1">
        <f t="shared" si="23"/>
        <v>0</v>
      </c>
      <c r="AJ39" s="1">
        <f t="shared" si="23"/>
        <v>0</v>
      </c>
      <c r="AK39" s="1">
        <f t="shared" si="23"/>
        <v>0</v>
      </c>
      <c r="AL39" s="1">
        <f t="shared" si="23"/>
        <v>0</v>
      </c>
      <c r="AM39" s="1">
        <f t="shared" si="23"/>
        <v>0</v>
      </c>
      <c r="AN39" s="1">
        <f t="shared" si="23"/>
        <v>0</v>
      </c>
      <c r="AO39" s="1">
        <f t="shared" si="23"/>
        <v>0</v>
      </c>
      <c r="AP39" s="1">
        <f t="shared" si="23"/>
        <v>0</v>
      </c>
      <c r="AQ39" s="1">
        <f t="shared" si="23"/>
        <v>0</v>
      </c>
      <c r="AR39" s="1">
        <f t="shared" si="23"/>
        <v>0</v>
      </c>
      <c r="AS39" s="1">
        <f t="shared" si="23"/>
        <v>0</v>
      </c>
      <c r="AT39" s="1">
        <f t="shared" si="23"/>
        <v>0</v>
      </c>
      <c r="AU39" s="1">
        <f t="shared" si="23"/>
        <v>0</v>
      </c>
      <c r="AV39" s="1">
        <f t="shared" si="23"/>
        <v>0</v>
      </c>
      <c r="AW39" s="1">
        <f t="shared" si="23"/>
        <v>0</v>
      </c>
      <c r="AX39" s="1">
        <f t="shared" si="23"/>
        <v>0</v>
      </c>
      <c r="AY39" s="1">
        <f t="shared" si="23"/>
        <v>0</v>
      </c>
      <c r="AZ39" s="1">
        <f t="shared" si="23"/>
        <v>0</v>
      </c>
      <c r="BA39" s="1">
        <f t="shared" si="23"/>
        <v>0</v>
      </c>
    </row>
    <row r="40" spans="1:54" ht="15.75" customHeight="1" x14ac:dyDescent="0.35">
      <c r="A40" s="5"/>
      <c r="B40" s="5" t="s">
        <v>142</v>
      </c>
      <c r="C40" s="5"/>
      <c r="D40" s="5"/>
      <c r="E40" s="5"/>
      <c r="F40" s="5"/>
      <c r="G40" s="5"/>
      <c r="H40" s="5"/>
      <c r="I40" s="5"/>
      <c r="J40" s="5"/>
      <c r="K40" s="5"/>
      <c r="L40" s="5"/>
      <c r="N40" s="1">
        <f t="shared" si="18"/>
        <v>0</v>
      </c>
      <c r="Q40" s="1">
        <f t="shared" ref="Q40:BA40" si="24">-Q74</f>
        <v>0</v>
      </c>
      <c r="R40" s="1">
        <f t="shared" si="24"/>
        <v>0</v>
      </c>
      <c r="S40" s="1">
        <f t="shared" si="24"/>
        <v>0</v>
      </c>
      <c r="T40" s="1">
        <f t="shared" si="24"/>
        <v>0</v>
      </c>
      <c r="U40" s="1">
        <f t="shared" si="24"/>
        <v>0</v>
      </c>
      <c r="V40" s="1">
        <f t="shared" si="24"/>
        <v>0</v>
      </c>
      <c r="W40" s="1">
        <f t="shared" si="24"/>
        <v>0</v>
      </c>
      <c r="X40" s="1">
        <f t="shared" si="24"/>
        <v>0</v>
      </c>
      <c r="Y40" s="1">
        <f t="shared" si="24"/>
        <v>0</v>
      </c>
      <c r="Z40" s="1">
        <f t="shared" si="24"/>
        <v>0</v>
      </c>
      <c r="AA40" s="1">
        <f t="shared" si="24"/>
        <v>0</v>
      </c>
      <c r="AB40" s="1">
        <f t="shared" si="24"/>
        <v>0</v>
      </c>
      <c r="AC40" s="1">
        <f t="shared" si="24"/>
        <v>0</v>
      </c>
      <c r="AD40" s="1">
        <f t="shared" si="24"/>
        <v>0</v>
      </c>
      <c r="AE40" s="1">
        <f t="shared" si="24"/>
        <v>0</v>
      </c>
      <c r="AF40" s="1">
        <f t="shared" si="24"/>
        <v>0</v>
      </c>
      <c r="AG40" s="1">
        <f t="shared" si="24"/>
        <v>0</v>
      </c>
      <c r="AH40" s="1">
        <f t="shared" si="24"/>
        <v>0</v>
      </c>
      <c r="AI40" s="1">
        <f t="shared" si="24"/>
        <v>0</v>
      </c>
      <c r="AJ40" s="1">
        <f t="shared" si="24"/>
        <v>0</v>
      </c>
      <c r="AK40" s="1">
        <f t="shared" si="24"/>
        <v>0</v>
      </c>
      <c r="AL40" s="1">
        <f t="shared" si="24"/>
        <v>0</v>
      </c>
      <c r="AM40" s="1">
        <f t="shared" si="24"/>
        <v>0</v>
      </c>
      <c r="AN40" s="1">
        <f t="shared" si="24"/>
        <v>0</v>
      </c>
      <c r="AO40" s="1">
        <f t="shared" si="24"/>
        <v>0</v>
      </c>
      <c r="AP40" s="1">
        <f t="shared" si="24"/>
        <v>0</v>
      </c>
      <c r="AQ40" s="1">
        <f t="shared" si="24"/>
        <v>0</v>
      </c>
      <c r="AR40" s="1">
        <f t="shared" si="24"/>
        <v>0</v>
      </c>
      <c r="AS40" s="1">
        <f t="shared" si="24"/>
        <v>0</v>
      </c>
      <c r="AT40" s="1">
        <f t="shared" si="24"/>
        <v>0</v>
      </c>
      <c r="AU40" s="1">
        <f t="shared" si="24"/>
        <v>0</v>
      </c>
      <c r="AV40" s="1">
        <f t="shared" si="24"/>
        <v>0</v>
      </c>
      <c r="AW40" s="1">
        <f t="shared" si="24"/>
        <v>0</v>
      </c>
      <c r="AX40" s="1">
        <f t="shared" si="24"/>
        <v>0</v>
      </c>
      <c r="AY40" s="1">
        <f t="shared" si="24"/>
        <v>0</v>
      </c>
      <c r="AZ40" s="1">
        <f t="shared" si="24"/>
        <v>0</v>
      </c>
      <c r="BA40" s="1">
        <f t="shared" si="24"/>
        <v>0</v>
      </c>
    </row>
    <row r="41" spans="1:54" ht="15.75" customHeight="1" x14ac:dyDescent="0.35">
      <c r="A41" s="5"/>
      <c r="B41" s="5" t="s">
        <v>6</v>
      </c>
      <c r="C41" s="5"/>
      <c r="D41" s="5"/>
      <c r="E41" s="5"/>
      <c r="F41" s="5"/>
      <c r="G41" s="5"/>
      <c r="H41" s="5"/>
      <c r="I41" s="5"/>
      <c r="J41" s="5"/>
      <c r="K41" s="5"/>
      <c r="L41" s="5"/>
      <c r="N41" s="1">
        <f t="shared" si="18"/>
        <v>0</v>
      </c>
      <c r="Q41" s="1">
        <f t="shared" ref="Q41:BA41" si="25">-Q73</f>
        <v>0</v>
      </c>
      <c r="R41" s="1">
        <f t="shared" si="25"/>
        <v>0</v>
      </c>
      <c r="S41" s="1">
        <f t="shared" si="25"/>
        <v>0</v>
      </c>
      <c r="T41" s="1">
        <f t="shared" si="25"/>
        <v>0</v>
      </c>
      <c r="U41" s="1">
        <f t="shared" si="25"/>
        <v>0</v>
      </c>
      <c r="V41" s="1">
        <f t="shared" si="25"/>
        <v>0</v>
      </c>
      <c r="W41" s="1">
        <f t="shared" si="25"/>
        <v>0</v>
      </c>
      <c r="X41" s="1">
        <f t="shared" si="25"/>
        <v>0</v>
      </c>
      <c r="Y41" s="1">
        <f t="shared" si="25"/>
        <v>0</v>
      </c>
      <c r="Z41" s="1">
        <f t="shared" si="25"/>
        <v>0</v>
      </c>
      <c r="AA41" s="1">
        <f t="shared" si="25"/>
        <v>0</v>
      </c>
      <c r="AB41" s="1">
        <f t="shared" si="25"/>
        <v>0</v>
      </c>
      <c r="AC41" s="1">
        <f t="shared" si="25"/>
        <v>0</v>
      </c>
      <c r="AD41" s="1">
        <f t="shared" si="25"/>
        <v>0</v>
      </c>
      <c r="AE41" s="1">
        <f t="shared" si="25"/>
        <v>0</v>
      </c>
      <c r="AF41" s="1">
        <f t="shared" si="25"/>
        <v>0</v>
      </c>
      <c r="AG41" s="1">
        <f t="shared" si="25"/>
        <v>0</v>
      </c>
      <c r="AH41" s="1">
        <f t="shared" si="25"/>
        <v>0</v>
      </c>
      <c r="AI41" s="1">
        <f t="shared" si="25"/>
        <v>0</v>
      </c>
      <c r="AJ41" s="1">
        <f t="shared" si="25"/>
        <v>0</v>
      </c>
      <c r="AK41" s="1">
        <f t="shared" si="25"/>
        <v>0</v>
      </c>
      <c r="AL41" s="1">
        <f t="shared" si="25"/>
        <v>0</v>
      </c>
      <c r="AM41" s="1">
        <f t="shared" si="25"/>
        <v>0</v>
      </c>
      <c r="AN41" s="1">
        <f t="shared" si="25"/>
        <v>0</v>
      </c>
      <c r="AO41" s="1">
        <f t="shared" si="25"/>
        <v>0</v>
      </c>
      <c r="AP41" s="1">
        <f t="shared" si="25"/>
        <v>0</v>
      </c>
      <c r="AQ41" s="1">
        <f t="shared" si="25"/>
        <v>0</v>
      </c>
      <c r="AR41" s="1">
        <f t="shared" si="25"/>
        <v>0</v>
      </c>
      <c r="AS41" s="1">
        <f t="shared" si="25"/>
        <v>0</v>
      </c>
      <c r="AT41" s="1">
        <f t="shared" si="25"/>
        <v>0</v>
      </c>
      <c r="AU41" s="1">
        <f t="shared" si="25"/>
        <v>0</v>
      </c>
      <c r="AV41" s="1">
        <f t="shared" si="25"/>
        <v>0</v>
      </c>
      <c r="AW41" s="1">
        <f t="shared" si="25"/>
        <v>0</v>
      </c>
      <c r="AX41" s="1">
        <f t="shared" si="25"/>
        <v>0</v>
      </c>
      <c r="AY41" s="1">
        <f t="shared" si="25"/>
        <v>0</v>
      </c>
      <c r="AZ41" s="1">
        <f t="shared" si="25"/>
        <v>0</v>
      </c>
      <c r="BA41" s="1">
        <f t="shared" si="25"/>
        <v>0</v>
      </c>
    </row>
    <row r="42" spans="1:54" ht="15.75" customHeight="1" x14ac:dyDescent="0.35">
      <c r="A42" s="5"/>
      <c r="B42" s="5" t="s">
        <v>9</v>
      </c>
      <c r="C42" s="5"/>
      <c r="D42" s="5"/>
      <c r="E42" s="5"/>
      <c r="F42" s="5"/>
      <c r="G42" s="5"/>
      <c r="H42" s="5"/>
      <c r="I42" s="5"/>
      <c r="J42" s="5"/>
      <c r="K42" s="5"/>
      <c r="L42" s="5"/>
      <c r="N42" s="1">
        <f t="shared" si="18"/>
        <v>0</v>
      </c>
      <c r="Q42" s="1">
        <f t="shared" ref="Q42:BA42" si="26">-Q19</f>
        <v>0</v>
      </c>
      <c r="R42" s="1">
        <f t="shared" si="26"/>
        <v>0</v>
      </c>
      <c r="S42" s="1">
        <f t="shared" si="26"/>
        <v>0</v>
      </c>
      <c r="T42" s="1">
        <f t="shared" si="26"/>
        <v>0</v>
      </c>
      <c r="U42" s="1">
        <f t="shared" si="26"/>
        <v>0</v>
      </c>
      <c r="V42" s="1">
        <f t="shared" si="26"/>
        <v>0</v>
      </c>
      <c r="W42" s="1">
        <f t="shared" si="26"/>
        <v>0</v>
      </c>
      <c r="X42" s="1">
        <f t="shared" si="26"/>
        <v>0</v>
      </c>
      <c r="Y42" s="1">
        <f t="shared" si="26"/>
        <v>0</v>
      </c>
      <c r="Z42" s="1">
        <f t="shared" si="26"/>
        <v>0</v>
      </c>
      <c r="AA42" s="1">
        <f t="shared" si="26"/>
        <v>0</v>
      </c>
      <c r="AB42" s="1">
        <f t="shared" si="26"/>
        <v>0</v>
      </c>
      <c r="AC42" s="1">
        <f t="shared" si="26"/>
        <v>0</v>
      </c>
      <c r="AD42" s="1">
        <f t="shared" si="26"/>
        <v>0</v>
      </c>
      <c r="AE42" s="1">
        <f t="shared" si="26"/>
        <v>0</v>
      </c>
      <c r="AF42" s="1">
        <f t="shared" si="26"/>
        <v>0</v>
      </c>
      <c r="AG42" s="1">
        <f t="shared" si="26"/>
        <v>0</v>
      </c>
      <c r="AH42" s="1">
        <f t="shared" si="26"/>
        <v>0</v>
      </c>
      <c r="AI42" s="1">
        <f t="shared" si="26"/>
        <v>0</v>
      </c>
      <c r="AJ42" s="1">
        <f t="shared" si="26"/>
        <v>0</v>
      </c>
      <c r="AK42" s="1">
        <f t="shared" si="26"/>
        <v>0</v>
      </c>
      <c r="AL42" s="1">
        <f t="shared" si="26"/>
        <v>0</v>
      </c>
      <c r="AM42" s="1">
        <f t="shared" si="26"/>
        <v>0</v>
      </c>
      <c r="AN42" s="1">
        <f t="shared" si="26"/>
        <v>0</v>
      </c>
      <c r="AO42" s="1">
        <f t="shared" si="26"/>
        <v>0</v>
      </c>
      <c r="AP42" s="1">
        <f t="shared" si="26"/>
        <v>0</v>
      </c>
      <c r="AQ42" s="1">
        <f t="shared" si="26"/>
        <v>0</v>
      </c>
      <c r="AR42" s="1">
        <f t="shared" si="26"/>
        <v>0</v>
      </c>
      <c r="AS42" s="1">
        <f t="shared" si="26"/>
        <v>0</v>
      </c>
      <c r="AT42" s="1">
        <f t="shared" si="26"/>
        <v>0</v>
      </c>
      <c r="AU42" s="1">
        <f t="shared" si="26"/>
        <v>0</v>
      </c>
      <c r="AV42" s="1">
        <f t="shared" si="26"/>
        <v>0</v>
      </c>
      <c r="AW42" s="1">
        <f t="shared" si="26"/>
        <v>0</v>
      </c>
      <c r="AX42" s="1">
        <f t="shared" si="26"/>
        <v>0</v>
      </c>
      <c r="AY42" s="1">
        <f t="shared" si="26"/>
        <v>0</v>
      </c>
      <c r="AZ42" s="1">
        <f t="shared" si="26"/>
        <v>0</v>
      </c>
      <c r="BA42" s="1">
        <f t="shared" si="26"/>
        <v>0</v>
      </c>
    </row>
    <row r="43" spans="1:54" ht="15.75" customHeight="1" x14ac:dyDescent="0.35">
      <c r="A43" s="5"/>
      <c r="B43" s="5" t="s">
        <v>61</v>
      </c>
      <c r="C43" s="5"/>
      <c r="D43" s="5"/>
      <c r="E43" s="5"/>
      <c r="F43" s="5"/>
      <c r="G43" s="5"/>
      <c r="H43" s="5"/>
      <c r="I43" s="5"/>
      <c r="J43" s="5"/>
      <c r="K43" s="5"/>
      <c r="L43" s="5"/>
      <c r="N43" s="1">
        <f t="shared" si="18"/>
        <v>0</v>
      </c>
      <c r="Q43" s="1">
        <f t="shared" ref="Q43:Y43" si="27">-Q154</f>
        <v>0</v>
      </c>
      <c r="R43" s="1">
        <f t="shared" si="27"/>
        <v>0</v>
      </c>
      <c r="S43" s="1">
        <f t="shared" si="27"/>
        <v>0</v>
      </c>
      <c r="T43" s="1">
        <f t="shared" si="27"/>
        <v>0</v>
      </c>
      <c r="U43" s="1">
        <f t="shared" si="27"/>
        <v>0</v>
      </c>
      <c r="V43" s="1">
        <f t="shared" si="27"/>
        <v>0</v>
      </c>
      <c r="W43" s="1">
        <f t="shared" si="27"/>
        <v>0</v>
      </c>
      <c r="X43" s="1">
        <f t="shared" si="27"/>
        <v>0</v>
      </c>
      <c r="Y43" s="1">
        <f t="shared" si="27"/>
        <v>0</v>
      </c>
      <c r="Z43" s="1">
        <f>-Z154</f>
        <v>0</v>
      </c>
      <c r="AA43" s="1">
        <f t="shared" ref="AA43:BA43" si="28">-AA154</f>
        <v>0</v>
      </c>
      <c r="AB43" s="1">
        <f t="shared" si="28"/>
        <v>0</v>
      </c>
      <c r="AC43" s="1">
        <f t="shared" si="28"/>
        <v>0</v>
      </c>
      <c r="AD43" s="1">
        <f t="shared" si="28"/>
        <v>0</v>
      </c>
      <c r="AE43" s="1">
        <f t="shared" si="28"/>
        <v>0</v>
      </c>
      <c r="AF43" s="1">
        <f t="shared" si="28"/>
        <v>0</v>
      </c>
      <c r="AG43" s="1">
        <f t="shared" si="28"/>
        <v>0</v>
      </c>
      <c r="AH43" s="1">
        <f t="shared" si="28"/>
        <v>0</v>
      </c>
      <c r="AI43" s="1">
        <f t="shared" si="28"/>
        <v>0</v>
      </c>
      <c r="AJ43" s="1">
        <f t="shared" si="28"/>
        <v>0</v>
      </c>
      <c r="AK43" s="1">
        <f t="shared" si="28"/>
        <v>0</v>
      </c>
      <c r="AL43" s="1">
        <f t="shared" si="28"/>
        <v>0</v>
      </c>
      <c r="AM43" s="1">
        <f t="shared" si="28"/>
        <v>0</v>
      </c>
      <c r="AN43" s="1">
        <f t="shared" si="28"/>
        <v>0</v>
      </c>
      <c r="AO43" s="1">
        <f t="shared" si="28"/>
        <v>0</v>
      </c>
      <c r="AP43" s="1">
        <f t="shared" si="28"/>
        <v>0</v>
      </c>
      <c r="AQ43" s="1">
        <f t="shared" si="28"/>
        <v>0</v>
      </c>
      <c r="AR43" s="1">
        <f t="shared" si="28"/>
        <v>0</v>
      </c>
      <c r="AS43" s="1">
        <f t="shared" si="28"/>
        <v>0</v>
      </c>
      <c r="AT43" s="1">
        <f t="shared" si="28"/>
        <v>0</v>
      </c>
      <c r="AU43" s="1">
        <f t="shared" si="28"/>
        <v>0</v>
      </c>
      <c r="AV43" s="1">
        <f t="shared" si="28"/>
        <v>0</v>
      </c>
      <c r="AW43" s="1">
        <f t="shared" si="28"/>
        <v>0</v>
      </c>
      <c r="AX43" s="1">
        <f t="shared" si="28"/>
        <v>0</v>
      </c>
      <c r="AY43" s="1">
        <f t="shared" si="28"/>
        <v>0</v>
      </c>
      <c r="AZ43" s="1">
        <f t="shared" si="28"/>
        <v>0</v>
      </c>
      <c r="BA43" s="1">
        <f t="shared" si="28"/>
        <v>0</v>
      </c>
    </row>
    <row r="44" spans="1:54" x14ac:dyDescent="0.35"/>
    <row r="45" spans="1:54" ht="15.75" customHeight="1" x14ac:dyDescent="0.35">
      <c r="A45" s="3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4">
        <f t="shared" ref="N45:N53" si="29">SUM(Q45:BA45)</f>
        <v>0</v>
      </c>
      <c r="O45" s="3"/>
      <c r="P45" s="3"/>
      <c r="Q45" s="4">
        <f t="shared" ref="Q45:S45" si="30">SUM(Q46,Q49,Q53)</f>
        <v>0</v>
      </c>
      <c r="R45" s="4">
        <f t="shared" si="30"/>
        <v>0</v>
      </c>
      <c r="S45" s="4">
        <f t="shared" si="30"/>
        <v>0</v>
      </c>
      <c r="T45" s="4">
        <f>SUM(T46,T49,T53)</f>
        <v>0</v>
      </c>
      <c r="U45" s="4">
        <f t="shared" ref="U45:BA45" si="31">SUM(U46,U49,U53)</f>
        <v>0</v>
      </c>
      <c r="V45" s="4">
        <f t="shared" si="31"/>
        <v>0</v>
      </c>
      <c r="W45" s="4">
        <f t="shared" si="31"/>
        <v>0</v>
      </c>
      <c r="X45" s="4">
        <f t="shared" si="31"/>
        <v>0</v>
      </c>
      <c r="Y45" s="4">
        <f t="shared" si="31"/>
        <v>0</v>
      </c>
      <c r="Z45" s="4">
        <f t="shared" si="31"/>
        <v>0</v>
      </c>
      <c r="AA45" s="4">
        <f t="shared" si="31"/>
        <v>0</v>
      </c>
      <c r="AB45" s="4">
        <f t="shared" si="31"/>
        <v>0</v>
      </c>
      <c r="AC45" s="4">
        <f t="shared" si="31"/>
        <v>0</v>
      </c>
      <c r="AD45" s="4">
        <f t="shared" si="31"/>
        <v>0</v>
      </c>
      <c r="AE45" s="4">
        <f t="shared" si="31"/>
        <v>0</v>
      </c>
      <c r="AF45" s="4">
        <f t="shared" si="31"/>
        <v>0</v>
      </c>
      <c r="AG45" s="4">
        <f t="shared" si="31"/>
        <v>0</v>
      </c>
      <c r="AH45" s="4">
        <f t="shared" si="31"/>
        <v>0</v>
      </c>
      <c r="AI45" s="4">
        <f t="shared" si="31"/>
        <v>0</v>
      </c>
      <c r="AJ45" s="4">
        <f t="shared" si="31"/>
        <v>0</v>
      </c>
      <c r="AK45" s="4">
        <f t="shared" si="31"/>
        <v>0</v>
      </c>
      <c r="AL45" s="4">
        <f t="shared" si="31"/>
        <v>0</v>
      </c>
      <c r="AM45" s="4">
        <f t="shared" si="31"/>
        <v>0</v>
      </c>
      <c r="AN45" s="4">
        <f t="shared" si="31"/>
        <v>0</v>
      </c>
      <c r="AO45" s="4">
        <f t="shared" si="31"/>
        <v>0</v>
      </c>
      <c r="AP45" s="4">
        <f t="shared" si="31"/>
        <v>0</v>
      </c>
      <c r="AQ45" s="4">
        <f t="shared" si="31"/>
        <v>0</v>
      </c>
      <c r="AR45" s="4">
        <f t="shared" si="31"/>
        <v>0</v>
      </c>
      <c r="AS45" s="4">
        <f t="shared" si="31"/>
        <v>0</v>
      </c>
      <c r="AT45" s="4">
        <f t="shared" si="31"/>
        <v>0</v>
      </c>
      <c r="AU45" s="4">
        <f t="shared" si="31"/>
        <v>0</v>
      </c>
      <c r="AV45" s="4">
        <f t="shared" si="31"/>
        <v>0</v>
      </c>
      <c r="AW45" s="4">
        <f t="shared" si="31"/>
        <v>0</v>
      </c>
      <c r="AX45" s="4">
        <f t="shared" si="31"/>
        <v>0</v>
      </c>
      <c r="AY45" s="4">
        <f t="shared" si="31"/>
        <v>0</v>
      </c>
      <c r="AZ45" s="4">
        <f t="shared" si="31"/>
        <v>0</v>
      </c>
      <c r="BA45" s="4">
        <f t="shared" si="31"/>
        <v>0</v>
      </c>
    </row>
    <row r="46" spans="1:54" ht="15.75" customHeight="1" x14ac:dyDescent="0.35">
      <c r="A46" s="5"/>
      <c r="B46" s="5" t="s">
        <v>19</v>
      </c>
      <c r="C46" s="5"/>
      <c r="D46" s="5"/>
      <c r="E46" s="5"/>
      <c r="F46" s="5"/>
      <c r="G46" s="5"/>
      <c r="H46" s="5"/>
      <c r="I46" s="5"/>
      <c r="J46" s="5"/>
      <c r="K46" s="5"/>
      <c r="L46" s="5"/>
      <c r="N46" s="1">
        <f t="shared" si="29"/>
        <v>0</v>
      </c>
      <c r="Q46" s="1">
        <f t="shared" ref="Q46:BA46" si="32">SUM(Q47:Q48)</f>
        <v>0</v>
      </c>
      <c r="R46" s="1">
        <f t="shared" si="32"/>
        <v>0</v>
      </c>
      <c r="S46" s="1">
        <f t="shared" si="32"/>
        <v>0</v>
      </c>
      <c r="T46" s="1">
        <f t="shared" si="32"/>
        <v>0</v>
      </c>
      <c r="U46" s="1">
        <f t="shared" si="32"/>
        <v>0</v>
      </c>
      <c r="V46" s="1">
        <f t="shared" si="32"/>
        <v>0</v>
      </c>
      <c r="W46" s="1">
        <f t="shared" si="32"/>
        <v>0</v>
      </c>
      <c r="X46" s="1">
        <f t="shared" si="32"/>
        <v>0</v>
      </c>
      <c r="Y46" s="1">
        <f t="shared" si="32"/>
        <v>0</v>
      </c>
      <c r="Z46" s="1">
        <f t="shared" si="32"/>
        <v>0</v>
      </c>
      <c r="AA46" s="1">
        <f t="shared" si="32"/>
        <v>0</v>
      </c>
      <c r="AB46" s="1">
        <f t="shared" si="32"/>
        <v>0</v>
      </c>
      <c r="AC46" s="1">
        <f t="shared" si="32"/>
        <v>0</v>
      </c>
      <c r="AD46" s="1">
        <f t="shared" si="32"/>
        <v>0</v>
      </c>
      <c r="AE46" s="1">
        <f t="shared" si="32"/>
        <v>0</v>
      </c>
      <c r="AF46" s="1">
        <f t="shared" si="32"/>
        <v>0</v>
      </c>
      <c r="AG46" s="1">
        <f t="shared" si="32"/>
        <v>0</v>
      </c>
      <c r="AH46" s="1">
        <f t="shared" si="32"/>
        <v>0</v>
      </c>
      <c r="AI46" s="1">
        <f t="shared" si="32"/>
        <v>0</v>
      </c>
      <c r="AJ46" s="1">
        <f t="shared" si="32"/>
        <v>0</v>
      </c>
      <c r="AK46" s="1">
        <f t="shared" si="32"/>
        <v>0</v>
      </c>
      <c r="AL46" s="1">
        <f t="shared" si="32"/>
        <v>0</v>
      </c>
      <c r="AM46" s="1">
        <f t="shared" si="32"/>
        <v>0</v>
      </c>
      <c r="AN46" s="1">
        <f t="shared" si="32"/>
        <v>0</v>
      </c>
      <c r="AO46" s="1">
        <f t="shared" si="32"/>
        <v>0</v>
      </c>
      <c r="AP46" s="1">
        <f t="shared" si="32"/>
        <v>0</v>
      </c>
      <c r="AQ46" s="1">
        <f t="shared" si="32"/>
        <v>0</v>
      </c>
      <c r="AR46" s="1">
        <f t="shared" si="32"/>
        <v>0</v>
      </c>
      <c r="AS46" s="1">
        <f t="shared" si="32"/>
        <v>0</v>
      </c>
      <c r="AT46" s="1">
        <f t="shared" si="32"/>
        <v>0</v>
      </c>
      <c r="AU46" s="1">
        <f t="shared" si="32"/>
        <v>0</v>
      </c>
      <c r="AV46" s="1">
        <f t="shared" si="32"/>
        <v>0</v>
      </c>
      <c r="AW46" s="1">
        <f t="shared" si="32"/>
        <v>0</v>
      </c>
      <c r="AX46" s="1">
        <f t="shared" si="32"/>
        <v>0</v>
      </c>
      <c r="AY46" s="1">
        <f t="shared" si="32"/>
        <v>0</v>
      </c>
      <c r="AZ46" s="1">
        <f t="shared" si="32"/>
        <v>0</v>
      </c>
      <c r="BA46" s="1">
        <f t="shared" si="32"/>
        <v>0</v>
      </c>
    </row>
    <row r="47" spans="1:54" ht="15.75" customHeight="1" x14ac:dyDescent="0.35">
      <c r="A47" s="5"/>
      <c r="B47" s="5"/>
      <c r="C47" s="5" t="s">
        <v>104</v>
      </c>
      <c r="D47" s="5"/>
      <c r="E47" s="5"/>
      <c r="F47" s="5"/>
      <c r="G47" s="5"/>
      <c r="H47" s="5"/>
      <c r="I47" s="5"/>
      <c r="J47" s="5"/>
      <c r="K47" s="5"/>
      <c r="L47" s="5"/>
      <c r="N47" s="1">
        <f t="shared" si="29"/>
        <v>0</v>
      </c>
      <c r="Q47" s="1">
        <f t="shared" ref="Q47:BA47" si="33">Q113</f>
        <v>0</v>
      </c>
      <c r="R47" s="1">
        <f t="shared" si="33"/>
        <v>0</v>
      </c>
      <c r="S47" s="1">
        <f t="shared" si="33"/>
        <v>0</v>
      </c>
      <c r="T47" s="1">
        <f t="shared" si="33"/>
        <v>0</v>
      </c>
      <c r="U47" s="1">
        <f t="shared" si="33"/>
        <v>0</v>
      </c>
      <c r="V47" s="1">
        <f t="shared" si="33"/>
        <v>0</v>
      </c>
      <c r="W47" s="1">
        <f t="shared" si="33"/>
        <v>0</v>
      </c>
      <c r="X47" s="1">
        <f t="shared" si="33"/>
        <v>0</v>
      </c>
      <c r="Y47" s="1">
        <f t="shared" si="33"/>
        <v>0</v>
      </c>
      <c r="Z47" s="1">
        <f t="shared" si="33"/>
        <v>0</v>
      </c>
      <c r="AA47" s="1">
        <f t="shared" si="33"/>
        <v>0</v>
      </c>
      <c r="AB47" s="1">
        <f t="shared" si="33"/>
        <v>0</v>
      </c>
      <c r="AC47" s="1">
        <f t="shared" si="33"/>
        <v>0</v>
      </c>
      <c r="AD47" s="1">
        <f t="shared" si="33"/>
        <v>0</v>
      </c>
      <c r="AE47" s="1">
        <f t="shared" si="33"/>
        <v>0</v>
      </c>
      <c r="AF47" s="1">
        <f t="shared" si="33"/>
        <v>0</v>
      </c>
      <c r="AG47" s="1">
        <f t="shared" si="33"/>
        <v>0</v>
      </c>
      <c r="AH47" s="1">
        <f t="shared" si="33"/>
        <v>0</v>
      </c>
      <c r="AI47" s="1">
        <f t="shared" si="33"/>
        <v>0</v>
      </c>
      <c r="AJ47" s="1">
        <f t="shared" si="33"/>
        <v>0</v>
      </c>
      <c r="AK47" s="1">
        <f t="shared" si="33"/>
        <v>0</v>
      </c>
      <c r="AL47" s="1">
        <f t="shared" si="33"/>
        <v>0</v>
      </c>
      <c r="AM47" s="1">
        <f t="shared" si="33"/>
        <v>0</v>
      </c>
      <c r="AN47" s="1">
        <f t="shared" si="33"/>
        <v>0</v>
      </c>
      <c r="AO47" s="1">
        <f t="shared" si="33"/>
        <v>0</v>
      </c>
      <c r="AP47" s="1">
        <f t="shared" si="33"/>
        <v>0</v>
      </c>
      <c r="AQ47" s="1">
        <f t="shared" si="33"/>
        <v>0</v>
      </c>
      <c r="AR47" s="1">
        <f t="shared" si="33"/>
        <v>0</v>
      </c>
      <c r="AS47" s="1">
        <f t="shared" si="33"/>
        <v>0</v>
      </c>
      <c r="AT47" s="1">
        <f t="shared" si="33"/>
        <v>0</v>
      </c>
      <c r="AU47" s="1">
        <f t="shared" si="33"/>
        <v>0</v>
      </c>
      <c r="AV47" s="1">
        <f t="shared" si="33"/>
        <v>0</v>
      </c>
      <c r="AW47" s="1">
        <f t="shared" si="33"/>
        <v>0</v>
      </c>
      <c r="AX47" s="1">
        <f t="shared" si="33"/>
        <v>0</v>
      </c>
      <c r="AY47" s="1">
        <f t="shared" si="33"/>
        <v>0</v>
      </c>
      <c r="AZ47" s="1">
        <f t="shared" si="33"/>
        <v>0</v>
      </c>
      <c r="BA47" s="1">
        <f t="shared" si="33"/>
        <v>0</v>
      </c>
    </row>
    <row r="48" spans="1:54" ht="15.75" customHeight="1" x14ac:dyDescent="0.35">
      <c r="A48" s="5"/>
      <c r="B48" s="5"/>
      <c r="C48" s="5" t="s">
        <v>103</v>
      </c>
      <c r="D48" s="5"/>
      <c r="E48" s="5"/>
      <c r="F48" s="5"/>
      <c r="G48" s="5"/>
      <c r="H48" s="5"/>
      <c r="I48" s="5"/>
      <c r="J48" s="5"/>
      <c r="K48" s="5"/>
      <c r="L48" s="5"/>
      <c r="N48" s="1">
        <f t="shared" si="29"/>
        <v>0</v>
      </c>
      <c r="Q48" s="1">
        <f>Q121-Q124-Q123+Q138-Q140-Q141</f>
        <v>0</v>
      </c>
      <c r="R48" s="1">
        <f t="shared" ref="R48:BA48" si="34">R121-R124-R123+R138-R140-R141</f>
        <v>0</v>
      </c>
      <c r="S48" s="1">
        <f t="shared" si="34"/>
        <v>0</v>
      </c>
      <c r="T48" s="1">
        <f t="shared" si="34"/>
        <v>0</v>
      </c>
      <c r="U48" s="1">
        <f t="shared" si="34"/>
        <v>0</v>
      </c>
      <c r="V48" s="1">
        <f t="shared" si="34"/>
        <v>0</v>
      </c>
      <c r="W48" s="1">
        <f t="shared" si="34"/>
        <v>0</v>
      </c>
      <c r="X48" s="1">
        <f t="shared" si="34"/>
        <v>0</v>
      </c>
      <c r="Y48" s="1">
        <f t="shared" si="34"/>
        <v>0</v>
      </c>
      <c r="Z48" s="1">
        <f t="shared" si="34"/>
        <v>0</v>
      </c>
      <c r="AA48" s="1">
        <f t="shared" si="34"/>
        <v>0</v>
      </c>
      <c r="AB48" s="1">
        <f t="shared" si="34"/>
        <v>0</v>
      </c>
      <c r="AC48" s="1">
        <f t="shared" si="34"/>
        <v>0</v>
      </c>
      <c r="AD48" s="1">
        <f t="shared" si="34"/>
        <v>0</v>
      </c>
      <c r="AE48" s="1">
        <f t="shared" si="34"/>
        <v>0</v>
      </c>
      <c r="AF48" s="1">
        <f t="shared" si="34"/>
        <v>0</v>
      </c>
      <c r="AG48" s="1">
        <f t="shared" si="34"/>
        <v>0</v>
      </c>
      <c r="AH48" s="1">
        <f t="shared" si="34"/>
        <v>0</v>
      </c>
      <c r="AI48" s="1">
        <f t="shared" si="34"/>
        <v>0</v>
      </c>
      <c r="AJ48" s="1">
        <f t="shared" si="34"/>
        <v>0</v>
      </c>
      <c r="AK48" s="1">
        <f t="shared" si="34"/>
        <v>0</v>
      </c>
      <c r="AL48" s="1">
        <f t="shared" si="34"/>
        <v>0</v>
      </c>
      <c r="AM48" s="1">
        <f t="shared" si="34"/>
        <v>0</v>
      </c>
      <c r="AN48" s="1">
        <f t="shared" si="34"/>
        <v>0</v>
      </c>
      <c r="AO48" s="1">
        <f t="shared" si="34"/>
        <v>0</v>
      </c>
      <c r="AP48" s="1">
        <f t="shared" si="34"/>
        <v>0</v>
      </c>
      <c r="AQ48" s="1">
        <f t="shared" si="34"/>
        <v>0</v>
      </c>
      <c r="AR48" s="1">
        <f t="shared" si="34"/>
        <v>0</v>
      </c>
      <c r="AS48" s="1">
        <f t="shared" si="34"/>
        <v>0</v>
      </c>
      <c r="AT48" s="1">
        <f t="shared" si="34"/>
        <v>0</v>
      </c>
      <c r="AU48" s="1">
        <f t="shared" si="34"/>
        <v>0</v>
      </c>
      <c r="AV48" s="1">
        <f t="shared" si="34"/>
        <v>0</v>
      </c>
      <c r="AW48" s="1">
        <f t="shared" si="34"/>
        <v>0</v>
      </c>
      <c r="AX48" s="1">
        <f t="shared" si="34"/>
        <v>0</v>
      </c>
      <c r="AY48" s="1">
        <f t="shared" si="34"/>
        <v>0</v>
      </c>
      <c r="AZ48" s="1">
        <f t="shared" si="34"/>
        <v>0</v>
      </c>
      <c r="BA48" s="1">
        <f t="shared" si="34"/>
        <v>0</v>
      </c>
    </row>
    <row r="49" spans="1:54" ht="15.75" customHeight="1" x14ac:dyDescent="0.35">
      <c r="A49" s="5"/>
      <c r="B49" s="5" t="s">
        <v>20</v>
      </c>
      <c r="C49" s="5"/>
      <c r="D49" s="5"/>
      <c r="E49" s="5"/>
      <c r="F49" s="5"/>
      <c r="G49" s="5"/>
      <c r="H49" s="5"/>
      <c r="I49" s="5"/>
      <c r="J49" s="5"/>
      <c r="K49" s="5"/>
      <c r="L49" s="5"/>
      <c r="N49" s="1">
        <f t="shared" si="29"/>
        <v>0</v>
      </c>
      <c r="Q49" s="1">
        <f t="shared" ref="Q49:BA49" si="35">SUM(Q50:Q52)</f>
        <v>0</v>
      </c>
      <c r="R49" s="1">
        <f t="shared" si="35"/>
        <v>0</v>
      </c>
      <c r="S49" s="1">
        <f t="shared" si="35"/>
        <v>0</v>
      </c>
      <c r="T49" s="1">
        <f t="shared" si="35"/>
        <v>0</v>
      </c>
      <c r="U49" s="1">
        <f t="shared" si="35"/>
        <v>0</v>
      </c>
      <c r="V49" s="1">
        <f t="shared" si="35"/>
        <v>0</v>
      </c>
      <c r="W49" s="1">
        <f t="shared" si="35"/>
        <v>0</v>
      </c>
      <c r="X49" s="1">
        <f t="shared" si="35"/>
        <v>0</v>
      </c>
      <c r="Y49" s="1">
        <f t="shared" si="35"/>
        <v>0</v>
      </c>
      <c r="Z49" s="1">
        <f t="shared" si="35"/>
        <v>0</v>
      </c>
      <c r="AA49" s="1">
        <f t="shared" si="35"/>
        <v>0</v>
      </c>
      <c r="AB49" s="1">
        <f t="shared" si="35"/>
        <v>0</v>
      </c>
      <c r="AC49" s="1">
        <f t="shared" si="35"/>
        <v>0</v>
      </c>
      <c r="AD49" s="1">
        <f t="shared" si="35"/>
        <v>0</v>
      </c>
      <c r="AE49" s="1">
        <f t="shared" si="35"/>
        <v>0</v>
      </c>
      <c r="AF49" s="1">
        <f t="shared" si="35"/>
        <v>0</v>
      </c>
      <c r="AG49" s="1">
        <f t="shared" si="35"/>
        <v>0</v>
      </c>
      <c r="AH49" s="1">
        <f t="shared" si="35"/>
        <v>0</v>
      </c>
      <c r="AI49" s="1">
        <f t="shared" si="35"/>
        <v>0</v>
      </c>
      <c r="AJ49" s="1">
        <f t="shared" si="35"/>
        <v>0</v>
      </c>
      <c r="AK49" s="1">
        <f t="shared" si="35"/>
        <v>0</v>
      </c>
      <c r="AL49" s="1">
        <f t="shared" si="35"/>
        <v>0</v>
      </c>
      <c r="AM49" s="1">
        <f t="shared" si="35"/>
        <v>0</v>
      </c>
      <c r="AN49" s="1">
        <f t="shared" si="35"/>
        <v>0</v>
      </c>
      <c r="AO49" s="1">
        <f t="shared" si="35"/>
        <v>0</v>
      </c>
      <c r="AP49" s="1">
        <f t="shared" si="35"/>
        <v>0</v>
      </c>
      <c r="AQ49" s="1">
        <f t="shared" si="35"/>
        <v>0</v>
      </c>
      <c r="AR49" s="1">
        <f t="shared" si="35"/>
        <v>0</v>
      </c>
      <c r="AS49" s="1">
        <f t="shared" si="35"/>
        <v>0</v>
      </c>
      <c r="AT49" s="1">
        <f t="shared" si="35"/>
        <v>0</v>
      </c>
      <c r="AU49" s="1">
        <f t="shared" si="35"/>
        <v>0</v>
      </c>
      <c r="AV49" s="1">
        <f t="shared" si="35"/>
        <v>0</v>
      </c>
      <c r="AW49" s="1">
        <f t="shared" si="35"/>
        <v>0</v>
      </c>
      <c r="AX49" s="1">
        <f t="shared" si="35"/>
        <v>0</v>
      </c>
      <c r="AY49" s="1">
        <f t="shared" si="35"/>
        <v>0</v>
      </c>
      <c r="AZ49" s="1">
        <f t="shared" si="35"/>
        <v>0</v>
      </c>
      <c r="BA49" s="1">
        <f t="shared" si="35"/>
        <v>0</v>
      </c>
    </row>
    <row r="50" spans="1:54" ht="15.75" customHeight="1" x14ac:dyDescent="0.35">
      <c r="A50" s="5"/>
      <c r="B50" s="5"/>
      <c r="C50" s="5" t="s">
        <v>21</v>
      </c>
      <c r="D50" s="5"/>
      <c r="E50" s="5"/>
      <c r="F50" s="5"/>
      <c r="G50" s="5"/>
      <c r="H50" s="5"/>
      <c r="I50" s="5"/>
      <c r="J50" s="5"/>
      <c r="K50" s="5"/>
      <c r="L50" s="5"/>
      <c r="N50" s="1">
        <f t="shared" si="29"/>
        <v>0</v>
      </c>
      <c r="Q50" s="1">
        <f t="shared" ref="Q50:BA50" si="36">Q194</f>
        <v>0</v>
      </c>
      <c r="R50" s="1">
        <f t="shared" si="36"/>
        <v>0</v>
      </c>
      <c r="S50" s="1">
        <f t="shared" si="36"/>
        <v>0</v>
      </c>
      <c r="T50" s="1">
        <f t="shared" si="36"/>
        <v>0</v>
      </c>
      <c r="U50" s="1">
        <f t="shared" si="36"/>
        <v>0</v>
      </c>
      <c r="V50" s="1">
        <f t="shared" si="36"/>
        <v>0</v>
      </c>
      <c r="W50" s="1">
        <f t="shared" si="36"/>
        <v>0</v>
      </c>
      <c r="X50" s="1">
        <f t="shared" si="36"/>
        <v>0</v>
      </c>
      <c r="Y50" s="1">
        <f t="shared" si="36"/>
        <v>0</v>
      </c>
      <c r="Z50" s="1">
        <f t="shared" si="36"/>
        <v>0</v>
      </c>
      <c r="AA50" s="1">
        <f t="shared" si="36"/>
        <v>0</v>
      </c>
      <c r="AB50" s="1">
        <f t="shared" si="36"/>
        <v>0</v>
      </c>
      <c r="AC50" s="1">
        <f t="shared" si="36"/>
        <v>0</v>
      </c>
      <c r="AD50" s="1">
        <f t="shared" si="36"/>
        <v>0</v>
      </c>
      <c r="AE50" s="1">
        <f t="shared" si="36"/>
        <v>0</v>
      </c>
      <c r="AF50" s="1">
        <f t="shared" si="36"/>
        <v>0</v>
      </c>
      <c r="AG50" s="1">
        <f t="shared" si="36"/>
        <v>0</v>
      </c>
      <c r="AH50" s="1">
        <f t="shared" si="36"/>
        <v>0</v>
      </c>
      <c r="AI50" s="1">
        <f t="shared" si="36"/>
        <v>0</v>
      </c>
      <c r="AJ50" s="1">
        <f t="shared" si="36"/>
        <v>0</v>
      </c>
      <c r="AK50" s="1">
        <f t="shared" si="36"/>
        <v>0</v>
      </c>
      <c r="AL50" s="1">
        <f t="shared" si="36"/>
        <v>0</v>
      </c>
      <c r="AM50" s="1">
        <f t="shared" si="36"/>
        <v>0</v>
      </c>
      <c r="AN50" s="1">
        <f t="shared" si="36"/>
        <v>0</v>
      </c>
      <c r="AO50" s="1">
        <f t="shared" si="36"/>
        <v>0</v>
      </c>
      <c r="AP50" s="1">
        <f t="shared" si="36"/>
        <v>0</v>
      </c>
      <c r="AQ50" s="1">
        <f t="shared" si="36"/>
        <v>0</v>
      </c>
      <c r="AR50" s="1">
        <f t="shared" si="36"/>
        <v>0</v>
      </c>
      <c r="AS50" s="1">
        <f t="shared" si="36"/>
        <v>0</v>
      </c>
      <c r="AT50" s="1">
        <f t="shared" si="36"/>
        <v>0</v>
      </c>
      <c r="AU50" s="1">
        <f t="shared" si="36"/>
        <v>0</v>
      </c>
      <c r="AV50" s="1">
        <f t="shared" si="36"/>
        <v>0</v>
      </c>
      <c r="AW50" s="1">
        <f t="shared" si="36"/>
        <v>0</v>
      </c>
      <c r="AX50" s="1">
        <f t="shared" si="36"/>
        <v>0</v>
      </c>
      <c r="AY50" s="1">
        <f t="shared" si="36"/>
        <v>0</v>
      </c>
      <c r="AZ50" s="1">
        <f t="shared" si="36"/>
        <v>0</v>
      </c>
      <c r="BA50" s="1">
        <f t="shared" si="36"/>
        <v>0</v>
      </c>
    </row>
    <row r="51" spans="1:54" ht="15.75" customHeight="1" x14ac:dyDescent="0.35">
      <c r="A51" s="5"/>
      <c r="B51" s="5"/>
      <c r="C51" s="5" t="s">
        <v>103</v>
      </c>
      <c r="D51" s="5"/>
      <c r="E51" s="5"/>
      <c r="F51" s="5"/>
      <c r="G51" s="5"/>
      <c r="H51" s="5"/>
      <c r="I51" s="5"/>
      <c r="J51" s="5"/>
      <c r="K51" s="5"/>
      <c r="L51" s="5"/>
      <c r="N51" s="1">
        <f t="shared" si="29"/>
        <v>0</v>
      </c>
      <c r="Q51" s="1">
        <f>Q126+Q142</f>
        <v>0</v>
      </c>
      <c r="R51" s="1">
        <f t="shared" ref="R51:BA51" si="37">R126+R142</f>
        <v>0</v>
      </c>
      <c r="S51" s="1">
        <f t="shared" si="37"/>
        <v>0</v>
      </c>
      <c r="T51" s="1">
        <f t="shared" si="37"/>
        <v>0</v>
      </c>
      <c r="U51" s="1">
        <f t="shared" si="37"/>
        <v>0</v>
      </c>
      <c r="V51" s="1">
        <f t="shared" si="37"/>
        <v>0</v>
      </c>
      <c r="W51" s="1">
        <f t="shared" si="37"/>
        <v>0</v>
      </c>
      <c r="X51" s="1">
        <f t="shared" si="37"/>
        <v>0</v>
      </c>
      <c r="Y51" s="1">
        <f t="shared" si="37"/>
        <v>0</v>
      </c>
      <c r="Z51" s="1">
        <f t="shared" si="37"/>
        <v>0</v>
      </c>
      <c r="AA51" s="1">
        <f t="shared" si="37"/>
        <v>0</v>
      </c>
      <c r="AB51" s="1">
        <f t="shared" si="37"/>
        <v>0</v>
      </c>
      <c r="AC51" s="1">
        <f t="shared" si="37"/>
        <v>0</v>
      </c>
      <c r="AD51" s="1">
        <f t="shared" si="37"/>
        <v>0</v>
      </c>
      <c r="AE51" s="1">
        <f t="shared" si="37"/>
        <v>0</v>
      </c>
      <c r="AF51" s="1">
        <f t="shared" si="37"/>
        <v>0</v>
      </c>
      <c r="AG51" s="1">
        <f t="shared" si="37"/>
        <v>0</v>
      </c>
      <c r="AH51" s="1">
        <f t="shared" si="37"/>
        <v>0</v>
      </c>
      <c r="AI51" s="1">
        <f t="shared" si="37"/>
        <v>0</v>
      </c>
      <c r="AJ51" s="1">
        <f t="shared" si="37"/>
        <v>0</v>
      </c>
      <c r="AK51" s="1">
        <f t="shared" si="37"/>
        <v>0</v>
      </c>
      <c r="AL51" s="1">
        <f t="shared" si="37"/>
        <v>0</v>
      </c>
      <c r="AM51" s="1">
        <f t="shared" si="37"/>
        <v>0</v>
      </c>
      <c r="AN51" s="1">
        <f t="shared" si="37"/>
        <v>0</v>
      </c>
      <c r="AO51" s="1">
        <f t="shared" si="37"/>
        <v>0</v>
      </c>
      <c r="AP51" s="1">
        <f t="shared" si="37"/>
        <v>0</v>
      </c>
      <c r="AQ51" s="1">
        <f t="shared" si="37"/>
        <v>0</v>
      </c>
      <c r="AR51" s="1">
        <f t="shared" si="37"/>
        <v>0</v>
      </c>
      <c r="AS51" s="1">
        <f t="shared" si="37"/>
        <v>0</v>
      </c>
      <c r="AT51" s="1">
        <f t="shared" si="37"/>
        <v>0</v>
      </c>
      <c r="AU51" s="1">
        <f t="shared" si="37"/>
        <v>0</v>
      </c>
      <c r="AV51" s="1">
        <f t="shared" si="37"/>
        <v>0</v>
      </c>
      <c r="AW51" s="1">
        <f t="shared" si="37"/>
        <v>0</v>
      </c>
      <c r="AX51" s="1">
        <f t="shared" si="37"/>
        <v>0</v>
      </c>
      <c r="AY51" s="1">
        <f t="shared" si="37"/>
        <v>0</v>
      </c>
      <c r="AZ51" s="1">
        <f t="shared" si="37"/>
        <v>0</v>
      </c>
      <c r="BA51" s="1">
        <f t="shared" si="37"/>
        <v>0</v>
      </c>
    </row>
    <row r="52" spans="1:54" ht="15.75" customHeight="1" x14ac:dyDescent="0.35">
      <c r="A52" s="5"/>
      <c r="B52" s="5"/>
      <c r="C52" s="5" t="s">
        <v>147</v>
      </c>
      <c r="D52" s="5"/>
      <c r="E52" s="5"/>
      <c r="F52" s="5"/>
      <c r="G52" s="5"/>
      <c r="H52" s="5"/>
      <c r="I52" s="5"/>
      <c r="J52" s="5"/>
      <c r="K52" s="5"/>
      <c r="L52" s="5"/>
      <c r="N52" s="1">
        <f t="shared" si="29"/>
        <v>0</v>
      </c>
      <c r="Q52" s="1">
        <f t="shared" ref="Q52:BA52" si="38">-Q132-Q147</f>
        <v>0</v>
      </c>
      <c r="R52" s="1">
        <f t="shared" si="38"/>
        <v>0</v>
      </c>
      <c r="S52" s="1">
        <f t="shared" si="38"/>
        <v>0</v>
      </c>
      <c r="T52" s="1">
        <f t="shared" si="38"/>
        <v>0</v>
      </c>
      <c r="U52" s="1">
        <f t="shared" si="38"/>
        <v>0</v>
      </c>
      <c r="V52" s="1">
        <f t="shared" si="38"/>
        <v>0</v>
      </c>
      <c r="W52" s="1">
        <f t="shared" si="38"/>
        <v>0</v>
      </c>
      <c r="X52" s="1">
        <f t="shared" si="38"/>
        <v>0</v>
      </c>
      <c r="Y52" s="1">
        <f t="shared" si="38"/>
        <v>0</v>
      </c>
      <c r="Z52" s="1">
        <f t="shared" si="38"/>
        <v>0</v>
      </c>
      <c r="AA52" s="1">
        <f t="shared" si="38"/>
        <v>0</v>
      </c>
      <c r="AB52" s="1">
        <f t="shared" si="38"/>
        <v>0</v>
      </c>
      <c r="AC52" s="1">
        <f t="shared" si="38"/>
        <v>0</v>
      </c>
      <c r="AD52" s="1">
        <f t="shared" si="38"/>
        <v>0</v>
      </c>
      <c r="AE52" s="1">
        <f t="shared" si="38"/>
        <v>0</v>
      </c>
      <c r="AF52" s="1">
        <f t="shared" si="38"/>
        <v>0</v>
      </c>
      <c r="AG52" s="1">
        <f t="shared" si="38"/>
        <v>0</v>
      </c>
      <c r="AH52" s="1">
        <f t="shared" si="38"/>
        <v>0</v>
      </c>
      <c r="AI52" s="1">
        <f t="shared" si="38"/>
        <v>0</v>
      </c>
      <c r="AJ52" s="1">
        <f t="shared" si="38"/>
        <v>0</v>
      </c>
      <c r="AK52" s="1">
        <f t="shared" si="38"/>
        <v>0</v>
      </c>
      <c r="AL52" s="1">
        <f t="shared" si="38"/>
        <v>0</v>
      </c>
      <c r="AM52" s="1">
        <f t="shared" si="38"/>
        <v>0</v>
      </c>
      <c r="AN52" s="1">
        <f t="shared" si="38"/>
        <v>0</v>
      </c>
      <c r="AO52" s="1">
        <f t="shared" si="38"/>
        <v>0</v>
      </c>
      <c r="AP52" s="1">
        <f t="shared" si="38"/>
        <v>0</v>
      </c>
      <c r="AQ52" s="1">
        <f t="shared" si="38"/>
        <v>0</v>
      </c>
      <c r="AR52" s="1">
        <f t="shared" si="38"/>
        <v>0</v>
      </c>
      <c r="AS52" s="1">
        <f t="shared" si="38"/>
        <v>0</v>
      </c>
      <c r="AT52" s="1">
        <f t="shared" si="38"/>
        <v>0</v>
      </c>
      <c r="AU52" s="1">
        <f t="shared" si="38"/>
        <v>0</v>
      </c>
      <c r="AV52" s="1">
        <f t="shared" si="38"/>
        <v>0</v>
      </c>
      <c r="AW52" s="1">
        <f t="shared" si="38"/>
        <v>0</v>
      </c>
      <c r="AX52" s="1">
        <f t="shared" si="38"/>
        <v>0</v>
      </c>
      <c r="AY52" s="1">
        <f t="shared" si="38"/>
        <v>0</v>
      </c>
      <c r="AZ52" s="1">
        <f t="shared" si="38"/>
        <v>0</v>
      </c>
      <c r="BA52" s="1">
        <f t="shared" si="38"/>
        <v>0</v>
      </c>
    </row>
    <row r="53" spans="1:54" ht="15.75" customHeight="1" x14ac:dyDescent="0.35">
      <c r="A53" s="5"/>
      <c r="B53" s="5" t="s">
        <v>53</v>
      </c>
      <c r="D53" s="5"/>
      <c r="E53" s="5"/>
      <c r="F53" s="5"/>
      <c r="G53" s="5"/>
      <c r="H53" s="5"/>
      <c r="I53" s="5"/>
      <c r="J53" s="5"/>
      <c r="K53" s="5"/>
      <c r="L53" s="5"/>
      <c r="N53" s="1">
        <f t="shared" si="29"/>
        <v>0</v>
      </c>
      <c r="Q53" s="1">
        <f t="shared" ref="Q53:BA53" si="39">Q116</f>
        <v>0</v>
      </c>
      <c r="R53" s="1">
        <f t="shared" si="39"/>
        <v>0</v>
      </c>
      <c r="S53" s="1">
        <f t="shared" si="39"/>
        <v>0</v>
      </c>
      <c r="T53" s="1">
        <f t="shared" si="39"/>
        <v>0</v>
      </c>
      <c r="U53" s="1">
        <f t="shared" si="39"/>
        <v>0</v>
      </c>
      <c r="V53" s="1">
        <f t="shared" si="39"/>
        <v>0</v>
      </c>
      <c r="W53" s="1">
        <f t="shared" si="39"/>
        <v>0</v>
      </c>
      <c r="X53" s="1">
        <f t="shared" si="39"/>
        <v>0</v>
      </c>
      <c r="Y53" s="1">
        <f t="shared" si="39"/>
        <v>0</v>
      </c>
      <c r="Z53" s="1">
        <f t="shared" si="39"/>
        <v>0</v>
      </c>
      <c r="AA53" s="1">
        <f t="shared" si="39"/>
        <v>0</v>
      </c>
      <c r="AB53" s="1">
        <f t="shared" si="39"/>
        <v>0</v>
      </c>
      <c r="AC53" s="1">
        <f t="shared" si="39"/>
        <v>0</v>
      </c>
      <c r="AD53" s="1">
        <f t="shared" si="39"/>
        <v>0</v>
      </c>
      <c r="AE53" s="1">
        <f t="shared" si="39"/>
        <v>0</v>
      </c>
      <c r="AF53" s="1">
        <f t="shared" si="39"/>
        <v>0</v>
      </c>
      <c r="AG53" s="1">
        <f t="shared" si="39"/>
        <v>0</v>
      </c>
      <c r="AH53" s="1">
        <f t="shared" si="39"/>
        <v>0</v>
      </c>
      <c r="AI53" s="1">
        <f t="shared" si="39"/>
        <v>0</v>
      </c>
      <c r="AJ53" s="1">
        <f t="shared" si="39"/>
        <v>0</v>
      </c>
      <c r="AK53" s="1">
        <f t="shared" si="39"/>
        <v>0</v>
      </c>
      <c r="AL53" s="1">
        <f t="shared" si="39"/>
        <v>0</v>
      </c>
      <c r="AM53" s="1">
        <f t="shared" si="39"/>
        <v>0</v>
      </c>
      <c r="AN53" s="1">
        <f t="shared" si="39"/>
        <v>0</v>
      </c>
      <c r="AO53" s="1">
        <f t="shared" si="39"/>
        <v>0</v>
      </c>
      <c r="AP53" s="1">
        <f t="shared" si="39"/>
        <v>0</v>
      </c>
      <c r="AQ53" s="1">
        <f t="shared" si="39"/>
        <v>0</v>
      </c>
      <c r="AR53" s="1">
        <f t="shared" si="39"/>
        <v>0</v>
      </c>
      <c r="AS53" s="1">
        <f t="shared" si="39"/>
        <v>0</v>
      </c>
      <c r="AT53" s="1">
        <f t="shared" si="39"/>
        <v>0</v>
      </c>
      <c r="AU53" s="1">
        <f t="shared" si="39"/>
        <v>0</v>
      </c>
      <c r="AV53" s="1">
        <f t="shared" si="39"/>
        <v>0</v>
      </c>
      <c r="AW53" s="1">
        <f t="shared" si="39"/>
        <v>0</v>
      </c>
      <c r="AX53" s="1">
        <f t="shared" si="39"/>
        <v>0</v>
      </c>
      <c r="AY53" s="1">
        <f t="shared" si="39"/>
        <v>0</v>
      </c>
      <c r="AZ53" s="1">
        <f t="shared" si="39"/>
        <v>0</v>
      </c>
      <c r="BA53" s="1">
        <f t="shared" si="39"/>
        <v>0</v>
      </c>
    </row>
    <row r="54" spans="1:54" x14ac:dyDescent="0.35"/>
    <row r="55" spans="1:54" ht="15.75" customHeight="1" x14ac:dyDescent="0.35">
      <c r="A55" s="3" t="s">
        <v>22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4">
        <f>SUM(Q55:BA55)</f>
        <v>0</v>
      </c>
      <c r="O55" s="3"/>
      <c r="P55" s="3"/>
      <c r="Q55" s="4">
        <f t="shared" ref="Q55:BA55" si="40">SUM(Q35,Q45)</f>
        <v>0</v>
      </c>
      <c r="R55" s="4">
        <f t="shared" si="40"/>
        <v>0</v>
      </c>
      <c r="S55" s="4">
        <f t="shared" si="40"/>
        <v>0</v>
      </c>
      <c r="T55" s="4">
        <f t="shared" si="40"/>
        <v>0</v>
      </c>
      <c r="U55" s="4">
        <f t="shared" si="40"/>
        <v>0</v>
      </c>
      <c r="V55" s="4">
        <f t="shared" si="40"/>
        <v>0</v>
      </c>
      <c r="W55" s="4">
        <f t="shared" si="40"/>
        <v>0</v>
      </c>
      <c r="X55" s="4">
        <f t="shared" si="40"/>
        <v>0</v>
      </c>
      <c r="Y55" s="4">
        <f t="shared" si="40"/>
        <v>0</v>
      </c>
      <c r="Z55" s="4">
        <f t="shared" si="40"/>
        <v>0</v>
      </c>
      <c r="AA55" s="4">
        <f t="shared" si="40"/>
        <v>0</v>
      </c>
      <c r="AB55" s="4">
        <f t="shared" si="40"/>
        <v>0</v>
      </c>
      <c r="AC55" s="4">
        <f t="shared" si="40"/>
        <v>0</v>
      </c>
      <c r="AD55" s="4">
        <f t="shared" si="40"/>
        <v>0</v>
      </c>
      <c r="AE55" s="4">
        <f t="shared" si="40"/>
        <v>0</v>
      </c>
      <c r="AF55" s="4">
        <f t="shared" si="40"/>
        <v>0</v>
      </c>
      <c r="AG55" s="4">
        <f t="shared" si="40"/>
        <v>0</v>
      </c>
      <c r="AH55" s="4">
        <f t="shared" si="40"/>
        <v>0</v>
      </c>
      <c r="AI55" s="4">
        <f t="shared" si="40"/>
        <v>0</v>
      </c>
      <c r="AJ55" s="4">
        <f t="shared" si="40"/>
        <v>0</v>
      </c>
      <c r="AK55" s="4">
        <f t="shared" si="40"/>
        <v>0</v>
      </c>
      <c r="AL55" s="4">
        <f t="shared" si="40"/>
        <v>0</v>
      </c>
      <c r="AM55" s="4">
        <f t="shared" si="40"/>
        <v>0</v>
      </c>
      <c r="AN55" s="4">
        <f t="shared" si="40"/>
        <v>0</v>
      </c>
      <c r="AO55" s="4">
        <f t="shared" si="40"/>
        <v>0</v>
      </c>
      <c r="AP55" s="4">
        <f t="shared" si="40"/>
        <v>0</v>
      </c>
      <c r="AQ55" s="4">
        <f t="shared" si="40"/>
        <v>0</v>
      </c>
      <c r="AR55" s="4">
        <f t="shared" si="40"/>
        <v>0</v>
      </c>
      <c r="AS55" s="4">
        <f t="shared" si="40"/>
        <v>0</v>
      </c>
      <c r="AT55" s="4">
        <f t="shared" si="40"/>
        <v>0</v>
      </c>
      <c r="AU55" s="4">
        <f t="shared" si="40"/>
        <v>0</v>
      </c>
      <c r="AV55" s="4">
        <f t="shared" si="40"/>
        <v>0</v>
      </c>
      <c r="AW55" s="4">
        <f t="shared" si="40"/>
        <v>0</v>
      </c>
      <c r="AX55" s="4">
        <f t="shared" si="40"/>
        <v>0</v>
      </c>
      <c r="AY55" s="4">
        <f t="shared" si="40"/>
        <v>0</v>
      </c>
      <c r="AZ55" s="4">
        <f t="shared" si="40"/>
        <v>0</v>
      </c>
      <c r="BA55" s="4">
        <f t="shared" si="40"/>
        <v>0</v>
      </c>
    </row>
    <row r="56" spans="1:54" x14ac:dyDescent="0.35"/>
    <row r="57" spans="1:54" ht="15.75" customHeight="1" x14ac:dyDescent="0.35">
      <c r="A57" s="3" t="s">
        <v>23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4">
        <f>Q57</f>
        <v>0</v>
      </c>
      <c r="O57" s="3"/>
      <c r="P57" s="3"/>
      <c r="Q57" s="31">
        <v>0</v>
      </c>
      <c r="R57" s="4">
        <f t="shared" ref="R57:BA57" si="41">Q59</f>
        <v>0</v>
      </c>
      <c r="S57" s="4">
        <f t="shared" si="41"/>
        <v>0</v>
      </c>
      <c r="T57" s="4">
        <f t="shared" si="41"/>
        <v>0</v>
      </c>
      <c r="U57" s="4">
        <f t="shared" si="41"/>
        <v>0</v>
      </c>
      <c r="V57" s="4">
        <f t="shared" si="41"/>
        <v>0</v>
      </c>
      <c r="W57" s="4">
        <f t="shared" si="41"/>
        <v>0</v>
      </c>
      <c r="X57" s="4">
        <f t="shared" si="41"/>
        <v>0</v>
      </c>
      <c r="Y57" s="4">
        <f t="shared" si="41"/>
        <v>0</v>
      </c>
      <c r="Z57" s="4">
        <f t="shared" si="41"/>
        <v>0</v>
      </c>
      <c r="AA57" s="4">
        <f t="shared" si="41"/>
        <v>0</v>
      </c>
      <c r="AB57" s="4">
        <f t="shared" si="41"/>
        <v>0</v>
      </c>
      <c r="AC57" s="4">
        <f t="shared" si="41"/>
        <v>0</v>
      </c>
      <c r="AD57" s="4">
        <f t="shared" si="41"/>
        <v>0</v>
      </c>
      <c r="AE57" s="4">
        <f t="shared" si="41"/>
        <v>0</v>
      </c>
      <c r="AF57" s="4">
        <f t="shared" si="41"/>
        <v>0</v>
      </c>
      <c r="AG57" s="4">
        <f t="shared" si="41"/>
        <v>0</v>
      </c>
      <c r="AH57" s="4">
        <f t="shared" si="41"/>
        <v>0</v>
      </c>
      <c r="AI57" s="4">
        <f t="shared" si="41"/>
        <v>0</v>
      </c>
      <c r="AJ57" s="4">
        <f t="shared" si="41"/>
        <v>0</v>
      </c>
      <c r="AK57" s="4">
        <f t="shared" si="41"/>
        <v>0</v>
      </c>
      <c r="AL57" s="4">
        <f t="shared" si="41"/>
        <v>0</v>
      </c>
      <c r="AM57" s="4">
        <f t="shared" si="41"/>
        <v>0</v>
      </c>
      <c r="AN57" s="4">
        <f t="shared" si="41"/>
        <v>0</v>
      </c>
      <c r="AO57" s="4">
        <f t="shared" si="41"/>
        <v>0</v>
      </c>
      <c r="AP57" s="4">
        <f t="shared" si="41"/>
        <v>0</v>
      </c>
      <c r="AQ57" s="4">
        <f t="shared" si="41"/>
        <v>0</v>
      </c>
      <c r="AR57" s="4">
        <f t="shared" si="41"/>
        <v>0</v>
      </c>
      <c r="AS57" s="4">
        <f t="shared" si="41"/>
        <v>0</v>
      </c>
      <c r="AT57" s="4">
        <f t="shared" si="41"/>
        <v>0</v>
      </c>
      <c r="AU57" s="4">
        <f t="shared" si="41"/>
        <v>0</v>
      </c>
      <c r="AV57" s="4">
        <f t="shared" si="41"/>
        <v>0</v>
      </c>
      <c r="AW57" s="4">
        <f t="shared" si="41"/>
        <v>0</v>
      </c>
      <c r="AX57" s="4">
        <f t="shared" si="41"/>
        <v>0</v>
      </c>
      <c r="AY57" s="4">
        <f t="shared" si="41"/>
        <v>0</v>
      </c>
      <c r="AZ57" s="4">
        <f t="shared" si="41"/>
        <v>0</v>
      </c>
      <c r="BA57" s="4">
        <f t="shared" si="41"/>
        <v>0</v>
      </c>
    </row>
    <row r="58" spans="1:54" x14ac:dyDescent="0.35"/>
    <row r="59" spans="1:54" ht="15.75" customHeight="1" x14ac:dyDescent="0.35">
      <c r="A59" s="3" t="s">
        <v>24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4">
        <f>BA59</f>
        <v>0</v>
      </c>
      <c r="O59" s="3"/>
      <c r="P59" s="3"/>
      <c r="Q59" s="4">
        <f t="shared" ref="Q59:BA59" si="42">SUM(Q55,Q57)</f>
        <v>0</v>
      </c>
      <c r="R59" s="4">
        <f t="shared" si="42"/>
        <v>0</v>
      </c>
      <c r="S59" s="4">
        <f t="shared" si="42"/>
        <v>0</v>
      </c>
      <c r="T59" s="4">
        <f t="shared" si="42"/>
        <v>0</v>
      </c>
      <c r="U59" s="4">
        <f t="shared" si="42"/>
        <v>0</v>
      </c>
      <c r="V59" s="4">
        <f t="shared" si="42"/>
        <v>0</v>
      </c>
      <c r="W59" s="4">
        <f t="shared" si="42"/>
        <v>0</v>
      </c>
      <c r="X59" s="4">
        <f t="shared" si="42"/>
        <v>0</v>
      </c>
      <c r="Y59" s="4">
        <f t="shared" si="42"/>
        <v>0</v>
      </c>
      <c r="Z59" s="4">
        <f t="shared" si="42"/>
        <v>0</v>
      </c>
      <c r="AA59" s="4">
        <f t="shared" si="42"/>
        <v>0</v>
      </c>
      <c r="AB59" s="4">
        <f t="shared" si="42"/>
        <v>0</v>
      </c>
      <c r="AC59" s="4">
        <f t="shared" si="42"/>
        <v>0</v>
      </c>
      <c r="AD59" s="4">
        <f t="shared" si="42"/>
        <v>0</v>
      </c>
      <c r="AE59" s="4">
        <f t="shared" si="42"/>
        <v>0</v>
      </c>
      <c r="AF59" s="4">
        <f t="shared" si="42"/>
        <v>0</v>
      </c>
      <c r="AG59" s="4">
        <f t="shared" si="42"/>
        <v>0</v>
      </c>
      <c r="AH59" s="4">
        <f t="shared" si="42"/>
        <v>0</v>
      </c>
      <c r="AI59" s="4">
        <f t="shared" si="42"/>
        <v>0</v>
      </c>
      <c r="AJ59" s="4">
        <f t="shared" si="42"/>
        <v>0</v>
      </c>
      <c r="AK59" s="4">
        <f t="shared" si="42"/>
        <v>0</v>
      </c>
      <c r="AL59" s="4">
        <f t="shared" si="42"/>
        <v>0</v>
      </c>
      <c r="AM59" s="4">
        <f t="shared" si="42"/>
        <v>0</v>
      </c>
      <c r="AN59" s="4">
        <f t="shared" si="42"/>
        <v>0</v>
      </c>
      <c r="AO59" s="4">
        <f t="shared" si="42"/>
        <v>0</v>
      </c>
      <c r="AP59" s="4">
        <f t="shared" si="42"/>
        <v>0</v>
      </c>
      <c r="AQ59" s="4">
        <f t="shared" si="42"/>
        <v>0</v>
      </c>
      <c r="AR59" s="4">
        <f t="shared" si="42"/>
        <v>0</v>
      </c>
      <c r="AS59" s="4">
        <f t="shared" si="42"/>
        <v>0</v>
      </c>
      <c r="AT59" s="4">
        <f t="shared" si="42"/>
        <v>0</v>
      </c>
      <c r="AU59" s="4">
        <f t="shared" si="42"/>
        <v>0</v>
      </c>
      <c r="AV59" s="4">
        <f t="shared" si="42"/>
        <v>0</v>
      </c>
      <c r="AW59" s="4">
        <f t="shared" si="42"/>
        <v>0</v>
      </c>
      <c r="AX59" s="4">
        <f t="shared" si="42"/>
        <v>0</v>
      </c>
      <c r="AY59" s="4">
        <f t="shared" si="42"/>
        <v>0</v>
      </c>
      <c r="AZ59" s="4">
        <f t="shared" si="42"/>
        <v>0</v>
      </c>
      <c r="BA59" s="4">
        <f t="shared" si="42"/>
        <v>0</v>
      </c>
    </row>
    <row r="60" spans="1:54" x14ac:dyDescent="0.35"/>
    <row r="61" spans="1:54" ht="15.75" customHeight="1" x14ac:dyDescent="0.35">
      <c r="A61" s="5" t="s">
        <v>86</v>
      </c>
      <c r="B61" s="5"/>
      <c r="C61" s="5"/>
      <c r="D61" s="5"/>
      <c r="E61" s="5"/>
      <c r="F61" s="5"/>
      <c r="G61" s="5"/>
      <c r="H61" s="5"/>
      <c r="I61" s="5"/>
      <c r="J61" s="5"/>
      <c r="K61" s="5"/>
      <c r="N61" s="18">
        <f>_xlfn.MINIFS(Q61:BA61,Q61:BA61,"&gt;"&amp;0)</f>
        <v>0</v>
      </c>
      <c r="Q61" s="17">
        <f t="shared" ref="Q61:BA61" si="43">-IFERROR(SUM(Q35,Q57)/SUM(Q128,-Q132),0)*(OEt.w1-OEp.w1)</f>
        <v>0</v>
      </c>
      <c r="R61" s="17">
        <f t="shared" si="43"/>
        <v>0</v>
      </c>
      <c r="S61" s="17">
        <f t="shared" si="43"/>
        <v>0</v>
      </c>
      <c r="T61" s="17">
        <f t="shared" si="43"/>
        <v>0</v>
      </c>
      <c r="U61" s="17">
        <f t="shared" si="43"/>
        <v>0</v>
      </c>
      <c r="V61" s="17">
        <f t="shared" si="43"/>
        <v>0</v>
      </c>
      <c r="W61" s="17">
        <f t="shared" si="43"/>
        <v>0</v>
      </c>
      <c r="X61" s="17">
        <f t="shared" si="43"/>
        <v>0</v>
      </c>
      <c r="Y61" s="17">
        <f t="shared" si="43"/>
        <v>0</v>
      </c>
      <c r="Z61" s="17">
        <f t="shared" si="43"/>
        <v>0</v>
      </c>
      <c r="AA61" s="17">
        <f t="shared" si="43"/>
        <v>0</v>
      </c>
      <c r="AB61" s="17">
        <f t="shared" si="43"/>
        <v>0</v>
      </c>
      <c r="AC61" s="17">
        <f t="shared" si="43"/>
        <v>0</v>
      </c>
      <c r="AD61" s="17">
        <f t="shared" si="43"/>
        <v>0</v>
      </c>
      <c r="AE61" s="17">
        <f t="shared" si="43"/>
        <v>0</v>
      </c>
      <c r="AF61" s="17">
        <f t="shared" si="43"/>
        <v>0</v>
      </c>
      <c r="AG61" s="17">
        <f t="shared" si="43"/>
        <v>0</v>
      </c>
      <c r="AH61" s="17">
        <f t="shared" si="43"/>
        <v>0</v>
      </c>
      <c r="AI61" s="17">
        <f t="shared" si="43"/>
        <v>0</v>
      </c>
      <c r="AJ61" s="17">
        <f t="shared" si="43"/>
        <v>0</v>
      </c>
      <c r="AK61" s="17">
        <f t="shared" si="43"/>
        <v>0</v>
      </c>
      <c r="AL61" s="17">
        <f t="shared" si="43"/>
        <v>0</v>
      </c>
      <c r="AM61" s="17">
        <f t="shared" si="43"/>
        <v>0</v>
      </c>
      <c r="AN61" s="17">
        <f t="shared" si="43"/>
        <v>0</v>
      </c>
      <c r="AO61" s="17">
        <f t="shared" si="43"/>
        <v>0</v>
      </c>
      <c r="AP61" s="17">
        <f t="shared" si="43"/>
        <v>0</v>
      </c>
      <c r="AQ61" s="17">
        <f t="shared" si="43"/>
        <v>0</v>
      </c>
      <c r="AR61" s="17">
        <f t="shared" si="43"/>
        <v>0</v>
      </c>
      <c r="AS61" s="17">
        <f t="shared" si="43"/>
        <v>0</v>
      </c>
      <c r="AT61" s="17">
        <f t="shared" si="43"/>
        <v>0</v>
      </c>
      <c r="AU61" s="17">
        <f t="shared" si="43"/>
        <v>0</v>
      </c>
      <c r="AV61" s="17">
        <f t="shared" si="43"/>
        <v>0</v>
      </c>
      <c r="AW61" s="17">
        <f t="shared" si="43"/>
        <v>0</v>
      </c>
      <c r="AX61" s="17">
        <f t="shared" si="43"/>
        <v>0</v>
      </c>
      <c r="AY61" s="17">
        <f t="shared" si="43"/>
        <v>0</v>
      </c>
      <c r="AZ61" s="17">
        <f t="shared" si="43"/>
        <v>0</v>
      </c>
      <c r="BA61" s="17">
        <f t="shared" si="43"/>
        <v>0</v>
      </c>
    </row>
    <row r="62" spans="1:54" x14ac:dyDescent="0.35"/>
    <row r="63" spans="1:54" ht="15.75" customHeight="1" thickBot="1" x14ac:dyDescent="0.4">
      <c r="A63" s="44" t="s">
        <v>25</v>
      </c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5"/>
    </row>
    <row r="64" spans="1:54" ht="15" thickTop="1" x14ac:dyDescent="0.35"/>
    <row r="65" spans="2:53" ht="15.75" customHeight="1" x14ac:dyDescent="0.35">
      <c r="B65" s="5" t="s">
        <v>26</v>
      </c>
      <c r="C65" s="5"/>
      <c r="D65" s="5"/>
      <c r="E65" s="5"/>
      <c r="F65" s="5"/>
      <c r="G65" s="5"/>
      <c r="H65" s="5"/>
      <c r="I65" s="5"/>
      <c r="J65" s="5"/>
      <c r="K65" s="5"/>
      <c r="N65" s="1">
        <f>Q65</f>
        <v>0</v>
      </c>
      <c r="Q65" s="13">
        <v>0</v>
      </c>
      <c r="R65" s="1">
        <f t="shared" ref="R65:BA65" si="44">Q84</f>
        <v>0</v>
      </c>
      <c r="S65" s="1">
        <f t="shared" si="44"/>
        <v>0</v>
      </c>
      <c r="T65" s="1">
        <f t="shared" si="44"/>
        <v>0</v>
      </c>
      <c r="U65" s="1">
        <f t="shared" si="44"/>
        <v>0</v>
      </c>
      <c r="V65" s="1">
        <f t="shared" si="44"/>
        <v>0</v>
      </c>
      <c r="W65" s="1">
        <f t="shared" si="44"/>
        <v>0</v>
      </c>
      <c r="X65" s="1">
        <f t="shared" si="44"/>
        <v>0</v>
      </c>
      <c r="Y65" s="1">
        <f t="shared" si="44"/>
        <v>0</v>
      </c>
      <c r="Z65" s="1">
        <f t="shared" si="44"/>
        <v>0</v>
      </c>
      <c r="AA65" s="1">
        <f t="shared" si="44"/>
        <v>0</v>
      </c>
      <c r="AB65" s="1">
        <f t="shared" si="44"/>
        <v>0</v>
      </c>
      <c r="AC65" s="1">
        <f t="shared" si="44"/>
        <v>0</v>
      </c>
      <c r="AD65" s="1">
        <f t="shared" si="44"/>
        <v>0</v>
      </c>
      <c r="AE65" s="1">
        <f t="shared" si="44"/>
        <v>0</v>
      </c>
      <c r="AF65" s="1">
        <f t="shared" si="44"/>
        <v>0</v>
      </c>
      <c r="AG65" s="1">
        <f t="shared" si="44"/>
        <v>0</v>
      </c>
      <c r="AH65" s="1">
        <f t="shared" si="44"/>
        <v>0</v>
      </c>
      <c r="AI65" s="1">
        <f t="shared" si="44"/>
        <v>0</v>
      </c>
      <c r="AJ65" s="1">
        <f t="shared" si="44"/>
        <v>0</v>
      </c>
      <c r="AK65" s="1">
        <f t="shared" si="44"/>
        <v>0</v>
      </c>
      <c r="AL65" s="1">
        <f t="shared" si="44"/>
        <v>0</v>
      </c>
      <c r="AM65" s="1">
        <f t="shared" si="44"/>
        <v>0</v>
      </c>
      <c r="AN65" s="1">
        <f t="shared" si="44"/>
        <v>0</v>
      </c>
      <c r="AO65" s="1">
        <f t="shared" si="44"/>
        <v>0</v>
      </c>
      <c r="AP65" s="1">
        <f t="shared" si="44"/>
        <v>0</v>
      </c>
      <c r="AQ65" s="1">
        <f t="shared" si="44"/>
        <v>0</v>
      </c>
      <c r="AR65" s="1">
        <f t="shared" si="44"/>
        <v>0</v>
      </c>
      <c r="AS65" s="1">
        <f t="shared" si="44"/>
        <v>0</v>
      </c>
      <c r="AT65" s="1">
        <f t="shared" si="44"/>
        <v>0</v>
      </c>
      <c r="AU65" s="1">
        <f t="shared" si="44"/>
        <v>0</v>
      </c>
      <c r="AV65" s="1">
        <f t="shared" si="44"/>
        <v>0</v>
      </c>
      <c r="AW65" s="1">
        <f t="shared" si="44"/>
        <v>0</v>
      </c>
      <c r="AX65" s="1">
        <f t="shared" si="44"/>
        <v>0</v>
      </c>
      <c r="AY65" s="1">
        <f t="shared" si="44"/>
        <v>0</v>
      </c>
      <c r="AZ65" s="1">
        <f t="shared" si="44"/>
        <v>0</v>
      </c>
      <c r="BA65" s="1">
        <f t="shared" si="44"/>
        <v>0</v>
      </c>
    </row>
    <row r="66" spans="2:53" ht="15.75" customHeight="1" x14ac:dyDescent="0.35">
      <c r="B66" s="5"/>
      <c r="C66" s="5" t="s">
        <v>1</v>
      </c>
      <c r="D66" s="5"/>
      <c r="E66" s="5"/>
      <c r="F66" s="5"/>
      <c r="G66" s="5"/>
      <c r="H66" s="5"/>
      <c r="I66" s="5"/>
      <c r="J66" s="5"/>
      <c r="K66" s="5"/>
      <c r="N66" s="1">
        <f t="shared" ref="N66:N83" si="45">SUM(Q66:BA66)</f>
        <v>0</v>
      </c>
      <c r="Q66" s="1">
        <f t="shared" ref="Q66:BA66" si="46">SUM(Q67:Q71)</f>
        <v>0</v>
      </c>
      <c r="R66" s="1">
        <f t="shared" si="46"/>
        <v>0</v>
      </c>
      <c r="S66" s="1">
        <f t="shared" si="46"/>
        <v>0</v>
      </c>
      <c r="T66" s="1">
        <f t="shared" si="46"/>
        <v>0</v>
      </c>
      <c r="U66" s="1">
        <f t="shared" si="46"/>
        <v>0</v>
      </c>
      <c r="V66" s="1">
        <f t="shared" si="46"/>
        <v>0</v>
      </c>
      <c r="W66" s="1">
        <f t="shared" si="46"/>
        <v>0</v>
      </c>
      <c r="X66" s="1">
        <f t="shared" si="46"/>
        <v>0</v>
      </c>
      <c r="Y66" s="1">
        <f t="shared" si="46"/>
        <v>0</v>
      </c>
      <c r="Z66" s="1">
        <f t="shared" si="46"/>
        <v>0</v>
      </c>
      <c r="AA66" s="1">
        <f t="shared" si="46"/>
        <v>0</v>
      </c>
      <c r="AB66" s="1">
        <f t="shared" si="46"/>
        <v>0</v>
      </c>
      <c r="AC66" s="1">
        <f t="shared" si="46"/>
        <v>0</v>
      </c>
      <c r="AD66" s="1">
        <f t="shared" si="46"/>
        <v>0</v>
      </c>
      <c r="AE66" s="1">
        <f t="shared" si="46"/>
        <v>0</v>
      </c>
      <c r="AF66" s="1">
        <f t="shared" si="46"/>
        <v>0</v>
      </c>
      <c r="AG66" s="1">
        <f t="shared" si="46"/>
        <v>0</v>
      </c>
      <c r="AH66" s="1">
        <f t="shared" si="46"/>
        <v>0</v>
      </c>
      <c r="AI66" s="1">
        <f t="shared" si="46"/>
        <v>0</v>
      </c>
      <c r="AJ66" s="1">
        <f t="shared" si="46"/>
        <v>0</v>
      </c>
      <c r="AK66" s="1">
        <f t="shared" si="46"/>
        <v>0</v>
      </c>
      <c r="AL66" s="1">
        <f t="shared" si="46"/>
        <v>0</v>
      </c>
      <c r="AM66" s="1">
        <f t="shared" si="46"/>
        <v>0</v>
      </c>
      <c r="AN66" s="1">
        <f t="shared" si="46"/>
        <v>0</v>
      </c>
      <c r="AO66" s="1">
        <f t="shared" si="46"/>
        <v>0</v>
      </c>
      <c r="AP66" s="1">
        <f t="shared" si="46"/>
        <v>0</v>
      </c>
      <c r="AQ66" s="1">
        <f t="shared" si="46"/>
        <v>0</v>
      </c>
      <c r="AR66" s="1">
        <f t="shared" si="46"/>
        <v>0</v>
      </c>
      <c r="AS66" s="1">
        <f t="shared" si="46"/>
        <v>0</v>
      </c>
      <c r="AT66" s="1">
        <f t="shared" si="46"/>
        <v>0</v>
      </c>
      <c r="AU66" s="1">
        <f t="shared" si="46"/>
        <v>0</v>
      </c>
      <c r="AV66" s="1">
        <f t="shared" si="46"/>
        <v>0</v>
      </c>
      <c r="AW66" s="1">
        <f t="shared" si="46"/>
        <v>0</v>
      </c>
      <c r="AX66" s="1">
        <f t="shared" si="46"/>
        <v>0</v>
      </c>
      <c r="AY66" s="1">
        <f t="shared" si="46"/>
        <v>0</v>
      </c>
      <c r="AZ66" s="1">
        <f t="shared" si="46"/>
        <v>0</v>
      </c>
      <c r="BA66" s="1">
        <f t="shared" si="46"/>
        <v>0</v>
      </c>
    </row>
    <row r="67" spans="2:53" ht="15.75" customHeight="1" outlineLevel="1" x14ac:dyDescent="0.35">
      <c r="B67" s="5"/>
      <c r="C67" s="5"/>
      <c r="D67" s="5" t="s">
        <v>99</v>
      </c>
      <c r="E67" s="5"/>
      <c r="F67" s="5"/>
      <c r="G67" s="5"/>
      <c r="H67" s="5"/>
      <c r="I67" s="5"/>
      <c r="J67" s="5"/>
      <c r="K67" s="5"/>
      <c r="N67" s="1">
        <f t="shared" si="45"/>
        <v>0</v>
      </c>
      <c r="Q67" s="1">
        <f>ABS(Q176)</f>
        <v>0</v>
      </c>
      <c r="R67" s="1">
        <f t="shared" ref="R67:BA67" si="47">ABS(R176)</f>
        <v>0</v>
      </c>
      <c r="S67" s="1">
        <f t="shared" si="47"/>
        <v>0</v>
      </c>
      <c r="T67" s="1">
        <f t="shared" si="47"/>
        <v>0</v>
      </c>
      <c r="U67" s="1">
        <f t="shared" si="47"/>
        <v>0</v>
      </c>
      <c r="V67" s="1">
        <f t="shared" si="47"/>
        <v>0</v>
      </c>
      <c r="W67" s="1">
        <f t="shared" si="47"/>
        <v>0</v>
      </c>
      <c r="X67" s="1">
        <f t="shared" si="47"/>
        <v>0</v>
      </c>
      <c r="Y67" s="1">
        <f t="shared" si="47"/>
        <v>0</v>
      </c>
      <c r="Z67" s="1">
        <f t="shared" si="47"/>
        <v>0</v>
      </c>
      <c r="AA67" s="1">
        <f t="shared" si="47"/>
        <v>0</v>
      </c>
      <c r="AB67" s="1">
        <f t="shared" si="47"/>
        <v>0</v>
      </c>
      <c r="AC67" s="1">
        <f t="shared" si="47"/>
        <v>0</v>
      </c>
      <c r="AD67" s="1">
        <f t="shared" si="47"/>
        <v>0</v>
      </c>
      <c r="AE67" s="1">
        <f t="shared" si="47"/>
        <v>0</v>
      </c>
      <c r="AF67" s="1">
        <f t="shared" si="47"/>
        <v>0</v>
      </c>
      <c r="AG67" s="1">
        <f t="shared" si="47"/>
        <v>0</v>
      </c>
      <c r="AH67" s="1">
        <f t="shared" si="47"/>
        <v>0</v>
      </c>
      <c r="AI67" s="1">
        <f t="shared" si="47"/>
        <v>0</v>
      </c>
      <c r="AJ67" s="1">
        <f t="shared" si="47"/>
        <v>0</v>
      </c>
      <c r="AK67" s="1">
        <f t="shared" si="47"/>
        <v>0</v>
      </c>
      <c r="AL67" s="1">
        <f t="shared" si="47"/>
        <v>0</v>
      </c>
      <c r="AM67" s="1">
        <f t="shared" si="47"/>
        <v>0</v>
      </c>
      <c r="AN67" s="1">
        <f t="shared" si="47"/>
        <v>0</v>
      </c>
      <c r="AO67" s="1">
        <f t="shared" si="47"/>
        <v>0</v>
      </c>
      <c r="AP67" s="1">
        <f t="shared" si="47"/>
        <v>0</v>
      </c>
      <c r="AQ67" s="1">
        <f t="shared" si="47"/>
        <v>0</v>
      </c>
      <c r="AR67" s="1">
        <f t="shared" si="47"/>
        <v>0</v>
      </c>
      <c r="AS67" s="1">
        <f t="shared" si="47"/>
        <v>0</v>
      </c>
      <c r="AT67" s="1">
        <f t="shared" si="47"/>
        <v>0</v>
      </c>
      <c r="AU67" s="1">
        <f t="shared" si="47"/>
        <v>0</v>
      </c>
      <c r="AV67" s="1">
        <f t="shared" si="47"/>
        <v>0</v>
      </c>
      <c r="AW67" s="1">
        <f t="shared" si="47"/>
        <v>0</v>
      </c>
      <c r="AX67" s="1">
        <f t="shared" si="47"/>
        <v>0</v>
      </c>
      <c r="AY67" s="1">
        <f t="shared" si="47"/>
        <v>0</v>
      </c>
      <c r="AZ67" s="1">
        <f t="shared" si="47"/>
        <v>0</v>
      </c>
      <c r="BA67" s="1">
        <f t="shared" si="47"/>
        <v>0</v>
      </c>
    </row>
    <row r="68" spans="2:53" ht="15.75" customHeight="1" outlineLevel="1" x14ac:dyDescent="0.35">
      <c r="B68" s="5"/>
      <c r="C68" s="5"/>
      <c r="D68" s="5" t="s">
        <v>100</v>
      </c>
      <c r="E68" s="5"/>
      <c r="F68" s="5"/>
      <c r="G68" s="5"/>
      <c r="H68" s="5"/>
      <c r="I68" s="5"/>
      <c r="J68" s="5"/>
      <c r="K68" s="5"/>
      <c r="N68" s="1">
        <f t="shared" si="45"/>
        <v>0</v>
      </c>
      <c r="Q68" s="1">
        <f>ABS(Q177)</f>
        <v>0</v>
      </c>
      <c r="R68" s="1">
        <f t="shared" ref="R68:BA68" si="48">ABS(R177)</f>
        <v>0</v>
      </c>
      <c r="S68" s="1">
        <f t="shared" si="48"/>
        <v>0</v>
      </c>
      <c r="T68" s="1">
        <f t="shared" si="48"/>
        <v>0</v>
      </c>
      <c r="U68" s="1">
        <f t="shared" si="48"/>
        <v>0</v>
      </c>
      <c r="V68" s="1">
        <f t="shared" si="48"/>
        <v>0</v>
      </c>
      <c r="W68" s="1">
        <f t="shared" si="48"/>
        <v>0</v>
      </c>
      <c r="X68" s="1">
        <f t="shared" si="48"/>
        <v>0</v>
      </c>
      <c r="Y68" s="1">
        <f t="shared" si="48"/>
        <v>0</v>
      </c>
      <c r="Z68" s="1">
        <f t="shared" si="48"/>
        <v>0</v>
      </c>
      <c r="AA68" s="1">
        <f t="shared" si="48"/>
        <v>0</v>
      </c>
      <c r="AB68" s="1">
        <f t="shared" si="48"/>
        <v>0</v>
      </c>
      <c r="AC68" s="1">
        <f t="shared" si="48"/>
        <v>0</v>
      </c>
      <c r="AD68" s="1">
        <f t="shared" si="48"/>
        <v>0</v>
      </c>
      <c r="AE68" s="1">
        <f t="shared" si="48"/>
        <v>0</v>
      </c>
      <c r="AF68" s="1">
        <f t="shared" si="48"/>
        <v>0</v>
      </c>
      <c r="AG68" s="1">
        <f t="shared" si="48"/>
        <v>0</v>
      </c>
      <c r="AH68" s="1">
        <f t="shared" si="48"/>
        <v>0</v>
      </c>
      <c r="AI68" s="1">
        <f t="shared" si="48"/>
        <v>0</v>
      </c>
      <c r="AJ68" s="1">
        <f t="shared" si="48"/>
        <v>0</v>
      </c>
      <c r="AK68" s="1">
        <f t="shared" si="48"/>
        <v>0</v>
      </c>
      <c r="AL68" s="1">
        <f t="shared" si="48"/>
        <v>0</v>
      </c>
      <c r="AM68" s="1">
        <f t="shared" si="48"/>
        <v>0</v>
      </c>
      <c r="AN68" s="1">
        <f t="shared" si="48"/>
        <v>0</v>
      </c>
      <c r="AO68" s="1">
        <f t="shared" si="48"/>
        <v>0</v>
      </c>
      <c r="AP68" s="1">
        <f t="shared" si="48"/>
        <v>0</v>
      </c>
      <c r="AQ68" s="1">
        <f t="shared" si="48"/>
        <v>0</v>
      </c>
      <c r="AR68" s="1">
        <f t="shared" si="48"/>
        <v>0</v>
      </c>
      <c r="AS68" s="1">
        <f t="shared" si="48"/>
        <v>0</v>
      </c>
      <c r="AT68" s="1">
        <f t="shared" si="48"/>
        <v>0</v>
      </c>
      <c r="AU68" s="1">
        <f t="shared" si="48"/>
        <v>0</v>
      </c>
      <c r="AV68" s="1">
        <f t="shared" si="48"/>
        <v>0</v>
      </c>
      <c r="AW68" s="1">
        <f t="shared" si="48"/>
        <v>0</v>
      </c>
      <c r="AX68" s="1">
        <f t="shared" si="48"/>
        <v>0</v>
      </c>
      <c r="AY68" s="1">
        <f t="shared" si="48"/>
        <v>0</v>
      </c>
      <c r="AZ68" s="1">
        <f t="shared" si="48"/>
        <v>0</v>
      </c>
      <c r="BA68" s="1">
        <f t="shared" si="48"/>
        <v>0</v>
      </c>
    </row>
    <row r="69" spans="2:53" ht="15.75" customHeight="1" outlineLevel="1" x14ac:dyDescent="0.35">
      <c r="B69" s="5"/>
      <c r="C69" s="5"/>
      <c r="D69" s="5" t="s">
        <v>66</v>
      </c>
      <c r="E69" s="5"/>
      <c r="F69" s="5"/>
      <c r="G69" s="5"/>
      <c r="H69" s="5"/>
      <c r="I69" s="5"/>
      <c r="J69" s="5"/>
      <c r="K69" s="5"/>
      <c r="N69" s="1">
        <f t="shared" si="45"/>
        <v>0</v>
      </c>
      <c r="Q69" s="1">
        <f>ABS(Q178)</f>
        <v>0</v>
      </c>
      <c r="R69" s="1">
        <f t="shared" ref="R69:BA69" si="49">ABS(R178)</f>
        <v>0</v>
      </c>
      <c r="S69" s="1">
        <f t="shared" si="49"/>
        <v>0</v>
      </c>
      <c r="T69" s="1">
        <f t="shared" si="49"/>
        <v>0</v>
      </c>
      <c r="U69" s="1">
        <f t="shared" si="49"/>
        <v>0</v>
      </c>
      <c r="V69" s="1">
        <f t="shared" si="49"/>
        <v>0</v>
      </c>
      <c r="W69" s="1">
        <f t="shared" si="49"/>
        <v>0</v>
      </c>
      <c r="X69" s="1">
        <f t="shared" si="49"/>
        <v>0</v>
      </c>
      <c r="Y69" s="1">
        <f t="shared" si="49"/>
        <v>0</v>
      </c>
      <c r="Z69" s="1">
        <f t="shared" si="49"/>
        <v>0</v>
      </c>
      <c r="AA69" s="1">
        <f t="shared" si="49"/>
        <v>0</v>
      </c>
      <c r="AB69" s="1">
        <f t="shared" si="49"/>
        <v>0</v>
      </c>
      <c r="AC69" s="1">
        <f t="shared" si="49"/>
        <v>0</v>
      </c>
      <c r="AD69" s="1">
        <f t="shared" si="49"/>
        <v>0</v>
      </c>
      <c r="AE69" s="1">
        <f t="shared" si="49"/>
        <v>0</v>
      </c>
      <c r="AF69" s="1">
        <f t="shared" si="49"/>
        <v>0</v>
      </c>
      <c r="AG69" s="1">
        <f t="shared" si="49"/>
        <v>0</v>
      </c>
      <c r="AH69" s="1">
        <f t="shared" si="49"/>
        <v>0</v>
      </c>
      <c r="AI69" s="1">
        <f t="shared" si="49"/>
        <v>0</v>
      </c>
      <c r="AJ69" s="1">
        <f t="shared" si="49"/>
        <v>0</v>
      </c>
      <c r="AK69" s="1">
        <f t="shared" si="49"/>
        <v>0</v>
      </c>
      <c r="AL69" s="1">
        <f t="shared" si="49"/>
        <v>0</v>
      </c>
      <c r="AM69" s="1">
        <f t="shared" si="49"/>
        <v>0</v>
      </c>
      <c r="AN69" s="1">
        <f t="shared" si="49"/>
        <v>0</v>
      </c>
      <c r="AO69" s="1">
        <f t="shared" si="49"/>
        <v>0</v>
      </c>
      <c r="AP69" s="1">
        <f t="shared" si="49"/>
        <v>0</v>
      </c>
      <c r="AQ69" s="1">
        <f t="shared" si="49"/>
        <v>0</v>
      </c>
      <c r="AR69" s="1">
        <f t="shared" si="49"/>
        <v>0</v>
      </c>
      <c r="AS69" s="1">
        <f t="shared" si="49"/>
        <v>0</v>
      </c>
      <c r="AT69" s="1">
        <f t="shared" si="49"/>
        <v>0</v>
      </c>
      <c r="AU69" s="1">
        <f t="shared" si="49"/>
        <v>0</v>
      </c>
      <c r="AV69" s="1">
        <f t="shared" si="49"/>
        <v>0</v>
      </c>
      <c r="AW69" s="1">
        <f t="shared" si="49"/>
        <v>0</v>
      </c>
      <c r="AX69" s="1">
        <f t="shared" si="49"/>
        <v>0</v>
      </c>
      <c r="AY69" s="1">
        <f t="shared" si="49"/>
        <v>0</v>
      </c>
      <c r="AZ69" s="1">
        <f t="shared" si="49"/>
        <v>0</v>
      </c>
      <c r="BA69" s="1">
        <f t="shared" si="49"/>
        <v>0</v>
      </c>
    </row>
    <row r="70" spans="2:53" ht="15.75" customHeight="1" outlineLevel="1" x14ac:dyDescent="0.35">
      <c r="B70" s="5"/>
      <c r="C70" s="5"/>
      <c r="D70" s="5" t="s">
        <v>72</v>
      </c>
      <c r="E70" s="5"/>
      <c r="F70" s="5"/>
      <c r="G70" s="5"/>
      <c r="H70" s="5"/>
      <c r="I70" s="5"/>
      <c r="J70" s="5"/>
      <c r="K70" s="5"/>
      <c r="N70" s="1">
        <f t="shared" si="45"/>
        <v>0</v>
      </c>
      <c r="Q70" s="1">
        <f t="shared" ref="Q70:BA70" si="50">Q123+Q140</f>
        <v>0</v>
      </c>
      <c r="R70" s="1">
        <f t="shared" si="50"/>
        <v>0</v>
      </c>
      <c r="S70" s="1">
        <f t="shared" si="50"/>
        <v>0</v>
      </c>
      <c r="T70" s="1">
        <f t="shared" si="50"/>
        <v>0</v>
      </c>
      <c r="U70" s="1">
        <f t="shared" si="50"/>
        <v>0</v>
      </c>
      <c r="V70" s="1">
        <f t="shared" si="50"/>
        <v>0</v>
      </c>
      <c r="W70" s="1">
        <f t="shared" si="50"/>
        <v>0</v>
      </c>
      <c r="X70" s="1">
        <f t="shared" si="50"/>
        <v>0</v>
      </c>
      <c r="Y70" s="1">
        <f t="shared" si="50"/>
        <v>0</v>
      </c>
      <c r="Z70" s="1">
        <f t="shared" si="50"/>
        <v>0</v>
      </c>
      <c r="AA70" s="1">
        <f t="shared" si="50"/>
        <v>0</v>
      </c>
      <c r="AB70" s="1">
        <f t="shared" si="50"/>
        <v>0</v>
      </c>
      <c r="AC70" s="1">
        <f t="shared" si="50"/>
        <v>0</v>
      </c>
      <c r="AD70" s="1">
        <f t="shared" si="50"/>
        <v>0</v>
      </c>
      <c r="AE70" s="1">
        <f t="shared" si="50"/>
        <v>0</v>
      </c>
      <c r="AF70" s="1">
        <f t="shared" si="50"/>
        <v>0</v>
      </c>
      <c r="AG70" s="1">
        <f t="shared" si="50"/>
        <v>0</v>
      </c>
      <c r="AH70" s="1">
        <f t="shared" si="50"/>
        <v>0</v>
      </c>
      <c r="AI70" s="1">
        <f t="shared" si="50"/>
        <v>0</v>
      </c>
      <c r="AJ70" s="1">
        <f t="shared" si="50"/>
        <v>0</v>
      </c>
      <c r="AK70" s="1">
        <f t="shared" si="50"/>
        <v>0</v>
      </c>
      <c r="AL70" s="1">
        <f t="shared" si="50"/>
        <v>0</v>
      </c>
      <c r="AM70" s="1">
        <f t="shared" si="50"/>
        <v>0</v>
      </c>
      <c r="AN70" s="1">
        <f t="shared" si="50"/>
        <v>0</v>
      </c>
      <c r="AO70" s="1">
        <f t="shared" si="50"/>
        <v>0</v>
      </c>
      <c r="AP70" s="1">
        <f t="shared" si="50"/>
        <v>0</v>
      </c>
      <c r="AQ70" s="1">
        <f t="shared" si="50"/>
        <v>0</v>
      </c>
      <c r="AR70" s="1">
        <f t="shared" si="50"/>
        <v>0</v>
      </c>
      <c r="AS70" s="1">
        <f t="shared" si="50"/>
        <v>0</v>
      </c>
      <c r="AT70" s="1">
        <f t="shared" si="50"/>
        <v>0</v>
      </c>
      <c r="AU70" s="1">
        <f t="shared" si="50"/>
        <v>0</v>
      </c>
      <c r="AV70" s="1">
        <f t="shared" si="50"/>
        <v>0</v>
      </c>
      <c r="AW70" s="1">
        <f t="shared" si="50"/>
        <v>0</v>
      </c>
      <c r="AX70" s="1">
        <f t="shared" si="50"/>
        <v>0</v>
      </c>
      <c r="AY70" s="1">
        <f t="shared" si="50"/>
        <v>0</v>
      </c>
      <c r="AZ70" s="1">
        <f t="shared" si="50"/>
        <v>0</v>
      </c>
      <c r="BA70" s="1">
        <f t="shared" si="50"/>
        <v>0</v>
      </c>
    </row>
    <row r="71" spans="2:53" ht="15.75" customHeight="1" outlineLevel="1" x14ac:dyDescent="0.35">
      <c r="B71" s="5"/>
      <c r="C71" s="5"/>
      <c r="D71" s="5" t="s">
        <v>50</v>
      </c>
      <c r="E71" s="5"/>
      <c r="F71" s="5"/>
      <c r="G71" s="5"/>
      <c r="H71" s="5"/>
      <c r="I71" s="5"/>
      <c r="J71" s="5"/>
      <c r="K71" s="5"/>
      <c r="N71" s="1">
        <f>SUM(Q71:BA71)</f>
        <v>0</v>
      </c>
      <c r="Q71" s="1">
        <f t="shared" ref="Q71:BA71" si="51">Q124+Q141</f>
        <v>0</v>
      </c>
      <c r="R71" s="1">
        <f t="shared" si="51"/>
        <v>0</v>
      </c>
      <c r="S71" s="1">
        <f>S124+S141</f>
        <v>0</v>
      </c>
      <c r="T71" s="1">
        <f t="shared" si="51"/>
        <v>0</v>
      </c>
      <c r="U71" s="1">
        <f t="shared" si="51"/>
        <v>0</v>
      </c>
      <c r="V71" s="1">
        <f t="shared" si="51"/>
        <v>0</v>
      </c>
      <c r="W71" s="1">
        <f t="shared" si="51"/>
        <v>0</v>
      </c>
      <c r="X71" s="1">
        <f t="shared" si="51"/>
        <v>0</v>
      </c>
      <c r="Y71" s="1">
        <f t="shared" si="51"/>
        <v>0</v>
      </c>
      <c r="Z71" s="1">
        <f t="shared" si="51"/>
        <v>0</v>
      </c>
      <c r="AA71" s="1">
        <f t="shared" si="51"/>
        <v>0</v>
      </c>
      <c r="AB71" s="1">
        <f t="shared" si="51"/>
        <v>0</v>
      </c>
      <c r="AC71" s="1">
        <f t="shared" si="51"/>
        <v>0</v>
      </c>
      <c r="AD71" s="1">
        <f t="shared" si="51"/>
        <v>0</v>
      </c>
      <c r="AE71" s="1">
        <f t="shared" si="51"/>
        <v>0</v>
      </c>
      <c r="AF71" s="1">
        <f t="shared" si="51"/>
        <v>0</v>
      </c>
      <c r="AG71" s="1">
        <f t="shared" si="51"/>
        <v>0</v>
      </c>
      <c r="AH71" s="1">
        <f t="shared" si="51"/>
        <v>0</v>
      </c>
      <c r="AI71" s="1">
        <f t="shared" si="51"/>
        <v>0</v>
      </c>
      <c r="AJ71" s="1">
        <f t="shared" si="51"/>
        <v>0</v>
      </c>
      <c r="AK71" s="1">
        <f t="shared" si="51"/>
        <v>0</v>
      </c>
      <c r="AL71" s="1">
        <f t="shared" si="51"/>
        <v>0</v>
      </c>
      <c r="AM71" s="1">
        <f t="shared" si="51"/>
        <v>0</v>
      </c>
      <c r="AN71" s="1">
        <f t="shared" si="51"/>
        <v>0</v>
      </c>
      <c r="AO71" s="1">
        <f t="shared" si="51"/>
        <v>0</v>
      </c>
      <c r="AP71" s="1">
        <f t="shared" si="51"/>
        <v>0</v>
      </c>
      <c r="AQ71" s="1">
        <f t="shared" si="51"/>
        <v>0</v>
      </c>
      <c r="AR71" s="1">
        <f t="shared" si="51"/>
        <v>0</v>
      </c>
      <c r="AS71" s="1">
        <f t="shared" si="51"/>
        <v>0</v>
      </c>
      <c r="AT71" s="1">
        <f t="shared" si="51"/>
        <v>0</v>
      </c>
      <c r="AU71" s="1">
        <f t="shared" si="51"/>
        <v>0</v>
      </c>
      <c r="AV71" s="1">
        <f t="shared" si="51"/>
        <v>0</v>
      </c>
      <c r="AW71" s="1">
        <f t="shared" si="51"/>
        <v>0</v>
      </c>
      <c r="AX71" s="1">
        <f t="shared" si="51"/>
        <v>0</v>
      </c>
      <c r="AY71" s="1">
        <f t="shared" si="51"/>
        <v>0</v>
      </c>
      <c r="AZ71" s="1">
        <f t="shared" si="51"/>
        <v>0</v>
      </c>
      <c r="BA71" s="1">
        <f t="shared" si="51"/>
        <v>0</v>
      </c>
    </row>
    <row r="72" spans="2:53" ht="15.75" customHeight="1" x14ac:dyDescent="0.35">
      <c r="B72" s="5"/>
      <c r="C72" s="5" t="s">
        <v>3</v>
      </c>
      <c r="D72" s="5"/>
      <c r="E72" s="5"/>
      <c r="F72" s="5"/>
      <c r="G72" s="5"/>
      <c r="H72" s="5"/>
      <c r="I72" s="5"/>
      <c r="J72" s="5"/>
      <c r="K72" s="5"/>
      <c r="N72" s="1">
        <f t="shared" si="45"/>
        <v>0</v>
      </c>
      <c r="Q72" s="1">
        <f>SUM(Q73:Q74)</f>
        <v>0</v>
      </c>
      <c r="R72" s="1">
        <f t="shared" ref="R72:BA72" si="52">SUM(R73:R74)</f>
        <v>0</v>
      </c>
      <c r="S72" s="1">
        <f t="shared" si="52"/>
        <v>0</v>
      </c>
      <c r="T72" s="1">
        <f t="shared" si="52"/>
        <v>0</v>
      </c>
      <c r="U72" s="1">
        <f t="shared" si="52"/>
        <v>0</v>
      </c>
      <c r="V72" s="1">
        <f t="shared" si="52"/>
        <v>0</v>
      </c>
      <c r="W72" s="1">
        <f t="shared" si="52"/>
        <v>0</v>
      </c>
      <c r="X72" s="1">
        <f t="shared" si="52"/>
        <v>0</v>
      </c>
      <c r="Y72" s="1">
        <f t="shared" si="52"/>
        <v>0</v>
      </c>
      <c r="Z72" s="1">
        <f t="shared" si="52"/>
        <v>0</v>
      </c>
      <c r="AA72" s="1">
        <f t="shared" si="52"/>
        <v>0</v>
      </c>
      <c r="AB72" s="1">
        <f t="shared" si="52"/>
        <v>0</v>
      </c>
      <c r="AC72" s="1">
        <f t="shared" si="52"/>
        <v>0</v>
      </c>
      <c r="AD72" s="1">
        <f t="shared" si="52"/>
        <v>0</v>
      </c>
      <c r="AE72" s="1">
        <f t="shared" si="52"/>
        <v>0</v>
      </c>
      <c r="AF72" s="1">
        <f t="shared" si="52"/>
        <v>0</v>
      </c>
      <c r="AG72" s="1">
        <f t="shared" si="52"/>
        <v>0</v>
      </c>
      <c r="AH72" s="1">
        <f t="shared" si="52"/>
        <v>0</v>
      </c>
      <c r="AI72" s="1">
        <f t="shared" si="52"/>
        <v>0</v>
      </c>
      <c r="AJ72" s="1">
        <f t="shared" si="52"/>
        <v>0</v>
      </c>
      <c r="AK72" s="1">
        <f t="shared" si="52"/>
        <v>0</v>
      </c>
      <c r="AL72" s="1">
        <f t="shared" si="52"/>
        <v>0</v>
      </c>
      <c r="AM72" s="1">
        <f t="shared" si="52"/>
        <v>0</v>
      </c>
      <c r="AN72" s="1">
        <f t="shared" si="52"/>
        <v>0</v>
      </c>
      <c r="AO72" s="1">
        <f t="shared" si="52"/>
        <v>0</v>
      </c>
      <c r="AP72" s="1">
        <f t="shared" si="52"/>
        <v>0</v>
      </c>
      <c r="AQ72" s="1">
        <f t="shared" si="52"/>
        <v>0</v>
      </c>
      <c r="AR72" s="1">
        <f t="shared" si="52"/>
        <v>0</v>
      </c>
      <c r="AS72" s="1">
        <f t="shared" si="52"/>
        <v>0</v>
      </c>
      <c r="AT72" s="1">
        <f t="shared" si="52"/>
        <v>0</v>
      </c>
      <c r="AU72" s="1">
        <f t="shared" si="52"/>
        <v>0</v>
      </c>
      <c r="AV72" s="1">
        <f t="shared" si="52"/>
        <v>0</v>
      </c>
      <c r="AW72" s="1">
        <f t="shared" si="52"/>
        <v>0</v>
      </c>
      <c r="AX72" s="1">
        <f t="shared" si="52"/>
        <v>0</v>
      </c>
      <c r="AY72" s="1">
        <f t="shared" si="52"/>
        <v>0</v>
      </c>
      <c r="AZ72" s="1">
        <f t="shared" si="52"/>
        <v>0</v>
      </c>
      <c r="BA72" s="1">
        <f t="shared" si="52"/>
        <v>0</v>
      </c>
    </row>
    <row r="73" spans="2:53" ht="15.75" customHeight="1" outlineLevel="1" x14ac:dyDescent="0.35">
      <c r="B73" s="5"/>
      <c r="C73" s="5"/>
      <c r="D73" s="5" t="s">
        <v>6</v>
      </c>
      <c r="E73" s="5"/>
      <c r="F73" s="5"/>
      <c r="G73" s="5"/>
      <c r="H73" s="5"/>
      <c r="I73" s="5"/>
      <c r="J73" s="5"/>
      <c r="K73" s="5"/>
      <c r="N73" s="1">
        <f t="shared" si="45"/>
        <v>0</v>
      </c>
      <c r="Q73" s="1">
        <f>ABS(Założenia!$K$43)*'zakładka techniczna'!Q$10*OEt.w1</f>
        <v>0</v>
      </c>
      <c r="R73" s="1">
        <f>ABS(Założenia!$K$43)*'zakładka techniczna'!R$10*OEt.w1</f>
        <v>0</v>
      </c>
      <c r="S73" s="1">
        <f>ABS(Założenia!$K$43)*'zakładka techniczna'!S$10*OEt.w1</f>
        <v>0</v>
      </c>
      <c r="T73" s="1">
        <f>ABS(Założenia!$K$43)*'zakładka techniczna'!T$10*OEt.w1</f>
        <v>0</v>
      </c>
      <c r="U73" s="1">
        <f>ABS(Założenia!$K$43)*'zakładka techniczna'!U$10*OEt.w1</f>
        <v>0</v>
      </c>
      <c r="V73" s="1">
        <f>ABS(Założenia!$K$43)*'zakładka techniczna'!V$10*OEt.w1</f>
        <v>0</v>
      </c>
      <c r="W73" s="1">
        <f>ABS(Założenia!$K$43)*'zakładka techniczna'!W$10*OEt.w1</f>
        <v>0</v>
      </c>
      <c r="X73" s="1">
        <f>ABS(Założenia!$K$43)*'zakładka techniczna'!X$10*OEt.w1</f>
        <v>0</v>
      </c>
      <c r="Y73" s="1">
        <f>ABS(Założenia!$K$43)*'zakładka techniczna'!Y$10*OEt.w1</f>
        <v>0</v>
      </c>
      <c r="Z73" s="1">
        <f>ABS(Założenia!$K$43)*'zakładka techniczna'!Z$10*OEt.w1</f>
        <v>0</v>
      </c>
      <c r="AA73" s="1">
        <f>ABS(Założenia!$K$43)*'zakładka techniczna'!AA$10*OEt.w1</f>
        <v>0</v>
      </c>
      <c r="AB73" s="1">
        <f>ABS(Założenia!$K$43)*'zakładka techniczna'!AB$10*OEt.w1</f>
        <v>0</v>
      </c>
      <c r="AC73" s="1">
        <f>ABS(Założenia!$K$43)*'zakładka techniczna'!AC$10*OEt.w1</f>
        <v>0</v>
      </c>
      <c r="AD73" s="1">
        <f>ABS(Założenia!$K$43)*'zakładka techniczna'!AD$10*OEt.w1</f>
        <v>0</v>
      </c>
      <c r="AE73" s="1">
        <f>ABS(Założenia!$K$43)*'zakładka techniczna'!AE$10*OEt.w1</f>
        <v>0</v>
      </c>
      <c r="AF73" s="1">
        <f>ABS(Założenia!$K$43)*'zakładka techniczna'!AF$10*OEt.w1</f>
        <v>0</v>
      </c>
      <c r="AG73" s="1">
        <f>ABS(Założenia!$K$43)*'zakładka techniczna'!AG$10*OEt.w1</f>
        <v>0</v>
      </c>
      <c r="AH73" s="1">
        <f>ABS(Założenia!$K$43)*'zakładka techniczna'!AH$10*OEt.w1</f>
        <v>0</v>
      </c>
      <c r="AI73" s="1">
        <f>ABS(Założenia!$K$43)*'zakładka techniczna'!AI$10*OEt.w1</f>
        <v>0</v>
      </c>
      <c r="AJ73" s="1">
        <f>ABS(Założenia!$K$43)*'zakładka techniczna'!AJ$10*OEt.w1</f>
        <v>0</v>
      </c>
      <c r="AK73" s="1">
        <f>ABS(Założenia!$K$43)*'zakładka techniczna'!AK$10*OEt.w1</f>
        <v>0</v>
      </c>
      <c r="AL73" s="1">
        <f>ABS(Założenia!$K$43)*'zakładka techniczna'!AL$10*OEt.w1</f>
        <v>0</v>
      </c>
      <c r="AM73" s="1">
        <f>ABS(Założenia!$K$43)*'zakładka techniczna'!AM$10*OEt.w1</f>
        <v>0</v>
      </c>
      <c r="AN73" s="1">
        <f>ABS(Założenia!$K$43)*'zakładka techniczna'!AN$10*OEt.w1</f>
        <v>0</v>
      </c>
      <c r="AO73" s="1">
        <f>ABS(Założenia!$K$43)*'zakładka techniczna'!AO$10*OEt.w1</f>
        <v>0</v>
      </c>
      <c r="AP73" s="1">
        <f>ABS(Założenia!$K$43)*'zakładka techniczna'!AP$10*OEt.w1</f>
        <v>0</v>
      </c>
      <c r="AQ73" s="1">
        <f>ABS(Założenia!$K$43)*'zakładka techniczna'!AQ$10*OEt.w1</f>
        <v>0</v>
      </c>
      <c r="AR73" s="1">
        <f>ABS(Założenia!$K$43)*'zakładka techniczna'!AR$10*OEt.w1</f>
        <v>0</v>
      </c>
      <c r="AS73" s="1">
        <f>ABS(Założenia!$K$43)*'zakładka techniczna'!AS$10*OEt.w1</f>
        <v>0</v>
      </c>
      <c r="AT73" s="1">
        <f>ABS(Założenia!$K$43)*'zakładka techniczna'!AT$10*OEt.w1</f>
        <v>0</v>
      </c>
      <c r="AU73" s="1">
        <f>ABS(Założenia!$K$43)*'zakładka techniczna'!AU$10*OEt.w1</f>
        <v>0</v>
      </c>
      <c r="AV73" s="1">
        <f>ABS(Założenia!$K$43)*'zakładka techniczna'!AV$10*OEt.w1</f>
        <v>0</v>
      </c>
      <c r="AW73" s="1">
        <f>ABS(Założenia!$K$43)*'zakładka techniczna'!AW$10*OEt.w1</f>
        <v>0</v>
      </c>
      <c r="AX73" s="1">
        <f>ABS(Założenia!$K$43)*'zakładka techniczna'!AX$10*OEt.w1</f>
        <v>0</v>
      </c>
      <c r="AY73" s="1">
        <f>ABS(Założenia!$K$43)*'zakładka techniczna'!AY$10*OEt.w1</f>
        <v>0</v>
      </c>
      <c r="AZ73" s="1">
        <f>ABS(Założenia!$K$43)*'zakładka techniczna'!AZ$10*OEt.w1</f>
        <v>0</v>
      </c>
      <c r="BA73" s="1">
        <f>ABS(Założenia!$K$43)*'zakładka techniczna'!BA$10*OEt.w1</f>
        <v>0</v>
      </c>
    </row>
    <row r="74" spans="2:53" ht="15.75" customHeight="1" outlineLevel="1" x14ac:dyDescent="0.35">
      <c r="B74" s="5"/>
      <c r="C74" s="5"/>
      <c r="D74" s="5" t="s">
        <v>142</v>
      </c>
      <c r="E74" s="5"/>
      <c r="F74" s="5"/>
      <c r="G74" s="5"/>
      <c r="H74" s="5"/>
      <c r="I74" s="5"/>
      <c r="J74" s="5"/>
      <c r="K74" s="5"/>
      <c r="N74" s="1">
        <f t="shared" si="45"/>
        <v>0</v>
      </c>
      <c r="Q74" s="1">
        <f>ABS(IFERROR(INDEX(Założenia!$K$45:$K$81,MATCH(Q1,Założenia!$J$45:$J$81,0)),0))*'zakładka techniczna'!Q10*(w.1="tak")</f>
        <v>0</v>
      </c>
      <c r="R74" s="1">
        <f>ABS(IFERROR(INDEX(Założenia!$K$45:$K$81,MATCH(R1,Założenia!$J$45:$J$81,0)),0))*'zakładka techniczna'!R10*(w.1="tak")</f>
        <v>0</v>
      </c>
      <c r="S74" s="1">
        <f>ABS(IFERROR(INDEX(Założenia!$K$45:$K$81,MATCH(S1,Założenia!$J$45:$J$81,0)),0))*'zakładka techniczna'!S10*(w.1="tak")</f>
        <v>0</v>
      </c>
      <c r="T74" s="1">
        <f>ABS(IFERROR(INDEX(Założenia!$K$45:$K$81,MATCH(T1,Założenia!$J$45:$J$81,0)),0))*'zakładka techniczna'!T10*(w.1="tak")</f>
        <v>0</v>
      </c>
      <c r="U74" s="1">
        <f>ABS(IFERROR(INDEX(Założenia!$K$45:$K$81,MATCH(U1,Założenia!$J$45:$J$81,0)),0))*'zakładka techniczna'!U10*(w.1="tak")</f>
        <v>0</v>
      </c>
      <c r="V74" s="1">
        <f>ABS(IFERROR(INDEX(Założenia!$K$45:$K$81,MATCH(V1,Założenia!$J$45:$J$81,0)),0))*'zakładka techniczna'!V10*(w.1="tak")</f>
        <v>0</v>
      </c>
      <c r="W74" s="1">
        <f>ABS(IFERROR(INDEX(Założenia!$K$45:$K$81,MATCH(W1,Założenia!$J$45:$J$81,0)),0))*'zakładka techniczna'!W10*(w.1="tak")</f>
        <v>0</v>
      </c>
      <c r="X74" s="1">
        <f>ABS(IFERROR(INDEX(Założenia!$K$45:$K$81,MATCH(X1,Założenia!$J$45:$J$81,0)),0))*'zakładka techniczna'!X10*(w.1="tak")</f>
        <v>0</v>
      </c>
      <c r="Y74" s="1">
        <f>ABS(IFERROR(INDEX(Założenia!$K$45:$K$81,MATCH(Y1,Założenia!$J$45:$J$81,0)),0))*'zakładka techniczna'!Y10*(w.1="tak")</f>
        <v>0</v>
      </c>
      <c r="Z74" s="1">
        <f>ABS(IFERROR(INDEX(Założenia!$K$45:$K$81,MATCH(Z1,Założenia!$J$45:$J$81,0)),0))*'zakładka techniczna'!Z10*(w.1="tak")</f>
        <v>0</v>
      </c>
      <c r="AA74" s="1">
        <f>ABS(IFERROR(INDEX(Założenia!$K$45:$K$81,MATCH(AA1,Założenia!$J$45:$J$81,0)),0))*'zakładka techniczna'!AA10*(w.1="tak")</f>
        <v>0</v>
      </c>
      <c r="AB74" s="1">
        <f>ABS(IFERROR(INDEX(Założenia!$K$45:$K$81,MATCH(AB1,Założenia!$J$45:$J$81,0)),0))*'zakładka techniczna'!AB10*(w.1="tak")</f>
        <v>0</v>
      </c>
      <c r="AC74" s="1">
        <f>ABS(IFERROR(INDEX(Założenia!$K$45:$K$81,MATCH(AC1,Założenia!$J$45:$J$81,0)),0))*'zakładka techniczna'!AC10*(w.1="tak")</f>
        <v>0</v>
      </c>
      <c r="AD74" s="1">
        <f>ABS(IFERROR(INDEX(Założenia!$K$45:$K$81,MATCH(AD1,Założenia!$J$45:$J$81,0)),0))*'zakładka techniczna'!AD10*(w.1="tak")</f>
        <v>0</v>
      </c>
      <c r="AE74" s="1">
        <f>ABS(IFERROR(INDEX(Założenia!$K$45:$K$81,MATCH(AE1,Założenia!$J$45:$J$81,0)),0))*'zakładka techniczna'!AE10*(w.1="tak")</f>
        <v>0</v>
      </c>
      <c r="AF74" s="1">
        <f>ABS(IFERROR(INDEX(Założenia!$K$45:$K$81,MATCH(AF1,Założenia!$J$45:$J$81,0)),0))*'zakładka techniczna'!AF10*(w.1="tak")</f>
        <v>0</v>
      </c>
      <c r="AG74" s="1">
        <f>ABS(IFERROR(INDEX(Założenia!$K$45:$K$81,MATCH(AG1,Założenia!$J$45:$J$81,0)),0))*'zakładka techniczna'!AG10*(w.1="tak")</f>
        <v>0</v>
      </c>
      <c r="AH74" s="1">
        <f>ABS(IFERROR(INDEX(Założenia!$K$45:$K$81,MATCH(AH1,Założenia!$J$45:$J$81,0)),0))*'zakładka techniczna'!AH10*(w.1="tak")</f>
        <v>0</v>
      </c>
      <c r="AI74" s="1">
        <f>ABS(IFERROR(INDEX(Założenia!$K$45:$K$81,MATCH(AI1,Założenia!$J$45:$J$81,0)),0))*'zakładka techniczna'!AI10*(w.1="tak")</f>
        <v>0</v>
      </c>
      <c r="AJ74" s="1">
        <f>ABS(IFERROR(INDEX(Założenia!$K$45:$K$81,MATCH(AJ1,Założenia!$J$45:$J$81,0)),0))*'zakładka techniczna'!AJ10*(w.1="tak")</f>
        <v>0</v>
      </c>
      <c r="AK74" s="1">
        <f>ABS(IFERROR(INDEX(Założenia!$K$45:$K$81,MATCH(AK1,Założenia!$J$45:$J$81,0)),0))*'zakładka techniczna'!AK10*(w.1="tak")</f>
        <v>0</v>
      </c>
      <c r="AL74" s="1">
        <f>ABS(IFERROR(INDEX(Założenia!$K$45:$K$81,MATCH(AL1,Założenia!$J$45:$J$81,0)),0))*'zakładka techniczna'!AL10*(w.1="tak")</f>
        <v>0</v>
      </c>
      <c r="AM74" s="1">
        <f>ABS(IFERROR(INDEX(Założenia!$K$45:$K$81,MATCH(AM1,Założenia!$J$45:$J$81,0)),0))*'zakładka techniczna'!AM10*(w.1="tak")</f>
        <v>0</v>
      </c>
      <c r="AN74" s="1">
        <f>ABS(IFERROR(INDEX(Założenia!$K$45:$K$81,MATCH(AN1,Założenia!$J$45:$J$81,0)),0))*'zakładka techniczna'!AN10*(w.1="tak")</f>
        <v>0</v>
      </c>
      <c r="AO74" s="1">
        <f>ABS(IFERROR(INDEX(Założenia!$K$45:$K$81,MATCH(AO1,Założenia!$J$45:$J$81,0)),0))*'zakładka techniczna'!AO10*(w.1="tak")</f>
        <v>0</v>
      </c>
      <c r="AP74" s="1">
        <f>ABS(IFERROR(INDEX(Założenia!$K$45:$K$81,MATCH(AP1,Założenia!$J$45:$J$81,0)),0))*'zakładka techniczna'!AP10*(w.1="tak")</f>
        <v>0</v>
      </c>
      <c r="AQ74" s="1">
        <f>ABS(IFERROR(INDEX(Założenia!$K$45:$K$81,MATCH(AQ1,Założenia!$J$45:$J$81,0)),0))*'zakładka techniczna'!AQ10*(w.1="tak")</f>
        <v>0</v>
      </c>
      <c r="AR74" s="1">
        <f>ABS(IFERROR(INDEX(Założenia!$K$45:$K$81,MATCH(AR1,Założenia!$J$45:$J$81,0)),0))*'zakładka techniczna'!AR10*(w.1="tak")</f>
        <v>0</v>
      </c>
      <c r="AS74" s="1">
        <f>ABS(IFERROR(INDEX(Założenia!$K$45:$K$81,MATCH(AS1,Założenia!$J$45:$J$81,0)),0))*'zakładka techniczna'!AS10*(w.1="tak")</f>
        <v>0</v>
      </c>
      <c r="AT74" s="1">
        <f>ABS(IFERROR(INDEX(Założenia!$K$45:$K$81,MATCH(AT1,Założenia!$J$45:$J$81,0)),0))*'zakładka techniczna'!AT10*(w.1="tak")</f>
        <v>0</v>
      </c>
      <c r="AU74" s="1">
        <f>ABS(IFERROR(INDEX(Założenia!$K$45:$K$81,MATCH(AU1,Założenia!$J$45:$J$81,0)),0))*'zakładka techniczna'!AU10*(w.1="tak")</f>
        <v>0</v>
      </c>
      <c r="AV74" s="1">
        <f>ABS(IFERROR(INDEX(Założenia!$K$45:$K$81,MATCH(AV1,Założenia!$J$45:$J$81,0)),0))*'zakładka techniczna'!AV10*(w.1="tak")</f>
        <v>0</v>
      </c>
      <c r="AW74" s="1">
        <f>ABS(IFERROR(INDEX(Założenia!$K$45:$K$81,MATCH(AW1,Założenia!$J$45:$J$81,0)),0))*'zakładka techniczna'!AW10*(w.1="tak")</f>
        <v>0</v>
      </c>
      <c r="AX74" s="1">
        <f>ABS(IFERROR(INDEX(Założenia!$K$45:$K$81,MATCH(AX1,Założenia!$J$45:$J$81,0)),0))*'zakładka techniczna'!AX10*(w.1="tak")</f>
        <v>0</v>
      </c>
      <c r="AY74" s="1">
        <f>ABS(IFERROR(INDEX(Założenia!$K$45:$K$81,MATCH(AY1,Założenia!$J$45:$J$81,0)),0))*'zakładka techniczna'!AY10*(w.1="tak")</f>
        <v>0</v>
      </c>
      <c r="AZ74" s="1">
        <f>ABS(IFERROR(INDEX(Założenia!$K$45:$K$81,MATCH(AZ1,Założenia!$J$45:$J$81,0)),0))*'zakładka techniczna'!AZ10*(w.1="tak")</f>
        <v>0</v>
      </c>
      <c r="BA74" s="1">
        <f>ABS(IFERROR(INDEX(Założenia!$K$45:$K$81,MATCH(BA1,Założenia!$J$45:$J$81,0)),0))*'zakładka techniczna'!BA10*(w.1="tak")</f>
        <v>0</v>
      </c>
    </row>
    <row r="75" spans="2:53" ht="15.75" customHeight="1" x14ac:dyDescent="0.35">
      <c r="B75" s="5"/>
      <c r="C75" s="5" t="s">
        <v>2</v>
      </c>
      <c r="D75" s="5"/>
      <c r="E75" s="5"/>
      <c r="F75" s="5"/>
      <c r="G75" s="5"/>
      <c r="H75" s="5"/>
      <c r="I75" s="5"/>
      <c r="J75" s="5"/>
      <c r="K75" s="5"/>
      <c r="N75" s="1">
        <f t="shared" si="45"/>
        <v>0</v>
      </c>
      <c r="Q75" s="1">
        <f t="shared" ref="Q75:BA75" si="53">SUM(Q76,Q77)</f>
        <v>0</v>
      </c>
      <c r="R75" s="1">
        <f t="shared" si="53"/>
        <v>0</v>
      </c>
      <c r="S75" s="1">
        <f t="shared" si="53"/>
        <v>0</v>
      </c>
      <c r="T75" s="1">
        <f t="shared" si="53"/>
        <v>0</v>
      </c>
      <c r="U75" s="1">
        <f t="shared" si="53"/>
        <v>0</v>
      </c>
      <c r="V75" s="1">
        <f t="shared" si="53"/>
        <v>0</v>
      </c>
      <c r="W75" s="1">
        <f t="shared" si="53"/>
        <v>0</v>
      </c>
      <c r="X75" s="1">
        <f t="shared" si="53"/>
        <v>0</v>
      </c>
      <c r="Y75" s="1">
        <f t="shared" si="53"/>
        <v>0</v>
      </c>
      <c r="Z75" s="1">
        <f t="shared" si="53"/>
        <v>0</v>
      </c>
      <c r="AA75" s="1">
        <f t="shared" si="53"/>
        <v>0</v>
      </c>
      <c r="AB75" s="1">
        <f t="shared" si="53"/>
        <v>0</v>
      </c>
      <c r="AC75" s="1">
        <f t="shared" si="53"/>
        <v>0</v>
      </c>
      <c r="AD75" s="1">
        <f t="shared" si="53"/>
        <v>0</v>
      </c>
      <c r="AE75" s="1">
        <f t="shared" si="53"/>
        <v>0</v>
      </c>
      <c r="AF75" s="1">
        <f t="shared" si="53"/>
        <v>0</v>
      </c>
      <c r="AG75" s="1">
        <f t="shared" si="53"/>
        <v>0</v>
      </c>
      <c r="AH75" s="1">
        <f t="shared" si="53"/>
        <v>0</v>
      </c>
      <c r="AI75" s="1">
        <f t="shared" si="53"/>
        <v>0</v>
      </c>
      <c r="AJ75" s="1">
        <f t="shared" si="53"/>
        <v>0</v>
      </c>
      <c r="AK75" s="1">
        <f t="shared" si="53"/>
        <v>0</v>
      </c>
      <c r="AL75" s="1">
        <f t="shared" si="53"/>
        <v>0</v>
      </c>
      <c r="AM75" s="1">
        <f t="shared" si="53"/>
        <v>0</v>
      </c>
      <c r="AN75" s="1">
        <f t="shared" si="53"/>
        <v>0</v>
      </c>
      <c r="AO75" s="1">
        <f t="shared" si="53"/>
        <v>0</v>
      </c>
      <c r="AP75" s="1">
        <f t="shared" si="53"/>
        <v>0</v>
      </c>
      <c r="AQ75" s="1">
        <f t="shared" si="53"/>
        <v>0</v>
      </c>
      <c r="AR75" s="1">
        <f t="shared" si="53"/>
        <v>0</v>
      </c>
      <c r="AS75" s="1">
        <f t="shared" si="53"/>
        <v>0</v>
      </c>
      <c r="AT75" s="1">
        <f t="shared" si="53"/>
        <v>0</v>
      </c>
      <c r="AU75" s="1">
        <f t="shared" si="53"/>
        <v>0</v>
      </c>
      <c r="AV75" s="1">
        <f t="shared" si="53"/>
        <v>0</v>
      </c>
      <c r="AW75" s="1">
        <f t="shared" si="53"/>
        <v>0</v>
      </c>
      <c r="AX75" s="1">
        <f t="shared" si="53"/>
        <v>0</v>
      </c>
      <c r="AY75" s="1">
        <f t="shared" si="53"/>
        <v>0</v>
      </c>
      <c r="AZ75" s="1">
        <f t="shared" si="53"/>
        <v>0</v>
      </c>
      <c r="BA75" s="1">
        <f t="shared" si="53"/>
        <v>0</v>
      </c>
    </row>
    <row r="76" spans="2:53" ht="15.75" customHeight="1" outlineLevel="1" x14ac:dyDescent="0.35">
      <c r="B76" s="5"/>
      <c r="C76" s="5"/>
      <c r="D76" s="5" t="s">
        <v>147</v>
      </c>
      <c r="E76" s="5"/>
      <c r="F76" s="5"/>
      <c r="G76" s="5"/>
      <c r="H76" s="5"/>
      <c r="I76" s="5"/>
      <c r="J76" s="5"/>
      <c r="K76" s="5"/>
      <c r="N76" s="1">
        <f t="shared" si="45"/>
        <v>0</v>
      </c>
      <c r="Q76" s="1">
        <f t="shared" ref="Q76:BA76" si="54">Q132+Q147</f>
        <v>0</v>
      </c>
      <c r="R76" s="1">
        <f t="shared" si="54"/>
        <v>0</v>
      </c>
      <c r="S76" s="1">
        <f t="shared" si="54"/>
        <v>0</v>
      </c>
      <c r="T76" s="1">
        <f t="shared" si="54"/>
        <v>0</v>
      </c>
      <c r="U76" s="1">
        <f t="shared" si="54"/>
        <v>0</v>
      </c>
      <c r="V76" s="1">
        <f t="shared" si="54"/>
        <v>0</v>
      </c>
      <c r="W76" s="1">
        <f t="shared" si="54"/>
        <v>0</v>
      </c>
      <c r="X76" s="1">
        <f t="shared" si="54"/>
        <v>0</v>
      </c>
      <c r="Y76" s="1">
        <f t="shared" si="54"/>
        <v>0</v>
      </c>
      <c r="Z76" s="1">
        <f t="shared" si="54"/>
        <v>0</v>
      </c>
      <c r="AA76" s="1">
        <f t="shared" si="54"/>
        <v>0</v>
      </c>
      <c r="AB76" s="1">
        <f t="shared" si="54"/>
        <v>0</v>
      </c>
      <c r="AC76" s="1">
        <f t="shared" si="54"/>
        <v>0</v>
      </c>
      <c r="AD76" s="1">
        <f t="shared" si="54"/>
        <v>0</v>
      </c>
      <c r="AE76" s="1">
        <f t="shared" si="54"/>
        <v>0</v>
      </c>
      <c r="AF76" s="1">
        <f t="shared" si="54"/>
        <v>0</v>
      </c>
      <c r="AG76" s="1">
        <f t="shared" si="54"/>
        <v>0</v>
      </c>
      <c r="AH76" s="1">
        <f t="shared" si="54"/>
        <v>0</v>
      </c>
      <c r="AI76" s="1">
        <f t="shared" si="54"/>
        <v>0</v>
      </c>
      <c r="AJ76" s="1">
        <f t="shared" si="54"/>
        <v>0</v>
      </c>
      <c r="AK76" s="1">
        <f t="shared" si="54"/>
        <v>0</v>
      </c>
      <c r="AL76" s="1">
        <f t="shared" si="54"/>
        <v>0</v>
      </c>
      <c r="AM76" s="1">
        <f t="shared" si="54"/>
        <v>0</v>
      </c>
      <c r="AN76" s="1">
        <f t="shared" si="54"/>
        <v>0</v>
      </c>
      <c r="AO76" s="1">
        <f t="shared" si="54"/>
        <v>0</v>
      </c>
      <c r="AP76" s="1">
        <f t="shared" si="54"/>
        <v>0</v>
      </c>
      <c r="AQ76" s="1">
        <f t="shared" si="54"/>
        <v>0</v>
      </c>
      <c r="AR76" s="1">
        <f t="shared" si="54"/>
        <v>0</v>
      </c>
      <c r="AS76" s="1">
        <f t="shared" si="54"/>
        <v>0</v>
      </c>
      <c r="AT76" s="1">
        <f t="shared" si="54"/>
        <v>0</v>
      </c>
      <c r="AU76" s="1">
        <f t="shared" si="54"/>
        <v>0</v>
      </c>
      <c r="AV76" s="1">
        <f t="shared" si="54"/>
        <v>0</v>
      </c>
      <c r="AW76" s="1">
        <f t="shared" si="54"/>
        <v>0</v>
      </c>
      <c r="AX76" s="1">
        <f t="shared" si="54"/>
        <v>0</v>
      </c>
      <c r="AY76" s="1">
        <f t="shared" si="54"/>
        <v>0</v>
      </c>
      <c r="AZ76" s="1">
        <f t="shared" si="54"/>
        <v>0</v>
      </c>
      <c r="BA76" s="1">
        <f t="shared" si="54"/>
        <v>0</v>
      </c>
    </row>
    <row r="77" spans="2:53" ht="15.75" customHeight="1" outlineLevel="1" x14ac:dyDescent="0.35">
      <c r="B77" s="5"/>
      <c r="C77" s="5"/>
      <c r="D77" s="5" t="s">
        <v>52</v>
      </c>
      <c r="E77" s="5"/>
      <c r="F77" s="5"/>
      <c r="G77" s="5"/>
      <c r="H77" s="5"/>
      <c r="I77" s="5"/>
      <c r="J77" s="5"/>
      <c r="K77" s="5"/>
      <c r="N77" s="1">
        <f t="shared" si="45"/>
        <v>0</v>
      </c>
      <c r="Q77" s="1">
        <f>Założenia!$K$190*'zakładka techniczna'!Q10*OEt.w1</f>
        <v>0</v>
      </c>
      <c r="R77" s="1">
        <f>Założenia!$K$190*'zakładka techniczna'!R10*OEt.w1</f>
        <v>0</v>
      </c>
      <c r="S77" s="1">
        <f>Założenia!$K$190*'zakładka techniczna'!S10*OEt.w1</f>
        <v>0</v>
      </c>
      <c r="T77" s="1">
        <f>Założenia!$K$190*'zakładka techniczna'!T10*OEt.w1</f>
        <v>0</v>
      </c>
      <c r="U77" s="1">
        <f>Założenia!$K$190*'zakładka techniczna'!U10*OEt.w1</f>
        <v>0</v>
      </c>
      <c r="V77" s="1">
        <f>Założenia!$K$190*'zakładka techniczna'!V10*OEt.w1</f>
        <v>0</v>
      </c>
      <c r="W77" s="1">
        <f>Założenia!$K$190*'zakładka techniczna'!W10*OEt.w1</f>
        <v>0</v>
      </c>
      <c r="X77" s="1">
        <f>Założenia!$K$190*'zakładka techniczna'!X10*OEt.w1</f>
        <v>0</v>
      </c>
      <c r="Y77" s="1">
        <f>Założenia!$K$190*'zakładka techniczna'!Y10*OEt.w1</f>
        <v>0</v>
      </c>
      <c r="Z77" s="1">
        <f>Założenia!$K$190*'zakładka techniczna'!Z10*OEt.w1</f>
        <v>0</v>
      </c>
      <c r="AA77" s="1">
        <f>Założenia!$K$190*'zakładka techniczna'!AA10*OEt.w1</f>
        <v>0</v>
      </c>
      <c r="AB77" s="1">
        <f>Założenia!$K$190*'zakładka techniczna'!AB10*OEt.w1</f>
        <v>0</v>
      </c>
      <c r="AC77" s="1">
        <f>Założenia!$K$190*'zakładka techniczna'!AC10*OEt.w1</f>
        <v>0</v>
      </c>
      <c r="AD77" s="1">
        <f>Założenia!$K$190*'zakładka techniczna'!AD10*OEt.w1</f>
        <v>0</v>
      </c>
      <c r="AE77" s="1">
        <f>Założenia!$K$190*'zakładka techniczna'!AE10*OEt.w1</f>
        <v>0</v>
      </c>
      <c r="AF77" s="1">
        <f>Założenia!$K$190*'zakładka techniczna'!AF10*OEt.w1</f>
        <v>0</v>
      </c>
      <c r="AG77" s="1">
        <f>Założenia!$K$190*'zakładka techniczna'!AG10*OEt.w1</f>
        <v>0</v>
      </c>
      <c r="AH77" s="1">
        <f>Założenia!$K$190*'zakładka techniczna'!AH10*OEt.w1</f>
        <v>0</v>
      </c>
      <c r="AI77" s="1">
        <f>Założenia!$K$190*'zakładka techniczna'!AI10*OEt.w1</f>
        <v>0</v>
      </c>
      <c r="AJ77" s="1">
        <f>Założenia!$K$190*'zakładka techniczna'!AJ10*OEt.w1</f>
        <v>0</v>
      </c>
      <c r="AK77" s="1">
        <f>Założenia!$K$190*'zakładka techniczna'!AK10*OEt.w1</f>
        <v>0</v>
      </c>
      <c r="AL77" s="1">
        <f>Założenia!$K$190*'zakładka techniczna'!AL10*OEt.w1</f>
        <v>0</v>
      </c>
      <c r="AM77" s="1">
        <f>Założenia!$K$190*'zakładka techniczna'!AM10*OEt.w1</f>
        <v>0</v>
      </c>
      <c r="AN77" s="1">
        <f>Założenia!$K$190*'zakładka techniczna'!AN10*OEt.w1</f>
        <v>0</v>
      </c>
      <c r="AO77" s="1">
        <f>Założenia!$K$190*'zakładka techniczna'!AO10*OEt.w1</f>
        <v>0</v>
      </c>
      <c r="AP77" s="1">
        <f>Założenia!$K$190*'zakładka techniczna'!AP10*OEt.w1</f>
        <v>0</v>
      </c>
      <c r="AQ77" s="1">
        <f>Założenia!$K$190*'zakładka techniczna'!AQ10*OEt.w1</f>
        <v>0</v>
      </c>
      <c r="AR77" s="1">
        <f>Założenia!$K$190*'zakładka techniczna'!AR10*OEt.w1</f>
        <v>0</v>
      </c>
      <c r="AS77" s="1">
        <f>Założenia!$K$190*'zakładka techniczna'!AS10*OEt.w1</f>
        <v>0</v>
      </c>
      <c r="AT77" s="1">
        <f>Założenia!$K$190*'zakładka techniczna'!AT10*OEt.w1</f>
        <v>0</v>
      </c>
      <c r="AU77" s="1">
        <f>Założenia!$K$190*'zakładka techniczna'!AU10*OEt.w1</f>
        <v>0</v>
      </c>
      <c r="AV77" s="1">
        <f>Założenia!$K$190*'zakładka techniczna'!AV10*OEt.w1</f>
        <v>0</v>
      </c>
      <c r="AW77" s="1">
        <f>Założenia!$K$190*'zakładka techniczna'!AW10*OEt.w1</f>
        <v>0</v>
      </c>
      <c r="AX77" s="1">
        <f>Założenia!$K$190*'zakładka techniczna'!AX10*OEt.w1</f>
        <v>0</v>
      </c>
      <c r="AY77" s="1">
        <f>Założenia!$K$190*'zakładka techniczna'!AY10*OEt.w1</f>
        <v>0</v>
      </c>
      <c r="AZ77" s="1">
        <f>Założenia!$K$190*'zakładka techniczna'!AZ10*OEt.w1</f>
        <v>0</v>
      </c>
      <c r="BA77" s="1">
        <f>Założenia!$K$190*'zakładka techniczna'!BA10*OEt.w1</f>
        <v>0</v>
      </c>
    </row>
    <row r="78" spans="2:53" ht="15.75" customHeight="1" outlineLevel="1" x14ac:dyDescent="0.35">
      <c r="B78" s="5"/>
      <c r="C78" s="5" t="s">
        <v>28</v>
      </c>
      <c r="D78" s="5"/>
      <c r="E78" s="5"/>
      <c r="F78" s="5"/>
      <c r="G78" s="5"/>
      <c r="H78" s="5"/>
      <c r="I78" s="5"/>
      <c r="J78" s="5"/>
      <c r="K78" s="5"/>
      <c r="N78" s="1">
        <f t="shared" si="45"/>
        <v>0</v>
      </c>
      <c r="Q78" s="1">
        <f t="shared" ref="Q78:BA78" si="55">SUM(Q79,Q82)</f>
        <v>0</v>
      </c>
      <c r="R78" s="1">
        <f t="shared" si="55"/>
        <v>0</v>
      </c>
      <c r="S78" s="1">
        <f t="shared" si="55"/>
        <v>0</v>
      </c>
      <c r="T78" s="1">
        <f t="shared" si="55"/>
        <v>0</v>
      </c>
      <c r="U78" s="1">
        <f t="shared" si="55"/>
        <v>0</v>
      </c>
      <c r="V78" s="1">
        <f t="shared" si="55"/>
        <v>0</v>
      </c>
      <c r="W78" s="1">
        <f t="shared" si="55"/>
        <v>0</v>
      </c>
      <c r="X78" s="1">
        <f t="shared" si="55"/>
        <v>0</v>
      </c>
      <c r="Y78" s="1">
        <f t="shared" si="55"/>
        <v>0</v>
      </c>
      <c r="Z78" s="1">
        <f t="shared" si="55"/>
        <v>0</v>
      </c>
      <c r="AA78" s="1">
        <f t="shared" si="55"/>
        <v>0</v>
      </c>
      <c r="AB78" s="1">
        <f t="shared" si="55"/>
        <v>0</v>
      </c>
      <c r="AC78" s="1">
        <f t="shared" si="55"/>
        <v>0</v>
      </c>
      <c r="AD78" s="1">
        <f t="shared" si="55"/>
        <v>0</v>
      </c>
      <c r="AE78" s="1">
        <f t="shared" si="55"/>
        <v>0</v>
      </c>
      <c r="AF78" s="1">
        <f t="shared" si="55"/>
        <v>0</v>
      </c>
      <c r="AG78" s="1">
        <f t="shared" si="55"/>
        <v>0</v>
      </c>
      <c r="AH78" s="1">
        <f t="shared" si="55"/>
        <v>0</v>
      </c>
      <c r="AI78" s="1">
        <f t="shared" si="55"/>
        <v>0</v>
      </c>
      <c r="AJ78" s="1">
        <f t="shared" si="55"/>
        <v>0</v>
      </c>
      <c r="AK78" s="1">
        <f t="shared" si="55"/>
        <v>0</v>
      </c>
      <c r="AL78" s="1">
        <f t="shared" si="55"/>
        <v>0</v>
      </c>
      <c r="AM78" s="1">
        <f t="shared" si="55"/>
        <v>0</v>
      </c>
      <c r="AN78" s="1">
        <f t="shared" si="55"/>
        <v>0</v>
      </c>
      <c r="AO78" s="1">
        <f t="shared" si="55"/>
        <v>0</v>
      </c>
      <c r="AP78" s="1">
        <f t="shared" si="55"/>
        <v>0</v>
      </c>
      <c r="AQ78" s="1">
        <f t="shared" si="55"/>
        <v>0</v>
      </c>
      <c r="AR78" s="1">
        <f t="shared" si="55"/>
        <v>0</v>
      </c>
      <c r="AS78" s="1">
        <f t="shared" si="55"/>
        <v>0</v>
      </c>
      <c r="AT78" s="1">
        <f t="shared" si="55"/>
        <v>0</v>
      </c>
      <c r="AU78" s="1">
        <f t="shared" si="55"/>
        <v>0</v>
      </c>
      <c r="AV78" s="1">
        <f t="shared" si="55"/>
        <v>0</v>
      </c>
      <c r="AW78" s="1">
        <f t="shared" si="55"/>
        <v>0</v>
      </c>
      <c r="AX78" s="1">
        <f t="shared" si="55"/>
        <v>0</v>
      </c>
      <c r="AY78" s="1">
        <f t="shared" si="55"/>
        <v>0</v>
      </c>
      <c r="AZ78" s="1">
        <f t="shared" si="55"/>
        <v>0</v>
      </c>
      <c r="BA78" s="1">
        <f t="shared" si="55"/>
        <v>0</v>
      </c>
    </row>
    <row r="79" spans="2:53" ht="15.75" customHeight="1" outlineLevel="1" x14ac:dyDescent="0.35">
      <c r="B79" s="5"/>
      <c r="C79" s="5"/>
      <c r="D79" s="5" t="s">
        <v>154</v>
      </c>
      <c r="E79" s="5"/>
      <c r="F79" s="5"/>
      <c r="G79" s="5"/>
      <c r="H79" s="5"/>
      <c r="I79" s="5"/>
      <c r="J79" s="5"/>
      <c r="K79" s="5"/>
      <c r="N79" s="1">
        <f t="shared" si="45"/>
        <v>0</v>
      </c>
      <c r="Q79" s="1">
        <f t="shared" ref="Q79:BA79" si="56">SUM(Q80:Q81)</f>
        <v>0</v>
      </c>
      <c r="R79" s="1">
        <f t="shared" si="56"/>
        <v>0</v>
      </c>
      <c r="S79" s="1">
        <f t="shared" si="56"/>
        <v>0</v>
      </c>
      <c r="T79" s="1">
        <f t="shared" si="56"/>
        <v>0</v>
      </c>
      <c r="U79" s="1">
        <f t="shared" si="56"/>
        <v>0</v>
      </c>
      <c r="V79" s="1">
        <f t="shared" si="56"/>
        <v>0</v>
      </c>
      <c r="W79" s="1">
        <f t="shared" si="56"/>
        <v>0</v>
      </c>
      <c r="X79" s="1">
        <f t="shared" si="56"/>
        <v>0</v>
      </c>
      <c r="Y79" s="1">
        <f t="shared" si="56"/>
        <v>0</v>
      </c>
      <c r="Z79" s="1">
        <f t="shared" si="56"/>
        <v>0</v>
      </c>
      <c r="AA79" s="1">
        <f t="shared" si="56"/>
        <v>0</v>
      </c>
      <c r="AB79" s="1">
        <f t="shared" si="56"/>
        <v>0</v>
      </c>
      <c r="AC79" s="1">
        <f t="shared" si="56"/>
        <v>0</v>
      </c>
      <c r="AD79" s="1">
        <f t="shared" si="56"/>
        <v>0</v>
      </c>
      <c r="AE79" s="1">
        <f t="shared" si="56"/>
        <v>0</v>
      </c>
      <c r="AF79" s="1">
        <f t="shared" si="56"/>
        <v>0</v>
      </c>
      <c r="AG79" s="1">
        <f t="shared" si="56"/>
        <v>0</v>
      </c>
      <c r="AH79" s="1">
        <f t="shared" si="56"/>
        <v>0</v>
      </c>
      <c r="AI79" s="1">
        <f t="shared" si="56"/>
        <v>0</v>
      </c>
      <c r="AJ79" s="1">
        <f t="shared" si="56"/>
        <v>0</v>
      </c>
      <c r="AK79" s="1">
        <f t="shared" si="56"/>
        <v>0</v>
      </c>
      <c r="AL79" s="1">
        <f t="shared" si="56"/>
        <v>0</v>
      </c>
      <c r="AM79" s="1">
        <f t="shared" si="56"/>
        <v>0</v>
      </c>
      <c r="AN79" s="1">
        <f t="shared" si="56"/>
        <v>0</v>
      </c>
      <c r="AO79" s="1">
        <f t="shared" si="56"/>
        <v>0</v>
      </c>
      <c r="AP79" s="1">
        <f t="shared" si="56"/>
        <v>0</v>
      </c>
      <c r="AQ79" s="1">
        <f t="shared" si="56"/>
        <v>0</v>
      </c>
      <c r="AR79" s="1">
        <f t="shared" si="56"/>
        <v>0</v>
      </c>
      <c r="AS79" s="1">
        <f t="shared" si="56"/>
        <v>0</v>
      </c>
      <c r="AT79" s="1">
        <f t="shared" si="56"/>
        <v>0</v>
      </c>
      <c r="AU79" s="1">
        <f t="shared" si="56"/>
        <v>0</v>
      </c>
      <c r="AV79" s="1">
        <f t="shared" si="56"/>
        <v>0</v>
      </c>
      <c r="AW79" s="1">
        <f t="shared" si="56"/>
        <v>0</v>
      </c>
      <c r="AX79" s="1">
        <f t="shared" si="56"/>
        <v>0</v>
      </c>
      <c r="AY79" s="1">
        <f t="shared" si="56"/>
        <v>0</v>
      </c>
      <c r="AZ79" s="1">
        <f t="shared" si="56"/>
        <v>0</v>
      </c>
      <c r="BA79" s="1">
        <f t="shared" si="56"/>
        <v>0</v>
      </c>
    </row>
    <row r="80" spans="2:53" ht="15.75" customHeight="1" outlineLevel="1" x14ac:dyDescent="0.35">
      <c r="B80" s="5"/>
      <c r="C80" s="5"/>
      <c r="D80" s="5"/>
      <c r="E80" s="5" t="s">
        <v>157</v>
      </c>
      <c r="F80" s="5"/>
      <c r="G80" s="5"/>
      <c r="H80" s="5"/>
      <c r="I80" s="5"/>
      <c r="J80" s="5"/>
      <c r="K80" s="5"/>
      <c r="N80" s="1">
        <f t="shared" si="45"/>
        <v>0</v>
      </c>
      <c r="Q80" s="1">
        <f t="shared" ref="Q80:BA80" si="57">Q171</f>
        <v>0</v>
      </c>
      <c r="R80" s="1">
        <f t="shared" si="57"/>
        <v>0</v>
      </c>
      <c r="S80" s="1">
        <f t="shared" si="57"/>
        <v>0</v>
      </c>
      <c r="T80" s="1">
        <f t="shared" si="57"/>
        <v>0</v>
      </c>
      <c r="U80" s="1">
        <f t="shared" si="57"/>
        <v>0</v>
      </c>
      <c r="V80" s="1">
        <f t="shared" si="57"/>
        <v>0</v>
      </c>
      <c r="W80" s="1">
        <f t="shared" si="57"/>
        <v>0</v>
      </c>
      <c r="X80" s="1">
        <f t="shared" si="57"/>
        <v>0</v>
      </c>
      <c r="Y80" s="1">
        <f t="shared" si="57"/>
        <v>0</v>
      </c>
      <c r="Z80" s="1">
        <f t="shared" si="57"/>
        <v>0</v>
      </c>
      <c r="AA80" s="1">
        <f t="shared" si="57"/>
        <v>0</v>
      </c>
      <c r="AB80" s="1">
        <f t="shared" si="57"/>
        <v>0</v>
      </c>
      <c r="AC80" s="1">
        <f t="shared" si="57"/>
        <v>0</v>
      </c>
      <c r="AD80" s="1">
        <f t="shared" si="57"/>
        <v>0</v>
      </c>
      <c r="AE80" s="1">
        <f t="shared" si="57"/>
        <v>0</v>
      </c>
      <c r="AF80" s="1">
        <f t="shared" si="57"/>
        <v>0</v>
      </c>
      <c r="AG80" s="1">
        <f t="shared" si="57"/>
        <v>0</v>
      </c>
      <c r="AH80" s="1">
        <f t="shared" si="57"/>
        <v>0</v>
      </c>
      <c r="AI80" s="1">
        <f t="shared" si="57"/>
        <v>0</v>
      </c>
      <c r="AJ80" s="1">
        <f t="shared" si="57"/>
        <v>0</v>
      </c>
      <c r="AK80" s="1">
        <f t="shared" si="57"/>
        <v>0</v>
      </c>
      <c r="AL80" s="1">
        <f t="shared" si="57"/>
        <v>0</v>
      </c>
      <c r="AM80" s="1">
        <f t="shared" si="57"/>
        <v>0</v>
      </c>
      <c r="AN80" s="1">
        <f t="shared" si="57"/>
        <v>0</v>
      </c>
      <c r="AO80" s="1">
        <f t="shared" si="57"/>
        <v>0</v>
      </c>
      <c r="AP80" s="1">
        <f t="shared" si="57"/>
        <v>0</v>
      </c>
      <c r="AQ80" s="1">
        <f t="shared" si="57"/>
        <v>0</v>
      </c>
      <c r="AR80" s="1">
        <f t="shared" si="57"/>
        <v>0</v>
      </c>
      <c r="AS80" s="1">
        <f t="shared" si="57"/>
        <v>0</v>
      </c>
      <c r="AT80" s="1">
        <f t="shared" si="57"/>
        <v>0</v>
      </c>
      <c r="AU80" s="1">
        <f t="shared" si="57"/>
        <v>0</v>
      </c>
      <c r="AV80" s="1">
        <f t="shared" si="57"/>
        <v>0</v>
      </c>
      <c r="AW80" s="1">
        <f t="shared" si="57"/>
        <v>0</v>
      </c>
      <c r="AX80" s="1">
        <f t="shared" si="57"/>
        <v>0</v>
      </c>
      <c r="AY80" s="1">
        <f t="shared" si="57"/>
        <v>0</v>
      </c>
      <c r="AZ80" s="1">
        <f t="shared" si="57"/>
        <v>0</v>
      </c>
      <c r="BA80" s="1">
        <f t="shared" si="57"/>
        <v>0</v>
      </c>
    </row>
    <row r="81" spans="1:54" ht="15.75" customHeight="1" outlineLevel="1" x14ac:dyDescent="0.35">
      <c r="B81" s="5"/>
      <c r="C81" s="5"/>
      <c r="D81" s="5"/>
      <c r="E81" s="5" t="s">
        <v>158</v>
      </c>
      <c r="F81" s="5"/>
      <c r="G81" s="5"/>
      <c r="H81" s="5"/>
      <c r="I81" s="5"/>
      <c r="J81" s="5"/>
      <c r="K81" s="5"/>
      <c r="N81" s="1">
        <f t="shared" si="45"/>
        <v>0</v>
      </c>
      <c r="Q81" s="1">
        <f t="shared" ref="Q81:BA81" si="58">Q168</f>
        <v>0</v>
      </c>
      <c r="R81" s="1">
        <f t="shared" si="58"/>
        <v>0</v>
      </c>
      <c r="S81" s="1">
        <f t="shared" si="58"/>
        <v>0</v>
      </c>
      <c r="T81" s="1">
        <f t="shared" si="58"/>
        <v>0</v>
      </c>
      <c r="U81" s="1">
        <f t="shared" si="58"/>
        <v>0</v>
      </c>
      <c r="V81" s="1">
        <f t="shared" si="58"/>
        <v>0</v>
      </c>
      <c r="W81" s="1">
        <f t="shared" si="58"/>
        <v>0</v>
      </c>
      <c r="X81" s="1">
        <f t="shared" si="58"/>
        <v>0</v>
      </c>
      <c r="Y81" s="1">
        <f t="shared" si="58"/>
        <v>0</v>
      </c>
      <c r="Z81" s="1">
        <f t="shared" si="58"/>
        <v>0</v>
      </c>
      <c r="AA81" s="1">
        <f t="shared" si="58"/>
        <v>0</v>
      </c>
      <c r="AB81" s="1">
        <f t="shared" si="58"/>
        <v>0</v>
      </c>
      <c r="AC81" s="1">
        <f t="shared" si="58"/>
        <v>0</v>
      </c>
      <c r="AD81" s="1">
        <f t="shared" si="58"/>
        <v>0</v>
      </c>
      <c r="AE81" s="1">
        <f t="shared" si="58"/>
        <v>0</v>
      </c>
      <c r="AF81" s="1">
        <f t="shared" si="58"/>
        <v>0</v>
      </c>
      <c r="AG81" s="1">
        <f t="shared" si="58"/>
        <v>0</v>
      </c>
      <c r="AH81" s="1">
        <f t="shared" si="58"/>
        <v>0</v>
      </c>
      <c r="AI81" s="1">
        <f t="shared" si="58"/>
        <v>0</v>
      </c>
      <c r="AJ81" s="1">
        <f t="shared" si="58"/>
        <v>0</v>
      </c>
      <c r="AK81" s="1">
        <f t="shared" si="58"/>
        <v>0</v>
      </c>
      <c r="AL81" s="1">
        <f t="shared" si="58"/>
        <v>0</v>
      </c>
      <c r="AM81" s="1">
        <f t="shared" si="58"/>
        <v>0</v>
      </c>
      <c r="AN81" s="1">
        <f t="shared" si="58"/>
        <v>0</v>
      </c>
      <c r="AO81" s="1">
        <f t="shared" si="58"/>
        <v>0</v>
      </c>
      <c r="AP81" s="1">
        <f t="shared" si="58"/>
        <v>0</v>
      </c>
      <c r="AQ81" s="1">
        <f t="shared" si="58"/>
        <v>0</v>
      </c>
      <c r="AR81" s="1">
        <f t="shared" si="58"/>
        <v>0</v>
      </c>
      <c r="AS81" s="1">
        <f t="shared" si="58"/>
        <v>0</v>
      </c>
      <c r="AT81" s="1">
        <f t="shared" si="58"/>
        <v>0</v>
      </c>
      <c r="AU81" s="1">
        <f t="shared" si="58"/>
        <v>0</v>
      </c>
      <c r="AV81" s="1">
        <f t="shared" si="58"/>
        <v>0</v>
      </c>
      <c r="AW81" s="1">
        <f t="shared" si="58"/>
        <v>0</v>
      </c>
      <c r="AX81" s="1">
        <f t="shared" si="58"/>
        <v>0</v>
      </c>
      <c r="AY81" s="1">
        <f t="shared" si="58"/>
        <v>0</v>
      </c>
      <c r="AZ81" s="1">
        <f t="shared" si="58"/>
        <v>0</v>
      </c>
      <c r="BA81" s="1">
        <f t="shared" si="58"/>
        <v>0</v>
      </c>
    </row>
    <row r="82" spans="1:54" ht="15.75" customHeight="1" outlineLevel="1" x14ac:dyDescent="0.35">
      <c r="B82" s="5"/>
      <c r="C82" s="5"/>
      <c r="D82" s="5" t="s">
        <v>155</v>
      </c>
      <c r="E82" s="5"/>
      <c r="F82" s="5"/>
      <c r="G82" s="5"/>
      <c r="H82" s="5"/>
      <c r="I82" s="5"/>
      <c r="J82" s="5"/>
      <c r="K82" s="5"/>
      <c r="N82" s="1">
        <f t="shared" si="45"/>
        <v>0</v>
      </c>
      <c r="Q82" s="1">
        <f t="shared" ref="Q82:BA82" si="59">Q156</f>
        <v>0</v>
      </c>
      <c r="R82" s="1">
        <f t="shared" si="59"/>
        <v>0</v>
      </c>
      <c r="S82" s="1">
        <f t="shared" si="59"/>
        <v>0</v>
      </c>
      <c r="T82" s="1">
        <f t="shared" si="59"/>
        <v>0</v>
      </c>
      <c r="U82" s="1">
        <f t="shared" si="59"/>
        <v>0</v>
      </c>
      <c r="V82" s="1">
        <f t="shared" si="59"/>
        <v>0</v>
      </c>
      <c r="W82" s="1">
        <f t="shared" si="59"/>
        <v>0</v>
      </c>
      <c r="X82" s="1">
        <f t="shared" si="59"/>
        <v>0</v>
      </c>
      <c r="Y82" s="1">
        <f t="shared" si="59"/>
        <v>0</v>
      </c>
      <c r="Z82" s="1">
        <f t="shared" si="59"/>
        <v>0</v>
      </c>
      <c r="AA82" s="1">
        <f t="shared" si="59"/>
        <v>0</v>
      </c>
      <c r="AB82" s="1">
        <f t="shared" si="59"/>
        <v>0</v>
      </c>
      <c r="AC82" s="1">
        <f t="shared" si="59"/>
        <v>0</v>
      </c>
      <c r="AD82" s="1">
        <f t="shared" si="59"/>
        <v>0</v>
      </c>
      <c r="AE82" s="1">
        <f t="shared" si="59"/>
        <v>0</v>
      </c>
      <c r="AF82" s="1">
        <f t="shared" si="59"/>
        <v>0</v>
      </c>
      <c r="AG82" s="1">
        <f t="shared" si="59"/>
        <v>0</v>
      </c>
      <c r="AH82" s="1">
        <f t="shared" si="59"/>
        <v>0</v>
      </c>
      <c r="AI82" s="1">
        <f t="shared" si="59"/>
        <v>0</v>
      </c>
      <c r="AJ82" s="1">
        <f t="shared" si="59"/>
        <v>0</v>
      </c>
      <c r="AK82" s="1">
        <f t="shared" si="59"/>
        <v>0</v>
      </c>
      <c r="AL82" s="1">
        <f t="shared" si="59"/>
        <v>0</v>
      </c>
      <c r="AM82" s="1">
        <f t="shared" si="59"/>
        <v>0</v>
      </c>
      <c r="AN82" s="1">
        <f t="shared" si="59"/>
        <v>0</v>
      </c>
      <c r="AO82" s="1">
        <f t="shared" si="59"/>
        <v>0</v>
      </c>
      <c r="AP82" s="1">
        <f t="shared" si="59"/>
        <v>0</v>
      </c>
      <c r="AQ82" s="1">
        <f t="shared" si="59"/>
        <v>0</v>
      </c>
      <c r="AR82" s="1">
        <f t="shared" si="59"/>
        <v>0</v>
      </c>
      <c r="AS82" s="1">
        <f t="shared" si="59"/>
        <v>0</v>
      </c>
      <c r="AT82" s="1">
        <f t="shared" si="59"/>
        <v>0</v>
      </c>
      <c r="AU82" s="1">
        <f t="shared" si="59"/>
        <v>0</v>
      </c>
      <c r="AV82" s="1">
        <f t="shared" si="59"/>
        <v>0</v>
      </c>
      <c r="AW82" s="1">
        <f t="shared" si="59"/>
        <v>0</v>
      </c>
      <c r="AX82" s="1">
        <f t="shared" si="59"/>
        <v>0</v>
      </c>
      <c r="AY82" s="1">
        <f t="shared" si="59"/>
        <v>0</v>
      </c>
      <c r="AZ82" s="1">
        <f t="shared" si="59"/>
        <v>0</v>
      </c>
      <c r="BA82" s="1">
        <f t="shared" si="59"/>
        <v>0</v>
      </c>
    </row>
    <row r="83" spans="1:54" ht="15.75" customHeight="1" x14ac:dyDescent="0.35">
      <c r="B83" s="5"/>
      <c r="C83" s="5" t="s">
        <v>17</v>
      </c>
      <c r="D83" s="5"/>
      <c r="E83" s="5"/>
      <c r="F83" s="5"/>
      <c r="G83" s="5"/>
      <c r="H83" s="5"/>
      <c r="I83" s="5"/>
      <c r="J83" s="5"/>
      <c r="K83" s="5"/>
      <c r="N83" s="1">
        <f t="shared" si="45"/>
        <v>0</v>
      </c>
      <c r="Q83" s="1">
        <f t="shared" ref="Q83:BA83" si="60">-Q88</f>
        <v>0</v>
      </c>
      <c r="R83" s="1">
        <f t="shared" si="60"/>
        <v>0</v>
      </c>
      <c r="S83" s="1">
        <f t="shared" si="60"/>
        <v>0</v>
      </c>
      <c r="T83" s="1">
        <f t="shared" si="60"/>
        <v>0</v>
      </c>
      <c r="U83" s="1">
        <f t="shared" si="60"/>
        <v>0</v>
      </c>
      <c r="V83" s="1">
        <f t="shared" si="60"/>
        <v>0</v>
      </c>
      <c r="W83" s="1">
        <f t="shared" si="60"/>
        <v>0</v>
      </c>
      <c r="X83" s="1">
        <f t="shared" si="60"/>
        <v>0</v>
      </c>
      <c r="Y83" s="1">
        <f>-Y88</f>
        <v>0</v>
      </c>
      <c r="Z83" s="1">
        <f t="shared" si="60"/>
        <v>0</v>
      </c>
      <c r="AA83" s="1">
        <f t="shared" si="60"/>
        <v>0</v>
      </c>
      <c r="AB83" s="1">
        <f t="shared" si="60"/>
        <v>0</v>
      </c>
      <c r="AC83" s="1">
        <f t="shared" si="60"/>
        <v>0</v>
      </c>
      <c r="AD83" s="1">
        <f t="shared" si="60"/>
        <v>0</v>
      </c>
      <c r="AE83" s="1">
        <f t="shared" si="60"/>
        <v>0</v>
      </c>
      <c r="AF83" s="1">
        <f t="shared" si="60"/>
        <v>0</v>
      </c>
      <c r="AG83" s="1">
        <f t="shared" si="60"/>
        <v>0</v>
      </c>
      <c r="AH83" s="1">
        <f t="shared" si="60"/>
        <v>0</v>
      </c>
      <c r="AI83" s="1">
        <f t="shared" si="60"/>
        <v>0</v>
      </c>
      <c r="AJ83" s="1">
        <f t="shared" si="60"/>
        <v>0</v>
      </c>
      <c r="AK83" s="1">
        <f t="shared" si="60"/>
        <v>0</v>
      </c>
      <c r="AL83" s="1">
        <f t="shared" si="60"/>
        <v>0</v>
      </c>
      <c r="AM83" s="1">
        <f t="shared" si="60"/>
        <v>0</v>
      </c>
      <c r="AN83" s="1">
        <f t="shared" si="60"/>
        <v>0</v>
      </c>
      <c r="AO83" s="1">
        <f t="shared" si="60"/>
        <v>0</v>
      </c>
      <c r="AP83" s="1">
        <f t="shared" si="60"/>
        <v>0</v>
      </c>
      <c r="AQ83" s="1">
        <f t="shared" si="60"/>
        <v>0</v>
      </c>
      <c r="AR83" s="1">
        <f t="shared" si="60"/>
        <v>0</v>
      </c>
      <c r="AS83" s="1">
        <f t="shared" si="60"/>
        <v>0</v>
      </c>
      <c r="AT83" s="1">
        <f t="shared" si="60"/>
        <v>0</v>
      </c>
      <c r="AU83" s="1">
        <f t="shared" si="60"/>
        <v>0</v>
      </c>
      <c r="AV83" s="1">
        <f t="shared" si="60"/>
        <v>0</v>
      </c>
      <c r="AW83" s="1">
        <f t="shared" si="60"/>
        <v>0</v>
      </c>
      <c r="AX83" s="1">
        <f t="shared" si="60"/>
        <v>0</v>
      </c>
      <c r="AY83" s="1">
        <f t="shared" si="60"/>
        <v>0</v>
      </c>
      <c r="AZ83" s="1">
        <f t="shared" si="60"/>
        <v>0</v>
      </c>
      <c r="BA83" s="1">
        <f t="shared" si="60"/>
        <v>0</v>
      </c>
    </row>
    <row r="84" spans="1:54" ht="15.75" customHeight="1" x14ac:dyDescent="0.35">
      <c r="B84" s="5" t="s">
        <v>27</v>
      </c>
      <c r="C84" s="5"/>
      <c r="D84" s="5"/>
      <c r="E84" s="5"/>
      <c r="F84" s="5"/>
      <c r="G84" s="5"/>
      <c r="H84" s="5"/>
      <c r="I84" s="5"/>
      <c r="J84" s="5"/>
      <c r="K84" s="5"/>
      <c r="N84" s="1">
        <f>SUM(N65,N66,N78,N72,N75,N83)</f>
        <v>0</v>
      </c>
      <c r="Q84" s="1">
        <f t="shared" ref="Q84:BA84" si="61">SUM(Q65,Q66,Q78,Q72,Q75,Q83)</f>
        <v>0</v>
      </c>
      <c r="R84" s="1">
        <f t="shared" si="61"/>
        <v>0</v>
      </c>
      <c r="S84" s="1">
        <f t="shared" si="61"/>
        <v>0</v>
      </c>
      <c r="T84" s="1">
        <f t="shared" si="61"/>
        <v>0</v>
      </c>
      <c r="U84" s="1">
        <f t="shared" si="61"/>
        <v>0</v>
      </c>
      <c r="V84" s="1">
        <f t="shared" si="61"/>
        <v>0</v>
      </c>
      <c r="W84" s="1">
        <f t="shared" si="61"/>
        <v>0</v>
      </c>
      <c r="X84" s="1">
        <f t="shared" si="61"/>
        <v>0</v>
      </c>
      <c r="Y84" s="1">
        <f t="shared" si="61"/>
        <v>0</v>
      </c>
      <c r="Z84" s="1">
        <f t="shared" si="61"/>
        <v>0</v>
      </c>
      <c r="AA84" s="1">
        <f t="shared" si="61"/>
        <v>0</v>
      </c>
      <c r="AB84" s="1">
        <f t="shared" si="61"/>
        <v>0</v>
      </c>
      <c r="AC84" s="1">
        <f t="shared" si="61"/>
        <v>0</v>
      </c>
      <c r="AD84" s="1">
        <f t="shared" si="61"/>
        <v>0</v>
      </c>
      <c r="AE84" s="1">
        <f t="shared" si="61"/>
        <v>0</v>
      </c>
      <c r="AF84" s="1">
        <f t="shared" si="61"/>
        <v>0</v>
      </c>
      <c r="AG84" s="1">
        <f t="shared" si="61"/>
        <v>0</v>
      </c>
      <c r="AH84" s="1">
        <f t="shared" si="61"/>
        <v>0</v>
      </c>
      <c r="AI84" s="1">
        <f t="shared" si="61"/>
        <v>0</v>
      </c>
      <c r="AJ84" s="1">
        <f t="shared" si="61"/>
        <v>0</v>
      </c>
      <c r="AK84" s="1">
        <f t="shared" si="61"/>
        <v>0</v>
      </c>
      <c r="AL84" s="1">
        <f t="shared" si="61"/>
        <v>0</v>
      </c>
      <c r="AM84" s="1">
        <f t="shared" si="61"/>
        <v>0</v>
      </c>
      <c r="AN84" s="1">
        <f t="shared" si="61"/>
        <v>0</v>
      </c>
      <c r="AO84" s="1">
        <f t="shared" si="61"/>
        <v>0</v>
      </c>
      <c r="AP84" s="1">
        <f t="shared" si="61"/>
        <v>0</v>
      </c>
      <c r="AQ84" s="1">
        <f t="shared" si="61"/>
        <v>0</v>
      </c>
      <c r="AR84" s="1">
        <f t="shared" si="61"/>
        <v>0</v>
      </c>
      <c r="AS84" s="1">
        <f t="shared" si="61"/>
        <v>0</v>
      </c>
      <c r="AT84" s="1">
        <f t="shared" si="61"/>
        <v>0</v>
      </c>
      <c r="AU84" s="1">
        <f t="shared" si="61"/>
        <v>0</v>
      </c>
      <c r="AV84" s="1">
        <f t="shared" si="61"/>
        <v>0</v>
      </c>
      <c r="AW84" s="1">
        <f t="shared" si="61"/>
        <v>0</v>
      </c>
      <c r="AX84" s="1">
        <f t="shared" si="61"/>
        <v>0</v>
      </c>
      <c r="AY84" s="1">
        <f t="shared" si="61"/>
        <v>0</v>
      </c>
      <c r="AZ84" s="1">
        <f t="shared" si="61"/>
        <v>0</v>
      </c>
      <c r="BA84" s="1">
        <f t="shared" si="61"/>
        <v>0</v>
      </c>
    </row>
    <row r="85" spans="1:54" x14ac:dyDescent="0.35"/>
    <row r="86" spans="1:54" ht="15.75" customHeight="1" thickBot="1" x14ac:dyDescent="0.4">
      <c r="A86" s="44" t="s">
        <v>152</v>
      </c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5"/>
    </row>
    <row r="87" spans="1:54" ht="15" thickTop="1" x14ac:dyDescent="0.35"/>
    <row r="88" spans="1:54" ht="15.75" customHeight="1" x14ac:dyDescent="0.35">
      <c r="B88" s="9" t="s">
        <v>153</v>
      </c>
      <c r="C88" s="9"/>
      <c r="D88" s="9"/>
      <c r="E88" s="9"/>
      <c r="F88" s="9"/>
      <c r="G88" s="9"/>
      <c r="H88" s="9"/>
      <c r="I88" s="9"/>
      <c r="J88" s="9"/>
      <c r="K88" s="9"/>
      <c r="L88" s="8"/>
      <c r="M88" s="8"/>
      <c r="N88" s="10">
        <f>SUM(Q88:BA88)</f>
        <v>0</v>
      </c>
      <c r="O88" s="8"/>
      <c r="P88" s="8"/>
      <c r="Q88" s="10">
        <f t="shared" ref="Q88:BA88" si="62">SUM(Q89,Q101,Q95,Q98)</f>
        <v>0</v>
      </c>
      <c r="R88" s="10">
        <f t="shared" si="62"/>
        <v>0</v>
      </c>
      <c r="S88" s="10">
        <f t="shared" si="62"/>
        <v>0</v>
      </c>
      <c r="T88" s="10">
        <f t="shared" si="62"/>
        <v>0</v>
      </c>
      <c r="U88" s="10">
        <f t="shared" si="62"/>
        <v>0</v>
      </c>
      <c r="V88" s="10">
        <f t="shared" si="62"/>
        <v>0</v>
      </c>
      <c r="W88" s="10">
        <f t="shared" si="62"/>
        <v>0</v>
      </c>
      <c r="X88" s="10">
        <f>SUM(X89,X101,X95,X98)</f>
        <v>0</v>
      </c>
      <c r="Y88" s="10">
        <f t="shared" si="62"/>
        <v>0</v>
      </c>
      <c r="Z88" s="10">
        <f t="shared" si="62"/>
        <v>0</v>
      </c>
      <c r="AA88" s="10">
        <f t="shared" si="62"/>
        <v>0</v>
      </c>
      <c r="AB88" s="10">
        <f t="shared" si="62"/>
        <v>0</v>
      </c>
      <c r="AC88" s="10">
        <f t="shared" si="62"/>
        <v>0</v>
      </c>
      <c r="AD88" s="10">
        <f t="shared" si="62"/>
        <v>0</v>
      </c>
      <c r="AE88" s="10">
        <f t="shared" si="62"/>
        <v>0</v>
      </c>
      <c r="AF88" s="10">
        <f t="shared" si="62"/>
        <v>0</v>
      </c>
      <c r="AG88" s="10">
        <f t="shared" si="62"/>
        <v>0</v>
      </c>
      <c r="AH88" s="10">
        <f t="shared" si="62"/>
        <v>0</v>
      </c>
      <c r="AI88" s="10">
        <f t="shared" si="62"/>
        <v>0</v>
      </c>
      <c r="AJ88" s="10">
        <f t="shared" si="62"/>
        <v>0</v>
      </c>
      <c r="AK88" s="10">
        <f t="shared" si="62"/>
        <v>0</v>
      </c>
      <c r="AL88" s="10">
        <f t="shared" si="62"/>
        <v>0</v>
      </c>
      <c r="AM88" s="10">
        <f t="shared" si="62"/>
        <v>0</v>
      </c>
      <c r="AN88" s="10">
        <f t="shared" si="62"/>
        <v>0</v>
      </c>
      <c r="AO88" s="10">
        <f t="shared" si="62"/>
        <v>0</v>
      </c>
      <c r="AP88" s="10">
        <f t="shared" si="62"/>
        <v>0</v>
      </c>
      <c r="AQ88" s="10">
        <f t="shared" si="62"/>
        <v>0</v>
      </c>
      <c r="AR88" s="10">
        <f t="shared" si="62"/>
        <v>0</v>
      </c>
      <c r="AS88" s="10">
        <f t="shared" si="62"/>
        <v>0</v>
      </c>
      <c r="AT88" s="10">
        <f t="shared" si="62"/>
        <v>0</v>
      </c>
      <c r="AU88" s="10">
        <f t="shared" si="62"/>
        <v>0</v>
      </c>
      <c r="AV88" s="10">
        <f t="shared" si="62"/>
        <v>0</v>
      </c>
      <c r="AW88" s="10">
        <f t="shared" si="62"/>
        <v>0</v>
      </c>
      <c r="AX88" s="10">
        <f t="shared" si="62"/>
        <v>0</v>
      </c>
      <c r="AY88" s="10">
        <f t="shared" si="62"/>
        <v>0</v>
      </c>
      <c r="AZ88" s="10">
        <f t="shared" si="62"/>
        <v>0</v>
      </c>
      <c r="BA88" s="10">
        <f t="shared" si="62"/>
        <v>0</v>
      </c>
    </row>
    <row r="89" spans="1:54" ht="15.75" customHeight="1" x14ac:dyDescent="0.35">
      <c r="B89" s="5"/>
      <c r="C89" s="5" t="s">
        <v>148</v>
      </c>
      <c r="D89" s="5"/>
      <c r="E89" s="5"/>
      <c r="F89" s="5"/>
      <c r="G89" s="5"/>
      <c r="H89" s="5"/>
      <c r="I89" s="5"/>
      <c r="J89" s="5"/>
      <c r="K89" s="5"/>
      <c r="N89" s="11">
        <f>SUM(Q89:BA89)</f>
        <v>0</v>
      </c>
      <c r="Q89" s="11">
        <f>IFERROR(SUM(SUM($Q$67:Q$71,-ABS(Założenia!$K$167),-ABS(Założenia!$K$168))/SUM(OEt.w1)*OEt.w1,ABS(SUM(Założenia!$K$167:$K$168))*OEp.w1),0)</f>
        <v>0</v>
      </c>
      <c r="R89" s="11">
        <f>IFERROR(SUM(SUM($Q$67:R$71,-ABS(Założenia!$K$167),-ABS(Założenia!$K$168))/SUM(OEt.w1)*OEt.w1,ABS(SUM(Założenia!$K$167:$K$168))*OEp.w1),0)</f>
        <v>0</v>
      </c>
      <c r="S89" s="11">
        <f>IFERROR(SUM(SUM($Q$67:S$71,-ABS(Założenia!$K$167),-ABS(Założenia!$K$168))/SUM(OEt.w1)*OEt.w1,ABS(SUM(Założenia!$K$167:$K$168))*OEp.w1),0)</f>
        <v>0</v>
      </c>
      <c r="T89" s="11">
        <f>IFERROR(SUM(SUM($Q$67:T$71,-ABS(Założenia!$K$167),-ABS(Założenia!$K$168))/SUM(OEt.w1)*OEt.w1,ABS(SUM(Założenia!$K$167:$K$168))*OEp.w1),0)</f>
        <v>0</v>
      </c>
      <c r="U89" s="11">
        <f>IFERROR(SUM(SUM($Q$67:U$71,-ABS(Założenia!$K$167),-ABS(Założenia!$K$168))/SUM(OEt.w1)*OEt.w1,ABS(SUM(Założenia!$K$167:$K$168))*OEp.w1),0)</f>
        <v>0</v>
      </c>
      <c r="V89" s="11">
        <f>IFERROR(SUM(SUM($Q$67:V$71,-ABS(Założenia!$K$167),-ABS(Założenia!$K$168))/SUM(OEt.w1)*OEt.w1,ABS(SUM(Założenia!$K$167:$K$168))*OEp.w1),0)</f>
        <v>0</v>
      </c>
      <c r="W89" s="11">
        <f>IFERROR(SUM(SUM($Q$67:W$71,-ABS(Założenia!$K$167),-ABS(Założenia!$K$168))/SUM(OEt.w1)*OEt.w1,ABS(SUM(Założenia!$K$167:$K$168))*OEp.w1),0)</f>
        <v>0</v>
      </c>
      <c r="X89" s="11">
        <f>IFERROR(SUM(SUM($Q$67:X$71,-ABS(Założenia!$K$167),-ABS(Założenia!$K$168))/SUM(OEt.w1)*OEt.w1,ABS(SUM(Założenia!$K$167:$K$168))*OEp.w1),0)</f>
        <v>0</v>
      </c>
      <c r="Y89" s="11">
        <f>IFERROR(SUM(SUM($Q$67:Y$71,-ABS(Założenia!$K$167),-ABS(Założenia!$K$168))/SUM(OEt.w1)*OEt.w1,ABS(SUM(Założenia!$K$167:$K$168))*OEp.w1),0)</f>
        <v>0</v>
      </c>
      <c r="Z89" s="11">
        <f>IFERROR(SUM(SUM($Q$67:Z$71,-ABS(Założenia!$K$167),-ABS(Założenia!$K$168))/SUM(OEt.w1)*OEt.w1,ABS(SUM(Założenia!$K$167:$K$168))*OEp.w1),0)</f>
        <v>0</v>
      </c>
      <c r="AA89" s="11">
        <f>IFERROR(SUM(SUM($Q$67:AA$71,-ABS(Założenia!$K$167),-ABS(Założenia!$K$168))/SUM(OEt.w1)*OEt.w1,ABS(SUM(Założenia!$K$167:$K$168))*OEp.w1),0)</f>
        <v>0</v>
      </c>
      <c r="AB89" s="11">
        <f>IFERROR(SUM(SUM($Q$67:AB$71,-ABS(Założenia!$K$167),-ABS(Założenia!$K$168))/SUM(OEt.w1)*OEt.w1,ABS(SUM(Założenia!$K$167:$K$168))*OEp.w1),0)</f>
        <v>0</v>
      </c>
      <c r="AC89" s="11">
        <f>IFERROR(SUM(SUM($Q$67:AC$71,-ABS(Założenia!$K$167),-ABS(Założenia!$K$168))/SUM(OEt.w1)*OEt.w1,ABS(SUM(Założenia!$K$167:$K$168))*OEp.w1),0)</f>
        <v>0</v>
      </c>
      <c r="AD89" s="11">
        <f>IFERROR(SUM(SUM($Q$67:AD$71,-ABS(Założenia!$K$167),-ABS(Założenia!$K$168))/SUM(OEt.w1)*OEt.w1,ABS(SUM(Założenia!$K$167:$K$168))*OEp.w1),0)</f>
        <v>0</v>
      </c>
      <c r="AE89" s="11">
        <f>IFERROR(SUM(SUM($Q$67:AE$71,-ABS(Założenia!$K$167),-ABS(Założenia!$K$168))/SUM(OEt.w1)*OEt.w1,ABS(SUM(Założenia!$K$167:$K$168))*OEp.w1),0)</f>
        <v>0</v>
      </c>
      <c r="AF89" s="11">
        <f>IFERROR(SUM(SUM($Q$67:AF$71,-ABS(Założenia!$K$167),-ABS(Założenia!$K$168))/SUM(OEt.w1)*OEt.w1,ABS(SUM(Założenia!$K$167:$K$168))*OEp.w1),0)</f>
        <v>0</v>
      </c>
      <c r="AG89" s="11">
        <f>IFERROR(SUM(SUM($Q$67:AG$71,-ABS(Założenia!$K$167),-ABS(Założenia!$K$168))/SUM(OEt.w1)*OEt.w1,ABS(SUM(Założenia!$K$167:$K$168))*OEp.w1),0)</f>
        <v>0</v>
      </c>
      <c r="AH89" s="11">
        <f>IFERROR(SUM(SUM($Q$67:AH$71,-ABS(Założenia!$K$167),-ABS(Założenia!$K$168))/SUM(OEt.w1)*OEt.w1,ABS(SUM(Założenia!$K$167:$K$168))*OEp.w1),0)</f>
        <v>0</v>
      </c>
      <c r="AI89" s="11">
        <f>IFERROR(SUM(SUM($Q$67:AI$71,-ABS(Założenia!$K$167),-ABS(Założenia!$K$168))/SUM(OEt.w1)*OEt.w1,ABS(SUM(Założenia!$K$167:$K$168))*OEp.w1),0)</f>
        <v>0</v>
      </c>
      <c r="AJ89" s="11">
        <f>IFERROR(SUM(SUM($Q$67:AJ$71,-ABS(Założenia!$K$167),-ABS(Założenia!$K$168))/SUM(OEt.w1)*OEt.w1,ABS(SUM(Założenia!$K$167:$K$168))*OEp.w1),0)</f>
        <v>0</v>
      </c>
      <c r="AK89" s="11">
        <f>IFERROR(SUM(SUM($Q$67:AK$71,-ABS(Założenia!$K$167),-ABS(Założenia!$K$168))/SUM(OEt.w1)*OEt.w1,ABS(SUM(Założenia!$K$167:$K$168))*OEp.w1),0)</f>
        <v>0</v>
      </c>
      <c r="AL89" s="11">
        <f>IFERROR(SUM(SUM($Q$67:AL$71,-ABS(Założenia!$K$167),-ABS(Założenia!$K$168))/SUM(OEt.w1)*OEt.w1,ABS(SUM(Założenia!$K$167:$K$168))*OEp.w1),0)</f>
        <v>0</v>
      </c>
      <c r="AM89" s="11">
        <f>IFERROR(SUM(SUM($Q$67:AM$71,-ABS(Założenia!$K$167),-ABS(Założenia!$K$168))/SUM(OEt.w1)*OEt.w1,ABS(SUM(Założenia!$K$167:$K$168))*OEp.w1),0)</f>
        <v>0</v>
      </c>
      <c r="AN89" s="11">
        <f>IFERROR(SUM(SUM($Q$67:AN$71,-ABS(Założenia!$K$167),-ABS(Założenia!$K$168))/SUM(OEt.w1)*OEt.w1,ABS(SUM(Założenia!$K$167:$K$168))*OEp.w1),0)</f>
        <v>0</v>
      </c>
      <c r="AO89" s="11">
        <f>IFERROR(SUM(SUM($Q$67:AO$71,-ABS(Założenia!$K$167),-ABS(Założenia!$K$168))/SUM(OEt.w1)*OEt.w1,ABS(SUM(Założenia!$K$167:$K$168))*OEp.w1),0)</f>
        <v>0</v>
      </c>
      <c r="AP89" s="11">
        <f>IFERROR(SUM(SUM($Q$67:AP$71,-ABS(Założenia!$K$167),-ABS(Założenia!$K$168))/SUM(OEt.w1)*OEt.w1,ABS(SUM(Założenia!$K$167:$K$168))*OEp.w1),0)</f>
        <v>0</v>
      </c>
      <c r="AQ89" s="11">
        <f>IFERROR(SUM(SUM($Q$67:AQ$71,-ABS(Założenia!$K$167),-ABS(Założenia!$K$168))/SUM(OEt.w1)*OEt.w1,ABS(SUM(Założenia!$K$167:$K$168))*OEp.w1),0)</f>
        <v>0</v>
      </c>
      <c r="AR89" s="11">
        <f>IFERROR(SUM(SUM($Q$67:AR$71,-ABS(Założenia!$K$167),-ABS(Założenia!$K$168))/SUM(OEt.w1)*OEt.w1,ABS(SUM(Założenia!$K$167:$K$168))*OEp.w1),0)</f>
        <v>0</v>
      </c>
      <c r="AS89" s="11">
        <f>IFERROR(SUM(SUM($Q$67:AS$71,-ABS(Założenia!$K$167),-ABS(Założenia!$K$168))/SUM(OEt.w1)*OEt.w1,ABS(SUM(Założenia!$K$167:$K$168))*OEp.w1),0)</f>
        <v>0</v>
      </c>
      <c r="AT89" s="11">
        <f>IFERROR(SUM(SUM($Q$67:AT$71,-ABS(Założenia!$K$167),-ABS(Założenia!$K$168))/SUM(OEt.w1)*OEt.w1,ABS(SUM(Założenia!$K$167:$K$168))*OEp.w1),0)</f>
        <v>0</v>
      </c>
      <c r="AU89" s="11">
        <f>IFERROR(SUM(SUM($Q$67:AU$71,-ABS(Założenia!$K$167),-ABS(Założenia!$K$168))/SUM(OEt.w1)*OEt.w1,ABS(SUM(Założenia!$K$167:$K$168))*OEp.w1),0)</f>
        <v>0</v>
      </c>
      <c r="AV89" s="11">
        <f>IFERROR(SUM(SUM($Q$67:AV$71,-ABS(Założenia!$K$167),-ABS(Założenia!$K$168))/SUM(OEt.w1)*OEt.w1,ABS(SUM(Założenia!$K$167:$K$168))*OEp.w1),0)</f>
        <v>0</v>
      </c>
      <c r="AW89" s="11">
        <f>IFERROR(SUM(SUM($Q$67:AW$71,-ABS(Założenia!$K$167),-ABS(Założenia!$K$168))/SUM(OEt.w1)*OEt.w1,ABS(SUM(Założenia!$K$167:$K$168))*OEp.w1),0)</f>
        <v>0</v>
      </c>
      <c r="AX89" s="11">
        <f>IFERROR(SUM(SUM($Q$67:AX$71,-ABS(Założenia!$K$167),-ABS(Założenia!$K$168))/SUM(OEt.w1)*OEt.w1,ABS(SUM(Założenia!$K$167:$K$168))*OEp.w1),0)</f>
        <v>0</v>
      </c>
      <c r="AY89" s="11">
        <f>IFERROR(SUM(SUM($Q$67:AY$71,-ABS(Założenia!$K$167),-ABS(Założenia!$K$168))/SUM(OEt.w1)*OEt.w1,ABS(SUM(Założenia!$K$167:$K$168))*OEp.w1),0)</f>
        <v>0</v>
      </c>
      <c r="AZ89" s="11">
        <f>IFERROR(SUM(SUM($Q$67:AZ$71,-ABS(Założenia!$K$167),-ABS(Założenia!$K$168))/SUM(OEt.w1)*OEt.w1,ABS(SUM(Założenia!$K$167:$K$168))*OEp.w1),0)</f>
        <v>0</v>
      </c>
      <c r="BA89" s="11">
        <f>IFERROR(SUM(SUM($Q$67:BA$71,-ABS(Założenia!$K$167),-ABS(Założenia!$K$168))/SUM(OEt.w1)*OEt.w1,ABS(SUM(Założenia!$K$167:$K$168))*OEp.w1),0)</f>
        <v>0</v>
      </c>
    </row>
    <row r="90" spans="1:54" ht="15.75" customHeight="1" x14ac:dyDescent="0.35">
      <c r="B90" s="5"/>
      <c r="C90" s="5"/>
      <c r="D90" s="5" t="s">
        <v>99</v>
      </c>
      <c r="E90" s="5"/>
      <c r="F90" s="5"/>
      <c r="G90" s="5"/>
      <c r="H90" s="5"/>
      <c r="I90" s="5"/>
      <c r="J90" s="5"/>
      <c r="K90" s="5"/>
      <c r="N90" s="14">
        <f>N67</f>
        <v>0</v>
      </c>
      <c r="Q90" s="11">
        <f>IFERROR($N90/$N$89*Q$89,0)</f>
        <v>0</v>
      </c>
      <c r="R90" s="11">
        <f t="shared" ref="R90:BA94" si="63">IFERROR($N90/$N$89*R$89,0)</f>
        <v>0</v>
      </c>
      <c r="S90" s="11">
        <f t="shared" si="63"/>
        <v>0</v>
      </c>
      <c r="T90" s="11">
        <f t="shared" si="63"/>
        <v>0</v>
      </c>
      <c r="U90" s="11">
        <f t="shared" si="63"/>
        <v>0</v>
      </c>
      <c r="V90" s="11">
        <f t="shared" si="63"/>
        <v>0</v>
      </c>
      <c r="W90" s="11">
        <f t="shared" si="63"/>
        <v>0</v>
      </c>
      <c r="X90" s="11">
        <f t="shared" si="63"/>
        <v>0</v>
      </c>
      <c r="Y90" s="11">
        <f t="shared" si="63"/>
        <v>0</v>
      </c>
      <c r="Z90" s="11">
        <f t="shared" si="63"/>
        <v>0</v>
      </c>
      <c r="AA90" s="11">
        <f t="shared" si="63"/>
        <v>0</v>
      </c>
      <c r="AB90" s="11">
        <f t="shared" si="63"/>
        <v>0</v>
      </c>
      <c r="AC90" s="11">
        <f t="shared" si="63"/>
        <v>0</v>
      </c>
      <c r="AD90" s="11">
        <f t="shared" si="63"/>
        <v>0</v>
      </c>
      <c r="AE90" s="11">
        <f t="shared" si="63"/>
        <v>0</v>
      </c>
      <c r="AF90" s="11">
        <f t="shared" si="63"/>
        <v>0</v>
      </c>
      <c r="AG90" s="11">
        <f t="shared" si="63"/>
        <v>0</v>
      </c>
      <c r="AH90" s="11">
        <f t="shared" si="63"/>
        <v>0</v>
      </c>
      <c r="AI90" s="11">
        <f t="shared" si="63"/>
        <v>0</v>
      </c>
      <c r="AJ90" s="11">
        <f t="shared" si="63"/>
        <v>0</v>
      </c>
      <c r="AK90" s="11">
        <f t="shared" si="63"/>
        <v>0</v>
      </c>
      <c r="AL90" s="11">
        <f t="shared" si="63"/>
        <v>0</v>
      </c>
      <c r="AM90" s="11">
        <f t="shared" si="63"/>
        <v>0</v>
      </c>
      <c r="AN90" s="11">
        <f t="shared" si="63"/>
        <v>0</v>
      </c>
      <c r="AO90" s="11">
        <f t="shared" si="63"/>
        <v>0</v>
      </c>
      <c r="AP90" s="11">
        <f t="shared" si="63"/>
        <v>0</v>
      </c>
      <c r="AQ90" s="11">
        <f t="shared" si="63"/>
        <v>0</v>
      </c>
      <c r="AR90" s="11">
        <f t="shared" si="63"/>
        <v>0</v>
      </c>
      <c r="AS90" s="11">
        <f t="shared" si="63"/>
        <v>0</v>
      </c>
      <c r="AT90" s="11">
        <f t="shared" si="63"/>
        <v>0</v>
      </c>
      <c r="AU90" s="11">
        <f t="shared" si="63"/>
        <v>0</v>
      </c>
      <c r="AV90" s="11">
        <f t="shared" si="63"/>
        <v>0</v>
      </c>
      <c r="AW90" s="11">
        <f t="shared" si="63"/>
        <v>0</v>
      </c>
      <c r="AX90" s="11">
        <f t="shared" si="63"/>
        <v>0</v>
      </c>
      <c r="AY90" s="11">
        <f t="shared" si="63"/>
        <v>0</v>
      </c>
      <c r="AZ90" s="11">
        <f t="shared" si="63"/>
        <v>0</v>
      </c>
      <c r="BA90" s="11">
        <f t="shared" si="63"/>
        <v>0</v>
      </c>
    </row>
    <row r="91" spans="1:54" ht="15.75" customHeight="1" x14ac:dyDescent="0.35">
      <c r="B91" s="5"/>
      <c r="C91" s="5"/>
      <c r="D91" s="5" t="s">
        <v>100</v>
      </c>
      <c r="E91" s="5"/>
      <c r="F91" s="5"/>
      <c r="G91" s="5"/>
      <c r="H91" s="5"/>
      <c r="I91" s="5"/>
      <c r="J91" s="5"/>
      <c r="K91" s="5"/>
      <c r="N91" s="14">
        <f>N68</f>
        <v>0</v>
      </c>
      <c r="Q91" s="11">
        <f>IFERROR($N91/$N$89*Q$89,0)</f>
        <v>0</v>
      </c>
      <c r="R91" s="11">
        <f t="shared" si="63"/>
        <v>0</v>
      </c>
      <c r="S91" s="11">
        <f t="shared" si="63"/>
        <v>0</v>
      </c>
      <c r="T91" s="11">
        <f t="shared" si="63"/>
        <v>0</v>
      </c>
      <c r="U91" s="11">
        <f t="shared" si="63"/>
        <v>0</v>
      </c>
      <c r="V91" s="11">
        <f t="shared" si="63"/>
        <v>0</v>
      </c>
      <c r="W91" s="11">
        <f t="shared" si="63"/>
        <v>0</v>
      </c>
      <c r="X91" s="11">
        <f t="shared" si="63"/>
        <v>0</v>
      </c>
      <c r="Y91" s="11">
        <f t="shared" si="63"/>
        <v>0</v>
      </c>
      <c r="Z91" s="11">
        <f t="shared" si="63"/>
        <v>0</v>
      </c>
      <c r="AA91" s="11">
        <f t="shared" si="63"/>
        <v>0</v>
      </c>
      <c r="AB91" s="11">
        <f t="shared" si="63"/>
        <v>0</v>
      </c>
      <c r="AC91" s="11">
        <f t="shared" si="63"/>
        <v>0</v>
      </c>
      <c r="AD91" s="11">
        <f t="shared" si="63"/>
        <v>0</v>
      </c>
      <c r="AE91" s="11">
        <f t="shared" si="63"/>
        <v>0</v>
      </c>
      <c r="AF91" s="11">
        <f t="shared" si="63"/>
        <v>0</v>
      </c>
      <c r="AG91" s="11">
        <f t="shared" si="63"/>
        <v>0</v>
      </c>
      <c r="AH91" s="11">
        <f t="shared" si="63"/>
        <v>0</v>
      </c>
      <c r="AI91" s="11">
        <f t="shared" si="63"/>
        <v>0</v>
      </c>
      <c r="AJ91" s="11">
        <f t="shared" si="63"/>
        <v>0</v>
      </c>
      <c r="AK91" s="11">
        <f t="shared" si="63"/>
        <v>0</v>
      </c>
      <c r="AL91" s="11">
        <f t="shared" si="63"/>
        <v>0</v>
      </c>
      <c r="AM91" s="11">
        <f t="shared" si="63"/>
        <v>0</v>
      </c>
      <c r="AN91" s="11">
        <f t="shared" si="63"/>
        <v>0</v>
      </c>
      <c r="AO91" s="11">
        <f t="shared" si="63"/>
        <v>0</v>
      </c>
      <c r="AP91" s="11">
        <f t="shared" si="63"/>
        <v>0</v>
      </c>
      <c r="AQ91" s="11">
        <f t="shared" si="63"/>
        <v>0</v>
      </c>
      <c r="AR91" s="11">
        <f t="shared" si="63"/>
        <v>0</v>
      </c>
      <c r="AS91" s="11">
        <f t="shared" si="63"/>
        <v>0</v>
      </c>
      <c r="AT91" s="11">
        <f t="shared" si="63"/>
        <v>0</v>
      </c>
      <c r="AU91" s="11">
        <f t="shared" si="63"/>
        <v>0</v>
      </c>
      <c r="AV91" s="11">
        <f t="shared" si="63"/>
        <v>0</v>
      </c>
      <c r="AW91" s="11">
        <f t="shared" si="63"/>
        <v>0</v>
      </c>
      <c r="AX91" s="11">
        <f t="shared" si="63"/>
        <v>0</v>
      </c>
      <c r="AY91" s="11">
        <f t="shared" si="63"/>
        <v>0</v>
      </c>
      <c r="AZ91" s="11">
        <f t="shared" si="63"/>
        <v>0</v>
      </c>
      <c r="BA91" s="11">
        <f t="shared" si="63"/>
        <v>0</v>
      </c>
    </row>
    <row r="92" spans="1:54" ht="15.75" customHeight="1" x14ac:dyDescent="0.35">
      <c r="B92" s="5"/>
      <c r="C92" s="5"/>
      <c r="D92" s="5" t="s">
        <v>66</v>
      </c>
      <c r="E92" s="5"/>
      <c r="F92" s="5"/>
      <c r="G92" s="5"/>
      <c r="H92" s="5"/>
      <c r="I92" s="5"/>
      <c r="J92" s="5"/>
      <c r="K92" s="5"/>
      <c r="N92" s="14">
        <f>N69</f>
        <v>0</v>
      </c>
      <c r="Q92" s="11">
        <f>IFERROR($N92/$N$89*Q$89,0)</f>
        <v>0</v>
      </c>
      <c r="R92" s="11">
        <f t="shared" si="63"/>
        <v>0</v>
      </c>
      <c r="S92" s="11">
        <f t="shared" si="63"/>
        <v>0</v>
      </c>
      <c r="T92" s="11">
        <f t="shared" si="63"/>
        <v>0</v>
      </c>
      <c r="U92" s="11">
        <f t="shared" si="63"/>
        <v>0</v>
      </c>
      <c r="V92" s="11">
        <f t="shared" si="63"/>
        <v>0</v>
      </c>
      <c r="W92" s="11">
        <f t="shared" si="63"/>
        <v>0</v>
      </c>
      <c r="X92" s="11">
        <f t="shared" si="63"/>
        <v>0</v>
      </c>
      <c r="Y92" s="11">
        <f t="shared" si="63"/>
        <v>0</v>
      </c>
      <c r="Z92" s="11">
        <f t="shared" si="63"/>
        <v>0</v>
      </c>
      <c r="AA92" s="11">
        <f t="shared" si="63"/>
        <v>0</v>
      </c>
      <c r="AB92" s="11">
        <f t="shared" si="63"/>
        <v>0</v>
      </c>
      <c r="AC92" s="11">
        <f t="shared" si="63"/>
        <v>0</v>
      </c>
      <c r="AD92" s="11">
        <f t="shared" si="63"/>
        <v>0</v>
      </c>
      <c r="AE92" s="11">
        <f t="shared" si="63"/>
        <v>0</v>
      </c>
      <c r="AF92" s="11">
        <f t="shared" si="63"/>
        <v>0</v>
      </c>
      <c r="AG92" s="11">
        <f t="shared" si="63"/>
        <v>0</v>
      </c>
      <c r="AH92" s="11">
        <f t="shared" si="63"/>
        <v>0</v>
      </c>
      <c r="AI92" s="11">
        <f t="shared" si="63"/>
        <v>0</v>
      </c>
      <c r="AJ92" s="11">
        <f t="shared" si="63"/>
        <v>0</v>
      </c>
      <c r="AK92" s="11">
        <f t="shared" si="63"/>
        <v>0</v>
      </c>
      <c r="AL92" s="11">
        <f t="shared" si="63"/>
        <v>0</v>
      </c>
      <c r="AM92" s="11">
        <f t="shared" si="63"/>
        <v>0</v>
      </c>
      <c r="AN92" s="11">
        <f t="shared" si="63"/>
        <v>0</v>
      </c>
      <c r="AO92" s="11">
        <f t="shared" si="63"/>
        <v>0</v>
      </c>
      <c r="AP92" s="11">
        <f t="shared" si="63"/>
        <v>0</v>
      </c>
      <c r="AQ92" s="11">
        <f t="shared" si="63"/>
        <v>0</v>
      </c>
      <c r="AR92" s="11">
        <f t="shared" si="63"/>
        <v>0</v>
      </c>
      <c r="AS92" s="11">
        <f t="shared" si="63"/>
        <v>0</v>
      </c>
      <c r="AT92" s="11">
        <f t="shared" si="63"/>
        <v>0</v>
      </c>
      <c r="AU92" s="11">
        <f t="shared" si="63"/>
        <v>0</v>
      </c>
      <c r="AV92" s="11">
        <f t="shared" si="63"/>
        <v>0</v>
      </c>
      <c r="AW92" s="11">
        <f t="shared" si="63"/>
        <v>0</v>
      </c>
      <c r="AX92" s="11">
        <f t="shared" si="63"/>
        <v>0</v>
      </c>
      <c r="AY92" s="11">
        <f t="shared" si="63"/>
        <v>0</v>
      </c>
      <c r="AZ92" s="11">
        <f t="shared" si="63"/>
        <v>0</v>
      </c>
      <c r="BA92" s="11">
        <f t="shared" si="63"/>
        <v>0</v>
      </c>
    </row>
    <row r="93" spans="1:54" ht="15.75" customHeight="1" x14ac:dyDescent="0.35">
      <c r="B93" s="5"/>
      <c r="C93" s="5"/>
      <c r="D93" s="5" t="s">
        <v>72</v>
      </c>
      <c r="E93" s="5"/>
      <c r="F93" s="5"/>
      <c r="G93" s="5"/>
      <c r="H93" s="5"/>
      <c r="I93" s="5"/>
      <c r="J93" s="5"/>
      <c r="K93" s="5"/>
      <c r="N93" s="14">
        <f>N70</f>
        <v>0</v>
      </c>
      <c r="Q93" s="11">
        <f>IFERROR($N93/$N$89*Q$89,0)</f>
        <v>0</v>
      </c>
      <c r="R93" s="11">
        <f t="shared" si="63"/>
        <v>0</v>
      </c>
      <c r="S93" s="11">
        <f t="shared" si="63"/>
        <v>0</v>
      </c>
      <c r="T93" s="11">
        <f t="shared" si="63"/>
        <v>0</v>
      </c>
      <c r="U93" s="11">
        <f t="shared" si="63"/>
        <v>0</v>
      </c>
      <c r="V93" s="11">
        <f t="shared" si="63"/>
        <v>0</v>
      </c>
      <c r="W93" s="11">
        <f t="shared" si="63"/>
        <v>0</v>
      </c>
      <c r="X93" s="11">
        <f t="shared" si="63"/>
        <v>0</v>
      </c>
      <c r="Y93" s="11">
        <f t="shared" si="63"/>
        <v>0</v>
      </c>
      <c r="Z93" s="11">
        <f t="shared" si="63"/>
        <v>0</v>
      </c>
      <c r="AA93" s="11">
        <f t="shared" si="63"/>
        <v>0</v>
      </c>
      <c r="AB93" s="11">
        <f t="shared" si="63"/>
        <v>0</v>
      </c>
      <c r="AC93" s="11">
        <f t="shared" si="63"/>
        <v>0</v>
      </c>
      <c r="AD93" s="11">
        <f t="shared" si="63"/>
        <v>0</v>
      </c>
      <c r="AE93" s="11">
        <f t="shared" si="63"/>
        <v>0</v>
      </c>
      <c r="AF93" s="11">
        <f t="shared" si="63"/>
        <v>0</v>
      </c>
      <c r="AG93" s="11">
        <f t="shared" si="63"/>
        <v>0</v>
      </c>
      <c r="AH93" s="11">
        <f t="shared" si="63"/>
        <v>0</v>
      </c>
      <c r="AI93" s="11">
        <f t="shared" si="63"/>
        <v>0</v>
      </c>
      <c r="AJ93" s="11">
        <f t="shared" si="63"/>
        <v>0</v>
      </c>
      <c r="AK93" s="11">
        <f t="shared" si="63"/>
        <v>0</v>
      </c>
      <c r="AL93" s="11">
        <f t="shared" si="63"/>
        <v>0</v>
      </c>
      <c r="AM93" s="11">
        <f t="shared" si="63"/>
        <v>0</v>
      </c>
      <c r="AN93" s="11">
        <f t="shared" si="63"/>
        <v>0</v>
      </c>
      <c r="AO93" s="11">
        <f t="shared" si="63"/>
        <v>0</v>
      </c>
      <c r="AP93" s="11">
        <f t="shared" si="63"/>
        <v>0</v>
      </c>
      <c r="AQ93" s="11">
        <f t="shared" si="63"/>
        <v>0</v>
      </c>
      <c r="AR93" s="11">
        <f t="shared" si="63"/>
        <v>0</v>
      </c>
      <c r="AS93" s="11">
        <f t="shared" si="63"/>
        <v>0</v>
      </c>
      <c r="AT93" s="11">
        <f t="shared" si="63"/>
        <v>0</v>
      </c>
      <c r="AU93" s="11">
        <f t="shared" si="63"/>
        <v>0</v>
      </c>
      <c r="AV93" s="11">
        <f t="shared" si="63"/>
        <v>0</v>
      </c>
      <c r="AW93" s="11">
        <f t="shared" si="63"/>
        <v>0</v>
      </c>
      <c r="AX93" s="11">
        <f t="shared" si="63"/>
        <v>0</v>
      </c>
      <c r="AY93" s="11">
        <f t="shared" si="63"/>
        <v>0</v>
      </c>
      <c r="AZ93" s="11">
        <f t="shared" si="63"/>
        <v>0</v>
      </c>
      <c r="BA93" s="11">
        <f t="shared" si="63"/>
        <v>0</v>
      </c>
    </row>
    <row r="94" spans="1:54" ht="15.75" customHeight="1" x14ac:dyDescent="0.35">
      <c r="B94" s="5"/>
      <c r="C94" s="5"/>
      <c r="D94" s="5" t="s">
        <v>50</v>
      </c>
      <c r="E94" s="5"/>
      <c r="F94" s="5"/>
      <c r="G94" s="5"/>
      <c r="H94" s="5"/>
      <c r="I94" s="5"/>
      <c r="J94" s="5"/>
      <c r="K94" s="5"/>
      <c r="N94" s="14">
        <f>N71</f>
        <v>0</v>
      </c>
      <c r="Q94" s="11">
        <f>IFERROR($N94/$N$89*Q$89,0)</f>
        <v>0</v>
      </c>
      <c r="R94" s="11">
        <f t="shared" si="63"/>
        <v>0</v>
      </c>
      <c r="S94" s="11">
        <f t="shared" si="63"/>
        <v>0</v>
      </c>
      <c r="T94" s="11">
        <f t="shared" si="63"/>
        <v>0</v>
      </c>
      <c r="U94" s="11">
        <f t="shared" si="63"/>
        <v>0</v>
      </c>
      <c r="V94" s="11">
        <f t="shared" si="63"/>
        <v>0</v>
      </c>
      <c r="W94" s="11">
        <f t="shared" si="63"/>
        <v>0</v>
      </c>
      <c r="X94" s="11">
        <f t="shared" si="63"/>
        <v>0</v>
      </c>
      <c r="Y94" s="11">
        <f t="shared" si="63"/>
        <v>0</v>
      </c>
      <c r="Z94" s="11">
        <f t="shared" si="63"/>
        <v>0</v>
      </c>
      <c r="AA94" s="11">
        <f t="shared" si="63"/>
        <v>0</v>
      </c>
      <c r="AB94" s="11">
        <f t="shared" si="63"/>
        <v>0</v>
      </c>
      <c r="AC94" s="11">
        <f t="shared" si="63"/>
        <v>0</v>
      </c>
      <c r="AD94" s="11">
        <f t="shared" si="63"/>
        <v>0</v>
      </c>
      <c r="AE94" s="11">
        <f t="shared" si="63"/>
        <v>0</v>
      </c>
      <c r="AF94" s="11">
        <f t="shared" si="63"/>
        <v>0</v>
      </c>
      <c r="AG94" s="11">
        <f t="shared" si="63"/>
        <v>0</v>
      </c>
      <c r="AH94" s="11">
        <f t="shared" si="63"/>
        <v>0</v>
      </c>
      <c r="AI94" s="11">
        <f t="shared" si="63"/>
        <v>0</v>
      </c>
      <c r="AJ94" s="11">
        <f t="shared" si="63"/>
        <v>0</v>
      </c>
      <c r="AK94" s="11">
        <f t="shared" si="63"/>
        <v>0</v>
      </c>
      <c r="AL94" s="11">
        <f t="shared" si="63"/>
        <v>0</v>
      </c>
      <c r="AM94" s="11">
        <f t="shared" si="63"/>
        <v>0</v>
      </c>
      <c r="AN94" s="11">
        <f t="shared" si="63"/>
        <v>0</v>
      </c>
      <c r="AO94" s="11">
        <f t="shared" si="63"/>
        <v>0</v>
      </c>
      <c r="AP94" s="11">
        <f t="shared" si="63"/>
        <v>0</v>
      </c>
      <c r="AQ94" s="11">
        <f t="shared" si="63"/>
        <v>0</v>
      </c>
      <c r="AR94" s="11">
        <f t="shared" si="63"/>
        <v>0</v>
      </c>
      <c r="AS94" s="11">
        <f t="shared" si="63"/>
        <v>0</v>
      </c>
      <c r="AT94" s="11">
        <f t="shared" si="63"/>
        <v>0</v>
      </c>
      <c r="AU94" s="11">
        <f t="shared" si="63"/>
        <v>0</v>
      </c>
      <c r="AV94" s="11">
        <f t="shared" si="63"/>
        <v>0</v>
      </c>
      <c r="AW94" s="11">
        <f t="shared" si="63"/>
        <v>0</v>
      </c>
      <c r="AX94" s="11">
        <f t="shared" si="63"/>
        <v>0</v>
      </c>
      <c r="AY94" s="11">
        <f t="shared" si="63"/>
        <v>0</v>
      </c>
      <c r="AZ94" s="11">
        <f t="shared" si="63"/>
        <v>0</v>
      </c>
      <c r="BA94" s="11">
        <f t="shared" si="63"/>
        <v>0</v>
      </c>
    </row>
    <row r="95" spans="1:54" ht="15.75" customHeight="1" x14ac:dyDescent="0.35">
      <c r="B95" s="5"/>
      <c r="C95" s="5" t="s">
        <v>150</v>
      </c>
      <c r="D95" s="5"/>
      <c r="E95" s="5"/>
      <c r="F95" s="5"/>
      <c r="G95" s="5"/>
      <c r="H95" s="5"/>
      <c r="I95" s="5"/>
      <c r="J95" s="5"/>
      <c r="K95" s="5"/>
      <c r="N95" s="1">
        <f t="shared" ref="N95:N107" si="64">SUM(Q95:BA95)</f>
        <v>0</v>
      </c>
      <c r="Q95" s="1">
        <f t="shared" ref="Q95:BA95" si="65">SUM(Q96:Q97)</f>
        <v>0</v>
      </c>
      <c r="R95" s="1">
        <f t="shared" si="65"/>
        <v>0</v>
      </c>
      <c r="S95" s="1">
        <f t="shared" si="65"/>
        <v>0</v>
      </c>
      <c r="T95" s="1">
        <f t="shared" si="65"/>
        <v>0</v>
      </c>
      <c r="U95" s="1">
        <f t="shared" si="65"/>
        <v>0</v>
      </c>
      <c r="V95" s="1">
        <f t="shared" si="65"/>
        <v>0</v>
      </c>
      <c r="W95" s="1">
        <f t="shared" si="65"/>
        <v>0</v>
      </c>
      <c r="X95" s="1">
        <f t="shared" si="65"/>
        <v>0</v>
      </c>
      <c r="Y95" s="1">
        <f t="shared" si="65"/>
        <v>0</v>
      </c>
      <c r="Z95" s="1">
        <f t="shared" si="65"/>
        <v>0</v>
      </c>
      <c r="AA95" s="1">
        <f t="shared" si="65"/>
        <v>0</v>
      </c>
      <c r="AB95" s="1">
        <f t="shared" si="65"/>
        <v>0</v>
      </c>
      <c r="AC95" s="1">
        <f t="shared" si="65"/>
        <v>0</v>
      </c>
      <c r="AD95" s="1">
        <f t="shared" si="65"/>
        <v>0</v>
      </c>
      <c r="AE95" s="1">
        <f t="shared" si="65"/>
        <v>0</v>
      </c>
      <c r="AF95" s="1">
        <f t="shared" si="65"/>
        <v>0</v>
      </c>
      <c r="AG95" s="1">
        <f t="shared" si="65"/>
        <v>0</v>
      </c>
      <c r="AH95" s="1">
        <f t="shared" si="65"/>
        <v>0</v>
      </c>
      <c r="AI95" s="1">
        <f t="shared" si="65"/>
        <v>0</v>
      </c>
      <c r="AJ95" s="1">
        <f t="shared" si="65"/>
        <v>0</v>
      </c>
      <c r="AK95" s="1">
        <f t="shared" si="65"/>
        <v>0</v>
      </c>
      <c r="AL95" s="1">
        <f t="shared" si="65"/>
        <v>0</v>
      </c>
      <c r="AM95" s="1">
        <f t="shared" si="65"/>
        <v>0</v>
      </c>
      <c r="AN95" s="1">
        <f t="shared" si="65"/>
        <v>0</v>
      </c>
      <c r="AO95" s="1">
        <f t="shared" si="65"/>
        <v>0</v>
      </c>
      <c r="AP95" s="1">
        <f t="shared" si="65"/>
        <v>0</v>
      </c>
      <c r="AQ95" s="1">
        <f t="shared" si="65"/>
        <v>0</v>
      </c>
      <c r="AR95" s="1">
        <f t="shared" si="65"/>
        <v>0</v>
      </c>
      <c r="AS95" s="1">
        <f t="shared" si="65"/>
        <v>0</v>
      </c>
      <c r="AT95" s="1">
        <f t="shared" si="65"/>
        <v>0</v>
      </c>
      <c r="AU95" s="1">
        <f t="shared" si="65"/>
        <v>0</v>
      </c>
      <c r="AV95" s="1">
        <f t="shared" si="65"/>
        <v>0</v>
      </c>
      <c r="AW95" s="1">
        <f t="shared" si="65"/>
        <v>0</v>
      </c>
      <c r="AX95" s="1">
        <f t="shared" si="65"/>
        <v>0</v>
      </c>
      <c r="AY95" s="1">
        <f t="shared" si="65"/>
        <v>0</v>
      </c>
      <c r="AZ95" s="1">
        <f t="shared" si="65"/>
        <v>0</v>
      </c>
      <c r="BA95" s="1">
        <f t="shared" si="65"/>
        <v>0</v>
      </c>
    </row>
    <row r="96" spans="1:54" ht="15.75" customHeight="1" x14ac:dyDescent="0.35">
      <c r="B96" s="5"/>
      <c r="C96" s="5"/>
      <c r="D96" s="5" t="s">
        <v>6</v>
      </c>
      <c r="E96" s="5"/>
      <c r="F96" s="5"/>
      <c r="G96" s="5"/>
      <c r="H96" s="5"/>
      <c r="I96" s="5"/>
      <c r="J96" s="5"/>
      <c r="K96" s="5"/>
      <c r="N96" s="1">
        <f t="shared" si="64"/>
        <v>0</v>
      </c>
      <c r="Q96" s="1">
        <f t="shared" ref="Q96:BA96" si="66">Q73</f>
        <v>0</v>
      </c>
      <c r="R96" s="1">
        <f t="shared" si="66"/>
        <v>0</v>
      </c>
      <c r="S96" s="1">
        <f t="shared" si="66"/>
        <v>0</v>
      </c>
      <c r="T96" s="1">
        <f t="shared" si="66"/>
        <v>0</v>
      </c>
      <c r="U96" s="1">
        <f t="shared" si="66"/>
        <v>0</v>
      </c>
      <c r="V96" s="1">
        <f t="shared" si="66"/>
        <v>0</v>
      </c>
      <c r="W96" s="1">
        <f t="shared" si="66"/>
        <v>0</v>
      </c>
      <c r="X96" s="1">
        <f t="shared" si="66"/>
        <v>0</v>
      </c>
      <c r="Y96" s="1">
        <f t="shared" si="66"/>
        <v>0</v>
      </c>
      <c r="Z96" s="1">
        <f t="shared" si="66"/>
        <v>0</v>
      </c>
      <c r="AA96" s="1">
        <f t="shared" si="66"/>
        <v>0</v>
      </c>
      <c r="AB96" s="1">
        <f t="shared" si="66"/>
        <v>0</v>
      </c>
      <c r="AC96" s="1">
        <f t="shared" si="66"/>
        <v>0</v>
      </c>
      <c r="AD96" s="1">
        <f t="shared" si="66"/>
        <v>0</v>
      </c>
      <c r="AE96" s="1">
        <f t="shared" si="66"/>
        <v>0</v>
      </c>
      <c r="AF96" s="1">
        <f t="shared" si="66"/>
        <v>0</v>
      </c>
      <c r="AG96" s="1">
        <f t="shared" si="66"/>
        <v>0</v>
      </c>
      <c r="AH96" s="1">
        <f t="shared" si="66"/>
        <v>0</v>
      </c>
      <c r="AI96" s="1">
        <f t="shared" si="66"/>
        <v>0</v>
      </c>
      <c r="AJ96" s="1">
        <f t="shared" si="66"/>
        <v>0</v>
      </c>
      <c r="AK96" s="1">
        <f t="shared" si="66"/>
        <v>0</v>
      </c>
      <c r="AL96" s="1">
        <f t="shared" si="66"/>
        <v>0</v>
      </c>
      <c r="AM96" s="1">
        <f t="shared" si="66"/>
        <v>0</v>
      </c>
      <c r="AN96" s="1">
        <f t="shared" si="66"/>
        <v>0</v>
      </c>
      <c r="AO96" s="1">
        <f t="shared" si="66"/>
        <v>0</v>
      </c>
      <c r="AP96" s="1">
        <f t="shared" si="66"/>
        <v>0</v>
      </c>
      <c r="AQ96" s="1">
        <f t="shared" si="66"/>
        <v>0</v>
      </c>
      <c r="AR96" s="1">
        <f t="shared" si="66"/>
        <v>0</v>
      </c>
      <c r="AS96" s="1">
        <f t="shared" si="66"/>
        <v>0</v>
      </c>
      <c r="AT96" s="1">
        <f t="shared" si="66"/>
        <v>0</v>
      </c>
      <c r="AU96" s="1">
        <f t="shared" si="66"/>
        <v>0</v>
      </c>
      <c r="AV96" s="1">
        <f t="shared" si="66"/>
        <v>0</v>
      </c>
      <c r="AW96" s="1">
        <f t="shared" si="66"/>
        <v>0</v>
      </c>
      <c r="AX96" s="1">
        <f t="shared" si="66"/>
        <v>0</v>
      </c>
      <c r="AY96" s="1">
        <f t="shared" si="66"/>
        <v>0</v>
      </c>
      <c r="AZ96" s="1">
        <f t="shared" si="66"/>
        <v>0</v>
      </c>
      <c r="BA96" s="1">
        <f t="shared" si="66"/>
        <v>0</v>
      </c>
    </row>
    <row r="97" spans="1:54" ht="15.75" customHeight="1" x14ac:dyDescent="0.35">
      <c r="B97" s="5"/>
      <c r="C97" s="5"/>
      <c r="D97" s="5" t="s">
        <v>142</v>
      </c>
      <c r="E97" s="5"/>
      <c r="F97" s="5"/>
      <c r="G97" s="5"/>
      <c r="H97" s="5"/>
      <c r="I97" s="5"/>
      <c r="J97" s="5"/>
      <c r="K97" s="5"/>
      <c r="N97" s="1">
        <f t="shared" si="64"/>
        <v>0</v>
      </c>
      <c r="Q97" s="1">
        <f t="shared" ref="Q97:BA97" si="67">Q74</f>
        <v>0</v>
      </c>
      <c r="R97" s="1">
        <f t="shared" si="67"/>
        <v>0</v>
      </c>
      <c r="S97" s="1">
        <f t="shared" si="67"/>
        <v>0</v>
      </c>
      <c r="T97" s="1">
        <f t="shared" si="67"/>
        <v>0</v>
      </c>
      <c r="U97" s="1">
        <f t="shared" si="67"/>
        <v>0</v>
      </c>
      <c r="V97" s="1">
        <f t="shared" si="67"/>
        <v>0</v>
      </c>
      <c r="W97" s="1">
        <f t="shared" si="67"/>
        <v>0</v>
      </c>
      <c r="X97" s="1">
        <f t="shared" si="67"/>
        <v>0</v>
      </c>
      <c r="Y97" s="1">
        <f t="shared" si="67"/>
        <v>0</v>
      </c>
      <c r="Z97" s="1">
        <f t="shared" si="67"/>
        <v>0</v>
      </c>
      <c r="AA97" s="1">
        <f t="shared" si="67"/>
        <v>0</v>
      </c>
      <c r="AB97" s="1">
        <f t="shared" si="67"/>
        <v>0</v>
      </c>
      <c r="AC97" s="1">
        <f t="shared" si="67"/>
        <v>0</v>
      </c>
      <c r="AD97" s="1">
        <f t="shared" si="67"/>
        <v>0</v>
      </c>
      <c r="AE97" s="1">
        <f t="shared" si="67"/>
        <v>0</v>
      </c>
      <c r="AF97" s="1">
        <f t="shared" si="67"/>
        <v>0</v>
      </c>
      <c r="AG97" s="1">
        <f t="shared" si="67"/>
        <v>0</v>
      </c>
      <c r="AH97" s="1">
        <f t="shared" si="67"/>
        <v>0</v>
      </c>
      <c r="AI97" s="1">
        <f t="shared" si="67"/>
        <v>0</v>
      </c>
      <c r="AJ97" s="1">
        <f t="shared" si="67"/>
        <v>0</v>
      </c>
      <c r="AK97" s="1">
        <f t="shared" si="67"/>
        <v>0</v>
      </c>
      <c r="AL97" s="1">
        <f t="shared" si="67"/>
        <v>0</v>
      </c>
      <c r="AM97" s="1">
        <f t="shared" si="67"/>
        <v>0</v>
      </c>
      <c r="AN97" s="1">
        <f t="shared" si="67"/>
        <v>0</v>
      </c>
      <c r="AO97" s="1">
        <f t="shared" si="67"/>
        <v>0</v>
      </c>
      <c r="AP97" s="1">
        <f t="shared" si="67"/>
        <v>0</v>
      </c>
      <c r="AQ97" s="1">
        <f t="shared" si="67"/>
        <v>0</v>
      </c>
      <c r="AR97" s="1">
        <f t="shared" si="67"/>
        <v>0</v>
      </c>
      <c r="AS97" s="1">
        <f t="shared" si="67"/>
        <v>0</v>
      </c>
      <c r="AT97" s="1">
        <f t="shared" si="67"/>
        <v>0</v>
      </c>
      <c r="AU97" s="1">
        <f t="shared" si="67"/>
        <v>0</v>
      </c>
      <c r="AV97" s="1">
        <f t="shared" si="67"/>
        <v>0</v>
      </c>
      <c r="AW97" s="1">
        <f t="shared" si="67"/>
        <v>0</v>
      </c>
      <c r="AX97" s="1">
        <f t="shared" si="67"/>
        <v>0</v>
      </c>
      <c r="AY97" s="1">
        <f t="shared" si="67"/>
        <v>0</v>
      </c>
      <c r="AZ97" s="1">
        <f t="shared" si="67"/>
        <v>0</v>
      </c>
      <c r="BA97" s="1">
        <f t="shared" si="67"/>
        <v>0</v>
      </c>
    </row>
    <row r="98" spans="1:54" ht="15.75" customHeight="1" x14ac:dyDescent="0.35">
      <c r="B98" s="5"/>
      <c r="C98" s="5" t="s">
        <v>151</v>
      </c>
      <c r="D98" s="5"/>
      <c r="E98" s="5"/>
      <c r="F98" s="5"/>
      <c r="G98" s="5"/>
      <c r="H98" s="5"/>
      <c r="I98" s="5"/>
      <c r="J98" s="5"/>
      <c r="K98" s="5"/>
      <c r="N98" s="1">
        <f t="shared" si="64"/>
        <v>0</v>
      </c>
      <c r="Q98" s="1">
        <f t="shared" ref="Q98:BA98" si="68">SUM(Q99:Q100)</f>
        <v>0</v>
      </c>
      <c r="R98" s="1">
        <f t="shared" si="68"/>
        <v>0</v>
      </c>
      <c r="S98" s="1">
        <f t="shared" si="68"/>
        <v>0</v>
      </c>
      <c r="T98" s="1">
        <f t="shared" si="68"/>
        <v>0</v>
      </c>
      <c r="U98" s="1">
        <f t="shared" si="68"/>
        <v>0</v>
      </c>
      <c r="V98" s="1">
        <f t="shared" si="68"/>
        <v>0</v>
      </c>
      <c r="W98" s="1">
        <f t="shared" si="68"/>
        <v>0</v>
      </c>
      <c r="X98" s="1">
        <f t="shared" si="68"/>
        <v>0</v>
      </c>
      <c r="Y98" s="1">
        <f t="shared" si="68"/>
        <v>0</v>
      </c>
      <c r="Z98" s="1">
        <f t="shared" si="68"/>
        <v>0</v>
      </c>
      <c r="AA98" s="1">
        <f t="shared" si="68"/>
        <v>0</v>
      </c>
      <c r="AB98" s="1">
        <f t="shared" si="68"/>
        <v>0</v>
      </c>
      <c r="AC98" s="1">
        <f t="shared" si="68"/>
        <v>0</v>
      </c>
      <c r="AD98" s="1">
        <f t="shared" si="68"/>
        <v>0</v>
      </c>
      <c r="AE98" s="1">
        <f t="shared" si="68"/>
        <v>0</v>
      </c>
      <c r="AF98" s="1">
        <f t="shared" si="68"/>
        <v>0</v>
      </c>
      <c r="AG98" s="1">
        <f t="shared" si="68"/>
        <v>0</v>
      </c>
      <c r="AH98" s="1">
        <f t="shared" si="68"/>
        <v>0</v>
      </c>
      <c r="AI98" s="1">
        <f t="shared" si="68"/>
        <v>0</v>
      </c>
      <c r="AJ98" s="1">
        <f t="shared" si="68"/>
        <v>0</v>
      </c>
      <c r="AK98" s="1">
        <f t="shared" si="68"/>
        <v>0</v>
      </c>
      <c r="AL98" s="1">
        <f t="shared" si="68"/>
        <v>0</v>
      </c>
      <c r="AM98" s="1">
        <f t="shared" si="68"/>
        <v>0</v>
      </c>
      <c r="AN98" s="1">
        <f t="shared" si="68"/>
        <v>0</v>
      </c>
      <c r="AO98" s="1">
        <f t="shared" si="68"/>
        <v>0</v>
      </c>
      <c r="AP98" s="1">
        <f t="shared" si="68"/>
        <v>0</v>
      </c>
      <c r="AQ98" s="1">
        <f t="shared" si="68"/>
        <v>0</v>
      </c>
      <c r="AR98" s="1">
        <f t="shared" si="68"/>
        <v>0</v>
      </c>
      <c r="AS98" s="1">
        <f t="shared" si="68"/>
        <v>0</v>
      </c>
      <c r="AT98" s="1">
        <f t="shared" si="68"/>
        <v>0</v>
      </c>
      <c r="AU98" s="1">
        <f t="shared" si="68"/>
        <v>0</v>
      </c>
      <c r="AV98" s="1">
        <f t="shared" si="68"/>
        <v>0</v>
      </c>
      <c r="AW98" s="1">
        <f t="shared" si="68"/>
        <v>0</v>
      </c>
      <c r="AX98" s="1">
        <f t="shared" si="68"/>
        <v>0</v>
      </c>
      <c r="AY98" s="1">
        <f t="shared" si="68"/>
        <v>0</v>
      </c>
      <c r="AZ98" s="1">
        <f t="shared" si="68"/>
        <v>0</v>
      </c>
      <c r="BA98" s="1">
        <f t="shared" si="68"/>
        <v>0</v>
      </c>
    </row>
    <row r="99" spans="1:54" ht="15.75" customHeight="1" x14ac:dyDescent="0.35">
      <c r="B99" s="5"/>
      <c r="C99" s="5"/>
      <c r="D99" s="5" t="s">
        <v>147</v>
      </c>
      <c r="E99" s="5"/>
      <c r="F99" s="5"/>
      <c r="G99" s="5"/>
      <c r="H99" s="5"/>
      <c r="I99" s="5"/>
      <c r="J99" s="5"/>
      <c r="K99" s="5"/>
      <c r="N99" s="1">
        <f t="shared" si="64"/>
        <v>0</v>
      </c>
      <c r="Q99" s="1">
        <f t="shared" ref="Q99:BA99" si="69">Q76</f>
        <v>0</v>
      </c>
      <c r="R99" s="1">
        <f t="shared" si="69"/>
        <v>0</v>
      </c>
      <c r="S99" s="1">
        <f t="shared" si="69"/>
        <v>0</v>
      </c>
      <c r="T99" s="1">
        <f t="shared" si="69"/>
        <v>0</v>
      </c>
      <c r="U99" s="1">
        <f t="shared" si="69"/>
        <v>0</v>
      </c>
      <c r="V99" s="1">
        <f t="shared" si="69"/>
        <v>0</v>
      </c>
      <c r="W99" s="1">
        <f t="shared" si="69"/>
        <v>0</v>
      </c>
      <c r="X99" s="1">
        <f t="shared" si="69"/>
        <v>0</v>
      </c>
      <c r="Y99" s="1">
        <f t="shared" si="69"/>
        <v>0</v>
      </c>
      <c r="Z99" s="1">
        <f t="shared" si="69"/>
        <v>0</v>
      </c>
      <c r="AA99" s="1">
        <f t="shared" si="69"/>
        <v>0</v>
      </c>
      <c r="AB99" s="1">
        <f t="shared" si="69"/>
        <v>0</v>
      </c>
      <c r="AC99" s="1">
        <f t="shared" si="69"/>
        <v>0</v>
      </c>
      <c r="AD99" s="1">
        <f t="shared" si="69"/>
        <v>0</v>
      </c>
      <c r="AE99" s="1">
        <f t="shared" si="69"/>
        <v>0</v>
      </c>
      <c r="AF99" s="1">
        <f t="shared" si="69"/>
        <v>0</v>
      </c>
      <c r="AG99" s="1">
        <f t="shared" si="69"/>
        <v>0</v>
      </c>
      <c r="AH99" s="1">
        <f t="shared" si="69"/>
        <v>0</v>
      </c>
      <c r="AI99" s="1">
        <f t="shared" si="69"/>
        <v>0</v>
      </c>
      <c r="AJ99" s="1">
        <f t="shared" si="69"/>
        <v>0</v>
      </c>
      <c r="AK99" s="1">
        <f t="shared" si="69"/>
        <v>0</v>
      </c>
      <c r="AL99" s="1">
        <f t="shared" si="69"/>
        <v>0</v>
      </c>
      <c r="AM99" s="1">
        <f t="shared" si="69"/>
        <v>0</v>
      </c>
      <c r="AN99" s="1">
        <f t="shared" si="69"/>
        <v>0</v>
      </c>
      <c r="AO99" s="1">
        <f t="shared" si="69"/>
        <v>0</v>
      </c>
      <c r="AP99" s="1">
        <f t="shared" si="69"/>
        <v>0</v>
      </c>
      <c r="AQ99" s="1">
        <f t="shared" si="69"/>
        <v>0</v>
      </c>
      <c r="AR99" s="1">
        <f t="shared" si="69"/>
        <v>0</v>
      </c>
      <c r="AS99" s="1">
        <f t="shared" si="69"/>
        <v>0</v>
      </c>
      <c r="AT99" s="1">
        <f t="shared" si="69"/>
        <v>0</v>
      </c>
      <c r="AU99" s="1">
        <f t="shared" si="69"/>
        <v>0</v>
      </c>
      <c r="AV99" s="1">
        <f t="shared" si="69"/>
        <v>0</v>
      </c>
      <c r="AW99" s="1">
        <f t="shared" si="69"/>
        <v>0</v>
      </c>
      <c r="AX99" s="1">
        <f t="shared" si="69"/>
        <v>0</v>
      </c>
      <c r="AY99" s="1">
        <f t="shared" si="69"/>
        <v>0</v>
      </c>
      <c r="AZ99" s="1">
        <f t="shared" si="69"/>
        <v>0</v>
      </c>
      <c r="BA99" s="1">
        <f t="shared" si="69"/>
        <v>0</v>
      </c>
    </row>
    <row r="100" spans="1:54" ht="15.75" customHeight="1" x14ac:dyDescent="0.35">
      <c r="B100" s="5"/>
      <c r="C100" s="5"/>
      <c r="D100" s="5" t="s">
        <v>52</v>
      </c>
      <c r="E100" s="5"/>
      <c r="F100" s="5"/>
      <c r="G100" s="5"/>
      <c r="H100" s="5"/>
      <c r="I100" s="5"/>
      <c r="J100" s="5"/>
      <c r="K100" s="5"/>
      <c r="N100" s="1">
        <f t="shared" si="64"/>
        <v>0</v>
      </c>
      <c r="Q100" s="1">
        <f t="shared" ref="Q100:BA100" si="70">Q77</f>
        <v>0</v>
      </c>
      <c r="R100" s="1">
        <f t="shared" si="70"/>
        <v>0</v>
      </c>
      <c r="S100" s="1">
        <f t="shared" si="70"/>
        <v>0</v>
      </c>
      <c r="T100" s="1">
        <f t="shared" si="70"/>
        <v>0</v>
      </c>
      <c r="U100" s="1">
        <f t="shared" si="70"/>
        <v>0</v>
      </c>
      <c r="V100" s="1">
        <f t="shared" si="70"/>
        <v>0</v>
      </c>
      <c r="W100" s="1">
        <f t="shared" si="70"/>
        <v>0</v>
      </c>
      <c r="X100" s="1">
        <f t="shared" si="70"/>
        <v>0</v>
      </c>
      <c r="Y100" s="1">
        <f t="shared" si="70"/>
        <v>0</v>
      </c>
      <c r="Z100" s="1">
        <f t="shared" si="70"/>
        <v>0</v>
      </c>
      <c r="AA100" s="1">
        <f t="shared" si="70"/>
        <v>0</v>
      </c>
      <c r="AB100" s="1">
        <f t="shared" si="70"/>
        <v>0</v>
      </c>
      <c r="AC100" s="1">
        <f t="shared" si="70"/>
        <v>0</v>
      </c>
      <c r="AD100" s="1">
        <f t="shared" si="70"/>
        <v>0</v>
      </c>
      <c r="AE100" s="1">
        <f t="shared" si="70"/>
        <v>0</v>
      </c>
      <c r="AF100" s="1">
        <f t="shared" si="70"/>
        <v>0</v>
      </c>
      <c r="AG100" s="1">
        <f t="shared" si="70"/>
        <v>0</v>
      </c>
      <c r="AH100" s="1">
        <f t="shared" si="70"/>
        <v>0</v>
      </c>
      <c r="AI100" s="1">
        <f t="shared" si="70"/>
        <v>0</v>
      </c>
      <c r="AJ100" s="1">
        <f t="shared" si="70"/>
        <v>0</v>
      </c>
      <c r="AK100" s="1">
        <f t="shared" si="70"/>
        <v>0</v>
      </c>
      <c r="AL100" s="1">
        <f t="shared" si="70"/>
        <v>0</v>
      </c>
      <c r="AM100" s="1">
        <f t="shared" si="70"/>
        <v>0</v>
      </c>
      <c r="AN100" s="1">
        <f t="shared" si="70"/>
        <v>0</v>
      </c>
      <c r="AO100" s="1">
        <f t="shared" si="70"/>
        <v>0</v>
      </c>
      <c r="AP100" s="1">
        <f t="shared" si="70"/>
        <v>0</v>
      </c>
      <c r="AQ100" s="1">
        <f t="shared" si="70"/>
        <v>0</v>
      </c>
      <c r="AR100" s="1">
        <f t="shared" si="70"/>
        <v>0</v>
      </c>
      <c r="AS100" s="1">
        <f t="shared" si="70"/>
        <v>0</v>
      </c>
      <c r="AT100" s="1">
        <f t="shared" si="70"/>
        <v>0</v>
      </c>
      <c r="AU100" s="1">
        <f t="shared" si="70"/>
        <v>0</v>
      </c>
      <c r="AV100" s="1">
        <f t="shared" si="70"/>
        <v>0</v>
      </c>
      <c r="AW100" s="1">
        <f t="shared" si="70"/>
        <v>0</v>
      </c>
      <c r="AX100" s="1">
        <f t="shared" si="70"/>
        <v>0</v>
      </c>
      <c r="AY100" s="1">
        <f t="shared" si="70"/>
        <v>0</v>
      </c>
      <c r="AZ100" s="1">
        <f t="shared" si="70"/>
        <v>0</v>
      </c>
      <c r="BA100" s="1">
        <f t="shared" si="70"/>
        <v>0</v>
      </c>
    </row>
    <row r="101" spans="1:54" ht="15.75" customHeight="1" x14ac:dyDescent="0.35">
      <c r="B101" s="5"/>
      <c r="C101" s="5" t="s">
        <v>28</v>
      </c>
      <c r="D101" s="5"/>
      <c r="E101" s="5"/>
      <c r="F101" s="5"/>
      <c r="G101" s="5"/>
      <c r="H101" s="5"/>
      <c r="I101" s="5"/>
      <c r="J101" s="5"/>
      <c r="K101" s="5"/>
      <c r="N101" s="1">
        <f t="shared" si="64"/>
        <v>0</v>
      </c>
      <c r="Q101" s="1">
        <f t="shared" ref="Q101:BA101" si="71">SUM(Q102,Q105)</f>
        <v>0</v>
      </c>
      <c r="R101" s="1">
        <f t="shared" si="71"/>
        <v>0</v>
      </c>
      <c r="S101" s="1">
        <f t="shared" si="71"/>
        <v>0</v>
      </c>
      <c r="T101" s="1">
        <f t="shared" si="71"/>
        <v>0</v>
      </c>
      <c r="U101" s="1">
        <f t="shared" si="71"/>
        <v>0</v>
      </c>
      <c r="V101" s="1">
        <f t="shared" si="71"/>
        <v>0</v>
      </c>
      <c r="W101" s="1">
        <f t="shared" si="71"/>
        <v>0</v>
      </c>
      <c r="X101" s="1">
        <f t="shared" si="71"/>
        <v>0</v>
      </c>
      <c r="Y101" s="1">
        <f t="shared" si="71"/>
        <v>0</v>
      </c>
      <c r="Z101" s="1">
        <f t="shared" si="71"/>
        <v>0</v>
      </c>
      <c r="AA101" s="1">
        <f t="shared" si="71"/>
        <v>0</v>
      </c>
      <c r="AB101" s="1">
        <f t="shared" si="71"/>
        <v>0</v>
      </c>
      <c r="AC101" s="1">
        <f t="shared" si="71"/>
        <v>0</v>
      </c>
      <c r="AD101" s="1">
        <f t="shared" si="71"/>
        <v>0</v>
      </c>
      <c r="AE101" s="1">
        <f t="shared" si="71"/>
        <v>0</v>
      </c>
      <c r="AF101" s="1">
        <f t="shared" si="71"/>
        <v>0</v>
      </c>
      <c r="AG101" s="1">
        <f t="shared" si="71"/>
        <v>0</v>
      </c>
      <c r="AH101" s="1">
        <f t="shared" si="71"/>
        <v>0</v>
      </c>
      <c r="AI101" s="1">
        <f t="shared" si="71"/>
        <v>0</v>
      </c>
      <c r="AJ101" s="1">
        <f t="shared" si="71"/>
        <v>0</v>
      </c>
      <c r="AK101" s="1">
        <f t="shared" si="71"/>
        <v>0</v>
      </c>
      <c r="AL101" s="1">
        <f t="shared" si="71"/>
        <v>0</v>
      </c>
      <c r="AM101" s="1">
        <f t="shared" si="71"/>
        <v>0</v>
      </c>
      <c r="AN101" s="1">
        <f t="shared" si="71"/>
        <v>0</v>
      </c>
      <c r="AO101" s="1">
        <f t="shared" si="71"/>
        <v>0</v>
      </c>
      <c r="AP101" s="1">
        <f t="shared" si="71"/>
        <v>0</v>
      </c>
      <c r="AQ101" s="1">
        <f t="shared" si="71"/>
        <v>0</v>
      </c>
      <c r="AR101" s="1">
        <f t="shared" si="71"/>
        <v>0</v>
      </c>
      <c r="AS101" s="1">
        <f t="shared" si="71"/>
        <v>0</v>
      </c>
      <c r="AT101" s="1">
        <f t="shared" si="71"/>
        <v>0</v>
      </c>
      <c r="AU101" s="1">
        <f t="shared" si="71"/>
        <v>0</v>
      </c>
      <c r="AV101" s="1">
        <f t="shared" si="71"/>
        <v>0</v>
      </c>
      <c r="AW101" s="1">
        <f t="shared" si="71"/>
        <v>0</v>
      </c>
      <c r="AX101" s="1">
        <f t="shared" si="71"/>
        <v>0</v>
      </c>
      <c r="AY101" s="1">
        <f t="shared" si="71"/>
        <v>0</v>
      </c>
      <c r="AZ101" s="1">
        <f t="shared" si="71"/>
        <v>0</v>
      </c>
      <c r="BA101" s="1">
        <f t="shared" si="71"/>
        <v>0</v>
      </c>
    </row>
    <row r="102" spans="1:54" ht="15.75" customHeight="1" x14ac:dyDescent="0.35">
      <c r="B102" s="5"/>
      <c r="D102" s="5" t="s">
        <v>149</v>
      </c>
      <c r="E102" s="5"/>
      <c r="F102" s="5"/>
      <c r="G102" s="5"/>
      <c r="H102" s="5"/>
      <c r="I102" s="5"/>
      <c r="J102" s="5"/>
      <c r="K102" s="5"/>
      <c r="N102" s="1">
        <f t="shared" si="64"/>
        <v>0</v>
      </c>
      <c r="Q102" s="11">
        <f t="shared" ref="Q102:BA102" si="72">SUM(Q103:Q104)</f>
        <v>0</v>
      </c>
      <c r="R102" s="11">
        <f t="shared" si="72"/>
        <v>0</v>
      </c>
      <c r="S102" s="11">
        <f t="shared" si="72"/>
        <v>0</v>
      </c>
      <c r="T102" s="11">
        <f t="shared" si="72"/>
        <v>0</v>
      </c>
      <c r="U102" s="11">
        <f t="shared" si="72"/>
        <v>0</v>
      </c>
      <c r="V102" s="11">
        <f t="shared" si="72"/>
        <v>0</v>
      </c>
      <c r="W102" s="11">
        <f t="shared" si="72"/>
        <v>0</v>
      </c>
      <c r="X102" s="11">
        <f t="shared" si="72"/>
        <v>0</v>
      </c>
      <c r="Y102" s="11">
        <f t="shared" si="72"/>
        <v>0</v>
      </c>
      <c r="Z102" s="11">
        <f t="shared" si="72"/>
        <v>0</v>
      </c>
      <c r="AA102" s="11">
        <f t="shared" si="72"/>
        <v>0</v>
      </c>
      <c r="AB102" s="11">
        <f t="shared" si="72"/>
        <v>0</v>
      </c>
      <c r="AC102" s="11">
        <f t="shared" si="72"/>
        <v>0</v>
      </c>
      <c r="AD102" s="11">
        <f t="shared" si="72"/>
        <v>0</v>
      </c>
      <c r="AE102" s="11">
        <f t="shared" si="72"/>
        <v>0</v>
      </c>
      <c r="AF102" s="11">
        <f t="shared" si="72"/>
        <v>0</v>
      </c>
      <c r="AG102" s="11">
        <f t="shared" si="72"/>
        <v>0</v>
      </c>
      <c r="AH102" s="11">
        <f t="shared" si="72"/>
        <v>0</v>
      </c>
      <c r="AI102" s="11">
        <f t="shared" si="72"/>
        <v>0</v>
      </c>
      <c r="AJ102" s="11">
        <f t="shared" si="72"/>
        <v>0</v>
      </c>
      <c r="AK102" s="11">
        <f t="shared" si="72"/>
        <v>0</v>
      </c>
      <c r="AL102" s="11">
        <f t="shared" si="72"/>
        <v>0</v>
      </c>
      <c r="AM102" s="11">
        <f t="shared" si="72"/>
        <v>0</v>
      </c>
      <c r="AN102" s="11">
        <f t="shared" si="72"/>
        <v>0</v>
      </c>
      <c r="AO102" s="11">
        <f t="shared" si="72"/>
        <v>0</v>
      </c>
      <c r="AP102" s="11">
        <f t="shared" si="72"/>
        <v>0</v>
      </c>
      <c r="AQ102" s="11">
        <f t="shared" si="72"/>
        <v>0</v>
      </c>
      <c r="AR102" s="11">
        <f t="shared" si="72"/>
        <v>0</v>
      </c>
      <c r="AS102" s="11">
        <f t="shared" si="72"/>
        <v>0</v>
      </c>
      <c r="AT102" s="11">
        <f t="shared" si="72"/>
        <v>0</v>
      </c>
      <c r="AU102" s="11">
        <f t="shared" si="72"/>
        <v>0</v>
      </c>
      <c r="AV102" s="11">
        <f t="shared" si="72"/>
        <v>0</v>
      </c>
      <c r="AW102" s="11">
        <f t="shared" si="72"/>
        <v>0</v>
      </c>
      <c r="AX102" s="11">
        <f t="shared" si="72"/>
        <v>0</v>
      </c>
      <c r="AY102" s="11">
        <f t="shared" si="72"/>
        <v>0</v>
      </c>
      <c r="AZ102" s="11">
        <f t="shared" si="72"/>
        <v>0</v>
      </c>
      <c r="BA102" s="11">
        <f t="shared" si="72"/>
        <v>0</v>
      </c>
    </row>
    <row r="103" spans="1:54" ht="15.75" customHeight="1" x14ac:dyDescent="0.35">
      <c r="B103" s="5"/>
      <c r="D103" s="5"/>
      <c r="E103" s="5" t="s">
        <v>157</v>
      </c>
      <c r="F103" s="5"/>
      <c r="G103" s="5"/>
      <c r="H103" s="5"/>
      <c r="I103" s="5"/>
      <c r="J103" s="5"/>
      <c r="K103" s="5"/>
      <c r="N103" s="1">
        <f t="shared" si="64"/>
        <v>0</v>
      </c>
      <c r="Q103" s="11">
        <f>IFERROR(SUM($Q$80:Q$80)/SUM(OEt.w1)*OEt.w1,0)</f>
        <v>0</v>
      </c>
      <c r="R103" s="11">
        <f>IFERROR(SUM($Q$80:R$80)/SUM(OEt.w1)*OEt.w1,0)</f>
        <v>0</v>
      </c>
      <c r="S103" s="11">
        <f>IFERROR(SUM($Q$80:S$80)/SUM(OEt.w1)*OEt.w1,0)</f>
        <v>0</v>
      </c>
      <c r="T103" s="11">
        <f>IFERROR(SUM($Q$80:T$80)/SUM(OEt.w1)*OEt.w1,0)</f>
        <v>0</v>
      </c>
      <c r="U103" s="11">
        <f>IFERROR(SUM($Q$80:U$80)/SUM(OEt.w1)*OEt.w1,0)</f>
        <v>0</v>
      </c>
      <c r="V103" s="11">
        <f>IFERROR(SUM($Q$80:V$80)/SUM(OEt.w1)*OEt.w1,0)</f>
        <v>0</v>
      </c>
      <c r="W103" s="11">
        <f>IFERROR(SUM($Q$80:W$80)/SUM(OEt.w1)*OEt.w1,0)</f>
        <v>0</v>
      </c>
      <c r="X103" s="11">
        <f>IFERROR(SUM($Q$80:X$80)/SUM(OEt.w1)*OEt.w1,0)</f>
        <v>0</v>
      </c>
      <c r="Y103" s="11">
        <f>IFERROR(SUM($Q$80:Y$80)/SUM(OEt.w1)*OEt.w1,0)</f>
        <v>0</v>
      </c>
      <c r="Z103" s="11">
        <f>IFERROR(SUM($Q$80:Z$80)/SUM(OEt.w1)*OEt.w1,0)</f>
        <v>0</v>
      </c>
      <c r="AA103" s="11">
        <f>IFERROR(SUM($Q$80:AA$80)/SUM(OEt.w1)*OEt.w1,0)</f>
        <v>0</v>
      </c>
      <c r="AB103" s="11">
        <f>IFERROR(SUM($Q$80:AB$80)/SUM(OEt.w1)*OEt.w1,0)</f>
        <v>0</v>
      </c>
      <c r="AC103" s="11">
        <f>IFERROR(SUM($Q$80:AC$80)/SUM(OEt.w1)*OEt.w1,0)</f>
        <v>0</v>
      </c>
      <c r="AD103" s="11">
        <f>IFERROR(SUM($Q$80:AD$80)/SUM(OEt.w1)*OEt.w1,0)</f>
        <v>0</v>
      </c>
      <c r="AE103" s="11">
        <f>IFERROR(SUM($Q$80:AE$80)/SUM(OEt.w1)*OEt.w1,0)</f>
        <v>0</v>
      </c>
      <c r="AF103" s="11">
        <f>IFERROR(SUM($Q$80:AF$80)/SUM(OEt.w1)*OEt.w1,0)</f>
        <v>0</v>
      </c>
      <c r="AG103" s="11">
        <f>IFERROR(SUM($Q$80:AG$80)/SUM(OEt.w1)*OEt.w1,0)</f>
        <v>0</v>
      </c>
      <c r="AH103" s="11">
        <f>IFERROR(SUM($Q$80:AH$80)/SUM(OEt.w1)*OEt.w1,0)</f>
        <v>0</v>
      </c>
      <c r="AI103" s="11">
        <f>IFERROR(SUM($Q$80:AI$80)/SUM(OEt.w1)*OEt.w1,0)</f>
        <v>0</v>
      </c>
      <c r="AJ103" s="11">
        <f>IFERROR(SUM($Q$80:AJ$80)/SUM(OEt.w1)*OEt.w1,0)</f>
        <v>0</v>
      </c>
      <c r="AK103" s="11">
        <f>IFERROR(SUM($Q$80:AK$80)/SUM(OEt.w1)*OEt.w1,0)</f>
        <v>0</v>
      </c>
      <c r="AL103" s="11">
        <f>IFERROR(SUM($Q$80:AL$80)/SUM(OEt.w1)*OEt.w1,0)</f>
        <v>0</v>
      </c>
      <c r="AM103" s="11">
        <f>IFERROR(SUM($Q$80:AM$80)/SUM(OEt.w1)*OEt.w1,0)</f>
        <v>0</v>
      </c>
      <c r="AN103" s="11">
        <f>IFERROR(SUM($Q$80:AN$80)/SUM(OEt.w1)*OEt.w1,0)</f>
        <v>0</v>
      </c>
      <c r="AO103" s="11">
        <f>IFERROR(SUM($Q$80:AO$80)/SUM(OEt.w1)*OEt.w1,0)</f>
        <v>0</v>
      </c>
      <c r="AP103" s="11">
        <f>IFERROR(SUM($Q$80:AP$80)/SUM(OEt.w1)*OEt.w1,0)</f>
        <v>0</v>
      </c>
      <c r="AQ103" s="11">
        <f>IFERROR(SUM($Q$80:AQ$80)/SUM(OEt.w1)*OEt.w1,0)</f>
        <v>0</v>
      </c>
      <c r="AR103" s="11">
        <f>IFERROR(SUM($Q$80:AR$80)/SUM(OEt.w1)*OEt.w1,0)</f>
        <v>0</v>
      </c>
      <c r="AS103" s="11">
        <f>IFERROR(SUM($Q$80:AS$80)/SUM(OEt.w1)*OEt.w1,0)</f>
        <v>0</v>
      </c>
      <c r="AT103" s="11">
        <f>IFERROR(SUM($Q$80:AT$80)/SUM(OEt.w1)*OEt.w1,0)</f>
        <v>0</v>
      </c>
      <c r="AU103" s="11">
        <f>IFERROR(SUM($Q$80:AU$80)/SUM(OEt.w1)*OEt.w1,0)</f>
        <v>0</v>
      </c>
      <c r="AV103" s="11">
        <f>IFERROR(SUM($Q$80:AV$80)/SUM(OEt.w1)*OEt.w1,0)</f>
        <v>0</v>
      </c>
      <c r="AW103" s="11">
        <f>IFERROR(SUM($Q$80:AW$80)/SUM(OEt.w1)*OEt.w1,0)</f>
        <v>0</v>
      </c>
      <c r="AX103" s="11">
        <f>IFERROR(SUM($Q$80:AX$80)/SUM(OEt.w1)*OEt.w1,0)</f>
        <v>0</v>
      </c>
      <c r="AY103" s="11">
        <f>IFERROR(SUM($Q$80:AY$80)/SUM(OEt.w1)*OEt.w1,0)</f>
        <v>0</v>
      </c>
      <c r="AZ103" s="11">
        <f>IFERROR(SUM($Q$80:AZ$80)/SUM(OEt.w1)*OEt.w1,0)</f>
        <v>0</v>
      </c>
      <c r="BA103" s="11">
        <f>IFERROR(SUM($Q$80:BA$80)/SUM(OEt.w1)*OEt.w1,0)</f>
        <v>0</v>
      </c>
    </row>
    <row r="104" spans="1:54" ht="15.75" customHeight="1" x14ac:dyDescent="0.35">
      <c r="B104" s="5"/>
      <c r="D104" s="5"/>
      <c r="E104" s="5" t="s">
        <v>158</v>
      </c>
      <c r="F104" s="5"/>
      <c r="G104" s="5"/>
      <c r="H104" s="5"/>
      <c r="I104" s="5"/>
      <c r="J104" s="5"/>
      <c r="K104" s="5"/>
      <c r="N104" s="1">
        <f t="shared" si="64"/>
        <v>0</v>
      </c>
      <c r="Q104" s="11">
        <f t="shared" ref="Q104:BA104" si="73">Q168</f>
        <v>0</v>
      </c>
      <c r="R104" s="11">
        <f t="shared" si="73"/>
        <v>0</v>
      </c>
      <c r="S104" s="11">
        <f t="shared" si="73"/>
        <v>0</v>
      </c>
      <c r="T104" s="11">
        <f t="shared" si="73"/>
        <v>0</v>
      </c>
      <c r="U104" s="11">
        <f t="shared" si="73"/>
        <v>0</v>
      </c>
      <c r="V104" s="11">
        <f t="shared" si="73"/>
        <v>0</v>
      </c>
      <c r="W104" s="11">
        <f t="shared" si="73"/>
        <v>0</v>
      </c>
      <c r="X104" s="11">
        <f t="shared" si="73"/>
        <v>0</v>
      </c>
      <c r="Y104" s="11">
        <f t="shared" si="73"/>
        <v>0</v>
      </c>
      <c r="Z104" s="11">
        <f t="shared" si="73"/>
        <v>0</v>
      </c>
      <c r="AA104" s="11">
        <f t="shared" si="73"/>
        <v>0</v>
      </c>
      <c r="AB104" s="11">
        <f t="shared" si="73"/>
        <v>0</v>
      </c>
      <c r="AC104" s="11">
        <f t="shared" si="73"/>
        <v>0</v>
      </c>
      <c r="AD104" s="11">
        <f t="shared" si="73"/>
        <v>0</v>
      </c>
      <c r="AE104" s="11">
        <f t="shared" si="73"/>
        <v>0</v>
      </c>
      <c r="AF104" s="11">
        <f t="shared" si="73"/>
        <v>0</v>
      </c>
      <c r="AG104" s="11">
        <f t="shared" si="73"/>
        <v>0</v>
      </c>
      <c r="AH104" s="11">
        <f t="shared" si="73"/>
        <v>0</v>
      </c>
      <c r="AI104" s="11">
        <f t="shared" si="73"/>
        <v>0</v>
      </c>
      <c r="AJ104" s="11">
        <f t="shared" si="73"/>
        <v>0</v>
      </c>
      <c r="AK104" s="11">
        <f t="shared" si="73"/>
        <v>0</v>
      </c>
      <c r="AL104" s="11">
        <f t="shared" si="73"/>
        <v>0</v>
      </c>
      <c r="AM104" s="11">
        <f t="shared" si="73"/>
        <v>0</v>
      </c>
      <c r="AN104" s="11">
        <f t="shared" si="73"/>
        <v>0</v>
      </c>
      <c r="AO104" s="11">
        <f t="shared" si="73"/>
        <v>0</v>
      </c>
      <c r="AP104" s="11">
        <f t="shared" si="73"/>
        <v>0</v>
      </c>
      <c r="AQ104" s="11">
        <f t="shared" si="73"/>
        <v>0</v>
      </c>
      <c r="AR104" s="11">
        <f t="shared" si="73"/>
        <v>0</v>
      </c>
      <c r="AS104" s="11">
        <f t="shared" si="73"/>
        <v>0</v>
      </c>
      <c r="AT104" s="11">
        <f t="shared" si="73"/>
        <v>0</v>
      </c>
      <c r="AU104" s="11">
        <f t="shared" si="73"/>
        <v>0</v>
      </c>
      <c r="AV104" s="11">
        <f t="shared" si="73"/>
        <v>0</v>
      </c>
      <c r="AW104" s="11">
        <f t="shared" si="73"/>
        <v>0</v>
      </c>
      <c r="AX104" s="11">
        <f t="shared" si="73"/>
        <v>0</v>
      </c>
      <c r="AY104" s="11">
        <f t="shared" si="73"/>
        <v>0</v>
      </c>
      <c r="AZ104" s="11">
        <f t="shared" si="73"/>
        <v>0</v>
      </c>
      <c r="BA104" s="11">
        <f t="shared" si="73"/>
        <v>0</v>
      </c>
    </row>
    <row r="105" spans="1:54" ht="15.75" customHeight="1" x14ac:dyDescent="0.35">
      <c r="B105" s="5"/>
      <c r="C105" s="5"/>
      <c r="D105" s="5" t="s">
        <v>155</v>
      </c>
      <c r="E105" s="5"/>
      <c r="F105" s="5"/>
      <c r="G105" s="5"/>
      <c r="H105" s="5"/>
      <c r="I105" s="5"/>
      <c r="J105" s="5"/>
      <c r="K105" s="5"/>
      <c r="N105" s="1">
        <f t="shared" si="64"/>
        <v>0</v>
      </c>
      <c r="Q105" s="1">
        <f t="shared" ref="Q105:BA105" si="74">SUM(Q106:Q107)</f>
        <v>0</v>
      </c>
      <c r="R105" s="1">
        <f t="shared" si="74"/>
        <v>0</v>
      </c>
      <c r="S105" s="1">
        <f t="shared" si="74"/>
        <v>0</v>
      </c>
      <c r="T105" s="1">
        <f t="shared" si="74"/>
        <v>0</v>
      </c>
      <c r="U105" s="1">
        <f t="shared" si="74"/>
        <v>0</v>
      </c>
      <c r="V105" s="1">
        <f t="shared" si="74"/>
        <v>0</v>
      </c>
      <c r="W105" s="1">
        <f t="shared" si="74"/>
        <v>0</v>
      </c>
      <c r="X105" s="1">
        <f t="shared" si="74"/>
        <v>0</v>
      </c>
      <c r="Y105" s="1">
        <f t="shared" si="74"/>
        <v>0</v>
      </c>
      <c r="Z105" s="1">
        <f t="shared" si="74"/>
        <v>0</v>
      </c>
      <c r="AA105" s="1">
        <f t="shared" si="74"/>
        <v>0</v>
      </c>
      <c r="AB105" s="1">
        <f t="shared" si="74"/>
        <v>0</v>
      </c>
      <c r="AC105" s="1">
        <f t="shared" si="74"/>
        <v>0</v>
      </c>
      <c r="AD105" s="1">
        <f t="shared" si="74"/>
        <v>0</v>
      </c>
      <c r="AE105" s="1">
        <f t="shared" si="74"/>
        <v>0</v>
      </c>
      <c r="AF105" s="1">
        <f t="shared" si="74"/>
        <v>0</v>
      </c>
      <c r="AG105" s="1">
        <f t="shared" si="74"/>
        <v>0</v>
      </c>
      <c r="AH105" s="1">
        <f t="shared" si="74"/>
        <v>0</v>
      </c>
      <c r="AI105" s="1">
        <f t="shared" si="74"/>
        <v>0</v>
      </c>
      <c r="AJ105" s="1">
        <f t="shared" si="74"/>
        <v>0</v>
      </c>
      <c r="AK105" s="1">
        <f t="shared" si="74"/>
        <v>0</v>
      </c>
      <c r="AL105" s="1">
        <f t="shared" si="74"/>
        <v>0</v>
      </c>
      <c r="AM105" s="1">
        <f t="shared" si="74"/>
        <v>0</v>
      </c>
      <c r="AN105" s="1">
        <f t="shared" si="74"/>
        <v>0</v>
      </c>
      <c r="AO105" s="1">
        <f t="shared" si="74"/>
        <v>0</v>
      </c>
      <c r="AP105" s="1">
        <f t="shared" si="74"/>
        <v>0</v>
      </c>
      <c r="AQ105" s="1">
        <f t="shared" si="74"/>
        <v>0</v>
      </c>
      <c r="AR105" s="1">
        <f t="shared" si="74"/>
        <v>0</v>
      </c>
      <c r="AS105" s="1">
        <f t="shared" si="74"/>
        <v>0</v>
      </c>
      <c r="AT105" s="1">
        <f t="shared" si="74"/>
        <v>0</v>
      </c>
      <c r="AU105" s="1">
        <f t="shared" si="74"/>
        <v>0</v>
      </c>
      <c r="AV105" s="1">
        <f t="shared" si="74"/>
        <v>0</v>
      </c>
      <c r="AW105" s="1">
        <f t="shared" si="74"/>
        <v>0</v>
      </c>
      <c r="AX105" s="1">
        <f t="shared" si="74"/>
        <v>0</v>
      </c>
      <c r="AY105" s="1">
        <f t="shared" si="74"/>
        <v>0</v>
      </c>
      <c r="AZ105" s="1">
        <f t="shared" si="74"/>
        <v>0</v>
      </c>
      <c r="BA105" s="1">
        <f t="shared" si="74"/>
        <v>0</v>
      </c>
    </row>
    <row r="106" spans="1:54" ht="15.75" customHeight="1" x14ac:dyDescent="0.35">
      <c r="B106" s="5"/>
      <c r="D106" s="5"/>
      <c r="E106" s="5" t="s">
        <v>6</v>
      </c>
      <c r="F106" s="5"/>
      <c r="G106" s="5"/>
      <c r="H106" s="5"/>
      <c r="I106" s="5"/>
      <c r="J106" s="5"/>
      <c r="K106" s="5"/>
      <c r="N106" s="1">
        <f t="shared" si="64"/>
        <v>0</v>
      </c>
      <c r="Q106" s="1">
        <f t="shared" ref="Q106:BA106" si="75">Q157</f>
        <v>0</v>
      </c>
      <c r="R106" s="1">
        <f t="shared" si="75"/>
        <v>0</v>
      </c>
      <c r="S106" s="1">
        <f t="shared" si="75"/>
        <v>0</v>
      </c>
      <c r="T106" s="1">
        <f t="shared" si="75"/>
        <v>0</v>
      </c>
      <c r="U106" s="1">
        <f t="shared" si="75"/>
        <v>0</v>
      </c>
      <c r="V106" s="1">
        <f t="shared" si="75"/>
        <v>0</v>
      </c>
      <c r="W106" s="1">
        <f t="shared" si="75"/>
        <v>0</v>
      </c>
      <c r="X106" s="1">
        <f t="shared" si="75"/>
        <v>0</v>
      </c>
      <c r="Y106" s="1">
        <f t="shared" si="75"/>
        <v>0</v>
      </c>
      <c r="Z106" s="1">
        <f t="shared" si="75"/>
        <v>0</v>
      </c>
      <c r="AA106" s="1">
        <f t="shared" si="75"/>
        <v>0</v>
      </c>
      <c r="AB106" s="1">
        <f t="shared" si="75"/>
        <v>0</v>
      </c>
      <c r="AC106" s="1">
        <f t="shared" si="75"/>
        <v>0</v>
      </c>
      <c r="AD106" s="1">
        <f t="shared" si="75"/>
        <v>0</v>
      </c>
      <c r="AE106" s="1">
        <f t="shared" si="75"/>
        <v>0</v>
      </c>
      <c r="AF106" s="1">
        <f t="shared" si="75"/>
        <v>0</v>
      </c>
      <c r="AG106" s="1">
        <f t="shared" si="75"/>
        <v>0</v>
      </c>
      <c r="AH106" s="1">
        <f t="shared" si="75"/>
        <v>0</v>
      </c>
      <c r="AI106" s="1">
        <f t="shared" si="75"/>
        <v>0</v>
      </c>
      <c r="AJ106" s="1">
        <f t="shared" si="75"/>
        <v>0</v>
      </c>
      <c r="AK106" s="1">
        <f t="shared" si="75"/>
        <v>0</v>
      </c>
      <c r="AL106" s="1">
        <f t="shared" si="75"/>
        <v>0</v>
      </c>
      <c r="AM106" s="1">
        <f t="shared" si="75"/>
        <v>0</v>
      </c>
      <c r="AN106" s="1">
        <f t="shared" si="75"/>
        <v>0</v>
      </c>
      <c r="AO106" s="1">
        <f t="shared" si="75"/>
        <v>0</v>
      </c>
      <c r="AP106" s="1">
        <f t="shared" si="75"/>
        <v>0</v>
      </c>
      <c r="AQ106" s="1">
        <f t="shared" si="75"/>
        <v>0</v>
      </c>
      <c r="AR106" s="1">
        <f t="shared" si="75"/>
        <v>0</v>
      </c>
      <c r="AS106" s="1">
        <f t="shared" si="75"/>
        <v>0</v>
      </c>
      <c r="AT106" s="1">
        <f t="shared" si="75"/>
        <v>0</v>
      </c>
      <c r="AU106" s="1">
        <f t="shared" si="75"/>
        <v>0</v>
      </c>
      <c r="AV106" s="1">
        <f t="shared" si="75"/>
        <v>0</v>
      </c>
      <c r="AW106" s="1">
        <f t="shared" si="75"/>
        <v>0</v>
      </c>
      <c r="AX106" s="1">
        <f t="shared" si="75"/>
        <v>0</v>
      </c>
      <c r="AY106" s="1">
        <f t="shared" si="75"/>
        <v>0</v>
      </c>
      <c r="AZ106" s="1">
        <f t="shared" si="75"/>
        <v>0</v>
      </c>
      <c r="BA106" s="1">
        <f t="shared" si="75"/>
        <v>0</v>
      </c>
    </row>
    <row r="107" spans="1:54" ht="15.75" customHeight="1" x14ac:dyDescent="0.35">
      <c r="B107" s="5"/>
      <c r="D107" s="5"/>
      <c r="E107" s="5" t="s">
        <v>142</v>
      </c>
      <c r="F107" s="5"/>
      <c r="G107" s="5"/>
      <c r="H107" s="5"/>
      <c r="I107" s="5"/>
      <c r="J107" s="5"/>
      <c r="K107" s="5"/>
      <c r="N107" s="1">
        <f t="shared" si="64"/>
        <v>0</v>
      </c>
      <c r="Q107" s="1">
        <f t="shared" ref="Q107:BA107" si="76">Q158</f>
        <v>0</v>
      </c>
      <c r="R107" s="1">
        <f t="shared" si="76"/>
        <v>0</v>
      </c>
      <c r="S107" s="1">
        <f t="shared" si="76"/>
        <v>0</v>
      </c>
      <c r="T107" s="1">
        <f t="shared" si="76"/>
        <v>0</v>
      </c>
      <c r="U107" s="1">
        <f t="shared" si="76"/>
        <v>0</v>
      </c>
      <c r="V107" s="1">
        <f t="shared" si="76"/>
        <v>0</v>
      </c>
      <c r="W107" s="1">
        <f t="shared" si="76"/>
        <v>0</v>
      </c>
      <c r="X107" s="1">
        <f t="shared" si="76"/>
        <v>0</v>
      </c>
      <c r="Y107" s="1">
        <f t="shared" si="76"/>
        <v>0</v>
      </c>
      <c r="Z107" s="1">
        <f t="shared" si="76"/>
        <v>0</v>
      </c>
      <c r="AA107" s="1">
        <f t="shared" si="76"/>
        <v>0</v>
      </c>
      <c r="AB107" s="1">
        <f t="shared" si="76"/>
        <v>0</v>
      </c>
      <c r="AC107" s="1">
        <f t="shared" si="76"/>
        <v>0</v>
      </c>
      <c r="AD107" s="1">
        <f t="shared" si="76"/>
        <v>0</v>
      </c>
      <c r="AE107" s="1">
        <f t="shared" si="76"/>
        <v>0</v>
      </c>
      <c r="AF107" s="1">
        <f t="shared" si="76"/>
        <v>0</v>
      </c>
      <c r="AG107" s="1">
        <f t="shared" si="76"/>
        <v>0</v>
      </c>
      <c r="AH107" s="1">
        <f t="shared" si="76"/>
        <v>0</v>
      </c>
      <c r="AI107" s="1">
        <f t="shared" si="76"/>
        <v>0</v>
      </c>
      <c r="AJ107" s="1">
        <f t="shared" si="76"/>
        <v>0</v>
      </c>
      <c r="AK107" s="1">
        <f t="shared" si="76"/>
        <v>0</v>
      </c>
      <c r="AL107" s="1">
        <f t="shared" si="76"/>
        <v>0</v>
      </c>
      <c r="AM107" s="1">
        <f t="shared" si="76"/>
        <v>0</v>
      </c>
      <c r="AN107" s="1">
        <f t="shared" si="76"/>
        <v>0</v>
      </c>
      <c r="AO107" s="1">
        <f t="shared" si="76"/>
        <v>0</v>
      </c>
      <c r="AP107" s="1">
        <f t="shared" si="76"/>
        <v>0</v>
      </c>
      <c r="AQ107" s="1">
        <f t="shared" si="76"/>
        <v>0</v>
      </c>
      <c r="AR107" s="1">
        <f t="shared" si="76"/>
        <v>0</v>
      </c>
      <c r="AS107" s="1">
        <f t="shared" si="76"/>
        <v>0</v>
      </c>
      <c r="AT107" s="1">
        <f t="shared" si="76"/>
        <v>0</v>
      </c>
      <c r="AU107" s="1">
        <f t="shared" si="76"/>
        <v>0</v>
      </c>
      <c r="AV107" s="1">
        <f t="shared" si="76"/>
        <v>0</v>
      </c>
      <c r="AW107" s="1">
        <f t="shared" si="76"/>
        <v>0</v>
      </c>
      <c r="AX107" s="1">
        <f t="shared" si="76"/>
        <v>0</v>
      </c>
      <c r="AY107" s="1">
        <f t="shared" si="76"/>
        <v>0</v>
      </c>
      <c r="AZ107" s="1">
        <f t="shared" si="76"/>
        <v>0</v>
      </c>
      <c r="BA107" s="1">
        <f t="shared" si="76"/>
        <v>0</v>
      </c>
    </row>
    <row r="108" spans="1:54" x14ac:dyDescent="0.35">
      <c r="C108" s="5"/>
    </row>
    <row r="109" spans="1:54" ht="15.75" customHeight="1" thickBot="1" x14ac:dyDescent="0.4">
      <c r="A109" s="44" t="s">
        <v>29</v>
      </c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5"/>
    </row>
    <row r="110" spans="1:54" ht="15" thickTop="1" x14ac:dyDescent="0.35">
      <c r="C110" s="5"/>
    </row>
    <row r="111" spans="1:54" ht="15.75" customHeight="1" x14ac:dyDescent="0.35">
      <c r="B111" s="8" t="s">
        <v>14</v>
      </c>
      <c r="C111" s="9"/>
      <c r="D111" s="9"/>
      <c r="E111" s="9"/>
      <c r="F111" s="9"/>
      <c r="G111" s="9"/>
      <c r="H111" s="9"/>
      <c r="I111" s="9"/>
      <c r="J111" s="9"/>
      <c r="K111" s="9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</row>
    <row r="112" spans="1:54" ht="15.75" customHeight="1" x14ac:dyDescent="0.35">
      <c r="C112" s="5" t="s">
        <v>26</v>
      </c>
      <c r="D112" s="5"/>
      <c r="E112" s="5"/>
      <c r="F112" s="5"/>
      <c r="G112" s="5"/>
      <c r="H112" s="5"/>
      <c r="I112" s="5"/>
      <c r="J112" s="5"/>
      <c r="K112" s="5"/>
      <c r="N112" s="11">
        <f>Q112</f>
        <v>0</v>
      </c>
      <c r="Q112" s="14">
        <v>0</v>
      </c>
      <c r="R112" s="11">
        <f t="shared" ref="R112:BA112" si="77">Q117</f>
        <v>0</v>
      </c>
      <c r="S112" s="11">
        <f t="shared" si="77"/>
        <v>0</v>
      </c>
      <c r="T112" s="11">
        <f t="shared" si="77"/>
        <v>0</v>
      </c>
      <c r="U112" s="11">
        <f t="shared" si="77"/>
        <v>0</v>
      </c>
      <c r="V112" s="11">
        <f t="shared" si="77"/>
        <v>0</v>
      </c>
      <c r="W112" s="11">
        <f t="shared" si="77"/>
        <v>0</v>
      </c>
      <c r="X112" s="11">
        <f t="shared" si="77"/>
        <v>0</v>
      </c>
      <c r="Y112" s="11">
        <f t="shared" si="77"/>
        <v>0</v>
      </c>
      <c r="Z112" s="11">
        <f t="shared" si="77"/>
        <v>0</v>
      </c>
      <c r="AA112" s="11">
        <f t="shared" si="77"/>
        <v>0</v>
      </c>
      <c r="AB112" s="11">
        <f t="shared" si="77"/>
        <v>0</v>
      </c>
      <c r="AC112" s="11">
        <f t="shared" si="77"/>
        <v>0</v>
      </c>
      <c r="AD112" s="11">
        <f t="shared" si="77"/>
        <v>0</v>
      </c>
      <c r="AE112" s="11">
        <f t="shared" si="77"/>
        <v>0</v>
      </c>
      <c r="AF112" s="11">
        <f t="shared" si="77"/>
        <v>0</v>
      </c>
      <c r="AG112" s="11">
        <f t="shared" si="77"/>
        <v>0</v>
      </c>
      <c r="AH112" s="11">
        <f t="shared" si="77"/>
        <v>0</v>
      </c>
      <c r="AI112" s="11">
        <f t="shared" si="77"/>
        <v>0</v>
      </c>
      <c r="AJ112" s="11">
        <f t="shared" si="77"/>
        <v>0</v>
      </c>
      <c r="AK112" s="11">
        <f t="shared" si="77"/>
        <v>0</v>
      </c>
      <c r="AL112" s="11">
        <f t="shared" si="77"/>
        <v>0</v>
      </c>
      <c r="AM112" s="11">
        <f t="shared" si="77"/>
        <v>0</v>
      </c>
      <c r="AN112" s="11">
        <f t="shared" si="77"/>
        <v>0</v>
      </c>
      <c r="AO112" s="11">
        <f t="shared" si="77"/>
        <v>0</v>
      </c>
      <c r="AP112" s="11">
        <f t="shared" si="77"/>
        <v>0</v>
      </c>
      <c r="AQ112" s="11">
        <f t="shared" si="77"/>
        <v>0</v>
      </c>
      <c r="AR112" s="11">
        <f t="shared" si="77"/>
        <v>0</v>
      </c>
      <c r="AS112" s="11">
        <f t="shared" si="77"/>
        <v>0</v>
      </c>
      <c r="AT112" s="11">
        <f t="shared" si="77"/>
        <v>0</v>
      </c>
      <c r="AU112" s="11">
        <f t="shared" si="77"/>
        <v>0</v>
      </c>
      <c r="AV112" s="11">
        <f t="shared" si="77"/>
        <v>0</v>
      </c>
      <c r="AW112" s="11">
        <f t="shared" si="77"/>
        <v>0</v>
      </c>
      <c r="AX112" s="11">
        <f t="shared" si="77"/>
        <v>0</v>
      </c>
      <c r="AY112" s="11">
        <f t="shared" si="77"/>
        <v>0</v>
      </c>
      <c r="AZ112" s="11">
        <f t="shared" si="77"/>
        <v>0</v>
      </c>
      <c r="BA112" s="11">
        <f t="shared" si="77"/>
        <v>0</v>
      </c>
    </row>
    <row r="113" spans="2:53" ht="15.75" customHeight="1" x14ac:dyDescent="0.35">
      <c r="B113" s="5"/>
      <c r="C113" s="5"/>
      <c r="D113" s="5" t="s">
        <v>105</v>
      </c>
      <c r="E113" s="5"/>
      <c r="F113" s="5"/>
      <c r="G113" s="5"/>
      <c r="H113" s="5"/>
      <c r="I113" s="5"/>
      <c r="J113" s="5"/>
      <c r="K113" s="5"/>
      <c r="N113" s="1">
        <f>SUM(Q113:BA113)</f>
        <v>0</v>
      </c>
      <c r="Q113" s="1">
        <f t="shared" ref="Q113:BA113" si="78">Q181</f>
        <v>0</v>
      </c>
      <c r="R113" s="1">
        <f t="shared" si="78"/>
        <v>0</v>
      </c>
      <c r="S113" s="1">
        <f t="shared" si="78"/>
        <v>0</v>
      </c>
      <c r="T113" s="1">
        <f t="shared" si="78"/>
        <v>0</v>
      </c>
      <c r="U113" s="1">
        <f t="shared" si="78"/>
        <v>0</v>
      </c>
      <c r="V113" s="1">
        <f t="shared" si="78"/>
        <v>0</v>
      </c>
      <c r="W113" s="1">
        <f t="shared" si="78"/>
        <v>0</v>
      </c>
      <c r="X113" s="1">
        <f t="shared" si="78"/>
        <v>0</v>
      </c>
      <c r="Y113" s="1">
        <f t="shared" si="78"/>
        <v>0</v>
      </c>
      <c r="Z113" s="1">
        <f t="shared" si="78"/>
        <v>0</v>
      </c>
      <c r="AA113" s="1">
        <f t="shared" si="78"/>
        <v>0</v>
      </c>
      <c r="AB113" s="1">
        <f t="shared" si="78"/>
        <v>0</v>
      </c>
      <c r="AC113" s="1">
        <f t="shared" si="78"/>
        <v>0</v>
      </c>
      <c r="AD113" s="1">
        <f t="shared" si="78"/>
        <v>0</v>
      </c>
      <c r="AE113" s="1">
        <f t="shared" si="78"/>
        <v>0</v>
      </c>
      <c r="AF113" s="1">
        <f t="shared" si="78"/>
        <v>0</v>
      </c>
      <c r="AG113" s="1">
        <f t="shared" si="78"/>
        <v>0</v>
      </c>
      <c r="AH113" s="1">
        <f t="shared" si="78"/>
        <v>0</v>
      </c>
      <c r="AI113" s="1">
        <f t="shared" si="78"/>
        <v>0</v>
      </c>
      <c r="AJ113" s="1">
        <f t="shared" si="78"/>
        <v>0</v>
      </c>
      <c r="AK113" s="1">
        <f t="shared" si="78"/>
        <v>0</v>
      </c>
      <c r="AL113" s="1">
        <f t="shared" si="78"/>
        <v>0</v>
      </c>
      <c r="AM113" s="1">
        <f t="shared" si="78"/>
        <v>0</v>
      </c>
      <c r="AN113" s="1">
        <f t="shared" si="78"/>
        <v>0</v>
      </c>
      <c r="AO113" s="1">
        <f t="shared" si="78"/>
        <v>0</v>
      </c>
      <c r="AP113" s="1">
        <f t="shared" si="78"/>
        <v>0</v>
      </c>
      <c r="AQ113" s="1">
        <f t="shared" si="78"/>
        <v>0</v>
      </c>
      <c r="AR113" s="1">
        <f t="shared" si="78"/>
        <v>0</v>
      </c>
      <c r="AS113" s="1">
        <f t="shared" si="78"/>
        <v>0</v>
      </c>
      <c r="AT113" s="1">
        <f t="shared" si="78"/>
        <v>0</v>
      </c>
      <c r="AU113" s="1">
        <f t="shared" si="78"/>
        <v>0</v>
      </c>
      <c r="AV113" s="1">
        <f t="shared" si="78"/>
        <v>0</v>
      </c>
      <c r="AW113" s="1">
        <f t="shared" si="78"/>
        <v>0</v>
      </c>
      <c r="AX113" s="1">
        <f t="shared" si="78"/>
        <v>0</v>
      </c>
      <c r="AY113" s="1">
        <f t="shared" si="78"/>
        <v>0</v>
      </c>
      <c r="AZ113" s="1">
        <f t="shared" si="78"/>
        <v>0</v>
      </c>
      <c r="BA113" s="1">
        <f t="shared" si="78"/>
        <v>0</v>
      </c>
    </row>
    <row r="114" spans="2:53" ht="15.75" customHeight="1" x14ac:dyDescent="0.35">
      <c r="B114" s="5"/>
      <c r="C114" s="5"/>
      <c r="D114" s="5" t="s">
        <v>46</v>
      </c>
      <c r="E114" s="5"/>
      <c r="F114" s="5"/>
      <c r="G114" s="5"/>
      <c r="H114" s="5"/>
      <c r="I114" s="5"/>
      <c r="J114" s="5"/>
      <c r="K114" s="5"/>
      <c r="N114" s="1">
        <f>SUM(Q114:BA114)</f>
        <v>0</v>
      </c>
      <c r="Q114" s="1">
        <f t="shared" ref="Q114:BA114" si="79">Q21</f>
        <v>0</v>
      </c>
      <c r="R114" s="1">
        <f t="shared" si="79"/>
        <v>0</v>
      </c>
      <c r="S114" s="1">
        <f t="shared" si="79"/>
        <v>0</v>
      </c>
      <c r="T114" s="1">
        <f t="shared" si="79"/>
        <v>0</v>
      </c>
      <c r="U114" s="1">
        <f t="shared" si="79"/>
        <v>0</v>
      </c>
      <c r="V114" s="1">
        <f t="shared" si="79"/>
        <v>0</v>
      </c>
      <c r="W114" s="1">
        <f t="shared" si="79"/>
        <v>0</v>
      </c>
      <c r="X114" s="1">
        <f t="shared" si="79"/>
        <v>0</v>
      </c>
      <c r="Y114" s="1">
        <f t="shared" si="79"/>
        <v>0</v>
      </c>
      <c r="Z114" s="1">
        <f t="shared" si="79"/>
        <v>0</v>
      </c>
      <c r="AA114" s="1">
        <f t="shared" si="79"/>
        <v>0</v>
      </c>
      <c r="AB114" s="1">
        <f t="shared" si="79"/>
        <v>0</v>
      </c>
      <c r="AC114" s="1">
        <f t="shared" si="79"/>
        <v>0</v>
      </c>
      <c r="AD114" s="1">
        <f t="shared" si="79"/>
        <v>0</v>
      </c>
      <c r="AE114" s="1">
        <f t="shared" si="79"/>
        <v>0</v>
      </c>
      <c r="AF114" s="1">
        <f t="shared" si="79"/>
        <v>0</v>
      </c>
      <c r="AG114" s="1">
        <f t="shared" si="79"/>
        <v>0</v>
      </c>
      <c r="AH114" s="1">
        <f t="shared" si="79"/>
        <v>0</v>
      </c>
      <c r="AI114" s="1">
        <f t="shared" si="79"/>
        <v>0</v>
      </c>
      <c r="AJ114" s="1">
        <f t="shared" si="79"/>
        <v>0</v>
      </c>
      <c r="AK114" s="1">
        <f t="shared" si="79"/>
        <v>0</v>
      </c>
      <c r="AL114" s="1">
        <f t="shared" si="79"/>
        <v>0</v>
      </c>
      <c r="AM114" s="1">
        <f t="shared" si="79"/>
        <v>0</v>
      </c>
      <c r="AN114" s="1">
        <f t="shared" si="79"/>
        <v>0</v>
      </c>
      <c r="AO114" s="1">
        <f t="shared" si="79"/>
        <v>0</v>
      </c>
      <c r="AP114" s="1">
        <f t="shared" si="79"/>
        <v>0</v>
      </c>
      <c r="AQ114" s="1">
        <f t="shared" si="79"/>
        <v>0</v>
      </c>
      <c r="AR114" s="1">
        <f t="shared" si="79"/>
        <v>0</v>
      </c>
      <c r="AS114" s="1">
        <f t="shared" si="79"/>
        <v>0</v>
      </c>
      <c r="AT114" s="1">
        <f t="shared" si="79"/>
        <v>0</v>
      </c>
      <c r="AU114" s="1">
        <f t="shared" si="79"/>
        <v>0</v>
      </c>
      <c r="AV114" s="1">
        <f t="shared" si="79"/>
        <v>0</v>
      </c>
      <c r="AW114" s="1">
        <f t="shared" si="79"/>
        <v>0</v>
      </c>
      <c r="AX114" s="1">
        <f t="shared" si="79"/>
        <v>0</v>
      </c>
      <c r="AY114" s="1">
        <f t="shared" si="79"/>
        <v>0</v>
      </c>
      <c r="AZ114" s="1">
        <f t="shared" si="79"/>
        <v>0</v>
      </c>
      <c r="BA114" s="1">
        <f t="shared" si="79"/>
        <v>0</v>
      </c>
    </row>
    <row r="115" spans="2:53" ht="15.75" customHeight="1" x14ac:dyDescent="0.35">
      <c r="B115" s="5"/>
      <c r="C115" s="5"/>
      <c r="D115" s="5" t="s">
        <v>47</v>
      </c>
      <c r="E115" s="5"/>
      <c r="F115" s="5"/>
      <c r="G115" s="5"/>
      <c r="H115" s="5"/>
      <c r="I115" s="5"/>
      <c r="J115" s="5"/>
      <c r="K115" s="5"/>
      <c r="N115" s="1">
        <f>SUM(Q115:BA115)</f>
        <v>0</v>
      </c>
      <c r="Q115" s="1">
        <f t="shared" ref="Q115:BA115" si="80">Q194</f>
        <v>0</v>
      </c>
      <c r="R115" s="1">
        <f t="shared" si="80"/>
        <v>0</v>
      </c>
      <c r="S115" s="1">
        <f t="shared" si="80"/>
        <v>0</v>
      </c>
      <c r="T115" s="1">
        <f t="shared" si="80"/>
        <v>0</v>
      </c>
      <c r="U115" s="1">
        <f t="shared" si="80"/>
        <v>0</v>
      </c>
      <c r="V115" s="1">
        <f t="shared" si="80"/>
        <v>0</v>
      </c>
      <c r="W115" s="1">
        <f t="shared" si="80"/>
        <v>0</v>
      </c>
      <c r="X115" s="1">
        <f t="shared" si="80"/>
        <v>0</v>
      </c>
      <c r="Y115" s="1">
        <f t="shared" si="80"/>
        <v>0</v>
      </c>
      <c r="Z115" s="1">
        <f t="shared" si="80"/>
        <v>0</v>
      </c>
      <c r="AA115" s="1">
        <f t="shared" si="80"/>
        <v>0</v>
      </c>
      <c r="AB115" s="1">
        <f t="shared" si="80"/>
        <v>0</v>
      </c>
      <c r="AC115" s="1">
        <f t="shared" si="80"/>
        <v>0</v>
      </c>
      <c r="AD115" s="1">
        <f t="shared" si="80"/>
        <v>0</v>
      </c>
      <c r="AE115" s="1">
        <f t="shared" si="80"/>
        <v>0</v>
      </c>
      <c r="AF115" s="1">
        <f t="shared" si="80"/>
        <v>0</v>
      </c>
      <c r="AG115" s="1">
        <f t="shared" si="80"/>
        <v>0</v>
      </c>
      <c r="AH115" s="1">
        <f t="shared" si="80"/>
        <v>0</v>
      </c>
      <c r="AI115" s="1">
        <f t="shared" si="80"/>
        <v>0</v>
      </c>
      <c r="AJ115" s="1">
        <f t="shared" si="80"/>
        <v>0</v>
      </c>
      <c r="AK115" s="1">
        <f t="shared" si="80"/>
        <v>0</v>
      </c>
      <c r="AL115" s="1">
        <f t="shared" si="80"/>
        <v>0</v>
      </c>
      <c r="AM115" s="1">
        <f t="shared" si="80"/>
        <v>0</v>
      </c>
      <c r="AN115" s="1">
        <f t="shared" si="80"/>
        <v>0</v>
      </c>
      <c r="AO115" s="1">
        <f t="shared" si="80"/>
        <v>0</v>
      </c>
      <c r="AP115" s="1">
        <f t="shared" si="80"/>
        <v>0</v>
      </c>
      <c r="AQ115" s="1">
        <f t="shared" si="80"/>
        <v>0</v>
      </c>
      <c r="AR115" s="1">
        <f t="shared" si="80"/>
        <v>0</v>
      </c>
      <c r="AS115" s="1">
        <f t="shared" si="80"/>
        <v>0</v>
      </c>
      <c r="AT115" s="1">
        <f t="shared" si="80"/>
        <v>0</v>
      </c>
      <c r="AU115" s="1">
        <f t="shared" si="80"/>
        <v>0</v>
      </c>
      <c r="AV115" s="1">
        <f t="shared" si="80"/>
        <v>0</v>
      </c>
      <c r="AW115" s="1">
        <f t="shared" si="80"/>
        <v>0</v>
      </c>
      <c r="AX115" s="1">
        <f t="shared" si="80"/>
        <v>0</v>
      </c>
      <c r="AY115" s="1">
        <f t="shared" si="80"/>
        <v>0</v>
      </c>
      <c r="AZ115" s="1">
        <f t="shared" si="80"/>
        <v>0</v>
      </c>
      <c r="BA115" s="1">
        <f t="shared" si="80"/>
        <v>0</v>
      </c>
    </row>
    <row r="116" spans="2:53" ht="15.75" customHeight="1" x14ac:dyDescent="0.35">
      <c r="B116" s="5"/>
      <c r="C116" s="5"/>
      <c r="D116" s="5" t="s">
        <v>48</v>
      </c>
      <c r="E116" s="5"/>
      <c r="F116" s="5"/>
      <c r="G116" s="5"/>
      <c r="H116" s="5"/>
      <c r="I116" s="5"/>
      <c r="J116" s="5"/>
      <c r="K116" s="5"/>
      <c r="N116" s="1">
        <f>SUM(Q116:BA116)</f>
        <v>0</v>
      </c>
      <c r="Q116" s="1">
        <f t="shared" ref="Q116:BA116" si="81">Q200</f>
        <v>0</v>
      </c>
      <c r="R116" s="1">
        <f t="shared" si="81"/>
        <v>0</v>
      </c>
      <c r="S116" s="1">
        <f t="shared" si="81"/>
        <v>0</v>
      </c>
      <c r="T116" s="1">
        <f t="shared" si="81"/>
        <v>0</v>
      </c>
      <c r="U116" s="1">
        <f t="shared" si="81"/>
        <v>0</v>
      </c>
      <c r="V116" s="1">
        <f t="shared" si="81"/>
        <v>0</v>
      </c>
      <c r="W116" s="1">
        <f t="shared" si="81"/>
        <v>0</v>
      </c>
      <c r="X116" s="1">
        <f t="shared" si="81"/>
        <v>0</v>
      </c>
      <c r="Y116" s="1">
        <f t="shared" si="81"/>
        <v>0</v>
      </c>
      <c r="Z116" s="1">
        <f t="shared" si="81"/>
        <v>0</v>
      </c>
      <c r="AA116" s="1">
        <f t="shared" si="81"/>
        <v>0</v>
      </c>
      <c r="AB116" s="1">
        <f t="shared" si="81"/>
        <v>0</v>
      </c>
      <c r="AC116" s="1">
        <f t="shared" si="81"/>
        <v>0</v>
      </c>
      <c r="AD116" s="1">
        <f t="shared" si="81"/>
        <v>0</v>
      </c>
      <c r="AE116" s="1">
        <f t="shared" si="81"/>
        <v>0</v>
      </c>
      <c r="AF116" s="1">
        <f t="shared" si="81"/>
        <v>0</v>
      </c>
      <c r="AG116" s="1">
        <f t="shared" si="81"/>
        <v>0</v>
      </c>
      <c r="AH116" s="1">
        <f t="shared" si="81"/>
        <v>0</v>
      </c>
      <c r="AI116" s="1">
        <f t="shared" si="81"/>
        <v>0</v>
      </c>
      <c r="AJ116" s="1">
        <f t="shared" si="81"/>
        <v>0</v>
      </c>
      <c r="AK116" s="1">
        <f t="shared" si="81"/>
        <v>0</v>
      </c>
      <c r="AL116" s="1">
        <f t="shared" si="81"/>
        <v>0</v>
      </c>
      <c r="AM116" s="1">
        <f t="shared" si="81"/>
        <v>0</v>
      </c>
      <c r="AN116" s="1">
        <f t="shared" si="81"/>
        <v>0</v>
      </c>
      <c r="AO116" s="1">
        <f t="shared" si="81"/>
        <v>0</v>
      </c>
      <c r="AP116" s="1">
        <f t="shared" si="81"/>
        <v>0</v>
      </c>
      <c r="AQ116" s="1">
        <f t="shared" si="81"/>
        <v>0</v>
      </c>
      <c r="AR116" s="1">
        <f t="shared" si="81"/>
        <v>0</v>
      </c>
      <c r="AS116" s="1">
        <f t="shared" si="81"/>
        <v>0</v>
      </c>
      <c r="AT116" s="1">
        <f t="shared" si="81"/>
        <v>0</v>
      </c>
      <c r="AU116" s="1">
        <f t="shared" si="81"/>
        <v>0</v>
      </c>
      <c r="AV116" s="1">
        <f t="shared" si="81"/>
        <v>0</v>
      </c>
      <c r="AW116" s="1">
        <f t="shared" si="81"/>
        <v>0</v>
      </c>
      <c r="AX116" s="1">
        <f t="shared" si="81"/>
        <v>0</v>
      </c>
      <c r="AY116" s="1">
        <f t="shared" si="81"/>
        <v>0</v>
      </c>
      <c r="AZ116" s="1">
        <f t="shared" si="81"/>
        <v>0</v>
      </c>
      <c r="BA116" s="1">
        <f t="shared" si="81"/>
        <v>0</v>
      </c>
    </row>
    <row r="117" spans="2:53" ht="15.75" customHeight="1" x14ac:dyDescent="0.35">
      <c r="C117" s="5" t="s">
        <v>27</v>
      </c>
      <c r="D117" s="5"/>
      <c r="E117" s="5"/>
      <c r="F117" s="5"/>
      <c r="G117" s="5"/>
      <c r="H117" s="5"/>
      <c r="I117" s="5"/>
      <c r="J117" s="5"/>
      <c r="K117" s="5"/>
      <c r="N117" s="1">
        <f>BA117</f>
        <v>0</v>
      </c>
      <c r="Q117" s="1">
        <f t="shared" ref="Q117:BA117" si="82">SUM(Q112:Q116)</f>
        <v>0</v>
      </c>
      <c r="R117" s="1">
        <f t="shared" si="82"/>
        <v>0</v>
      </c>
      <c r="S117" s="1">
        <f t="shared" si="82"/>
        <v>0</v>
      </c>
      <c r="T117" s="1">
        <f t="shared" si="82"/>
        <v>0</v>
      </c>
      <c r="U117" s="1">
        <f t="shared" si="82"/>
        <v>0</v>
      </c>
      <c r="V117" s="1">
        <f t="shared" si="82"/>
        <v>0</v>
      </c>
      <c r="W117" s="1">
        <f t="shared" si="82"/>
        <v>0</v>
      </c>
      <c r="X117" s="1">
        <f t="shared" si="82"/>
        <v>0</v>
      </c>
      <c r="Y117" s="1">
        <f t="shared" si="82"/>
        <v>0</v>
      </c>
      <c r="Z117" s="1">
        <f t="shared" si="82"/>
        <v>0</v>
      </c>
      <c r="AA117" s="1">
        <f t="shared" si="82"/>
        <v>0</v>
      </c>
      <c r="AB117" s="1">
        <f t="shared" si="82"/>
        <v>0</v>
      </c>
      <c r="AC117" s="1">
        <f t="shared" si="82"/>
        <v>0</v>
      </c>
      <c r="AD117" s="1">
        <f t="shared" si="82"/>
        <v>0</v>
      </c>
      <c r="AE117" s="1">
        <f t="shared" si="82"/>
        <v>0</v>
      </c>
      <c r="AF117" s="1">
        <f t="shared" si="82"/>
        <v>0</v>
      </c>
      <c r="AG117" s="1">
        <f t="shared" si="82"/>
        <v>0</v>
      </c>
      <c r="AH117" s="1">
        <f t="shared" si="82"/>
        <v>0</v>
      </c>
      <c r="AI117" s="1">
        <f t="shared" si="82"/>
        <v>0</v>
      </c>
      <c r="AJ117" s="1">
        <f t="shared" si="82"/>
        <v>0</v>
      </c>
      <c r="AK117" s="1">
        <f t="shared" si="82"/>
        <v>0</v>
      </c>
      <c r="AL117" s="1">
        <f t="shared" si="82"/>
        <v>0</v>
      </c>
      <c r="AM117" s="1">
        <f t="shared" si="82"/>
        <v>0</v>
      </c>
      <c r="AN117" s="1">
        <f t="shared" si="82"/>
        <v>0</v>
      </c>
      <c r="AO117" s="1">
        <f t="shared" si="82"/>
        <v>0</v>
      </c>
      <c r="AP117" s="1">
        <f t="shared" si="82"/>
        <v>0</v>
      </c>
      <c r="AQ117" s="1">
        <f t="shared" si="82"/>
        <v>0</v>
      </c>
      <c r="AR117" s="1">
        <f t="shared" si="82"/>
        <v>0</v>
      </c>
      <c r="AS117" s="1">
        <f t="shared" si="82"/>
        <v>0</v>
      </c>
      <c r="AT117" s="1">
        <f t="shared" si="82"/>
        <v>0</v>
      </c>
      <c r="AU117" s="1">
        <f t="shared" si="82"/>
        <v>0</v>
      </c>
      <c r="AV117" s="1">
        <f t="shared" si="82"/>
        <v>0</v>
      </c>
      <c r="AW117" s="1">
        <f t="shared" si="82"/>
        <v>0</v>
      </c>
      <c r="AX117" s="1">
        <f t="shared" si="82"/>
        <v>0</v>
      </c>
      <c r="AY117" s="1">
        <f t="shared" si="82"/>
        <v>0</v>
      </c>
      <c r="AZ117" s="1">
        <f t="shared" si="82"/>
        <v>0</v>
      </c>
      <c r="BA117" s="1">
        <f t="shared" si="82"/>
        <v>0</v>
      </c>
    </row>
    <row r="118" spans="2:53" x14ac:dyDescent="0.35">
      <c r="C118" s="5"/>
    </row>
    <row r="119" spans="2:53" ht="17.25" customHeight="1" x14ac:dyDescent="0.35">
      <c r="C119" s="8" t="s">
        <v>118</v>
      </c>
      <c r="D119" s="8"/>
      <c r="E119" s="9"/>
      <c r="F119" s="9"/>
      <c r="G119" s="9"/>
      <c r="H119" s="9"/>
      <c r="I119" s="9"/>
      <c r="J119" s="9"/>
      <c r="K119" s="9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</row>
    <row r="120" spans="2:53" ht="15.75" customHeight="1" x14ac:dyDescent="0.35">
      <c r="D120" s="2" t="s">
        <v>26</v>
      </c>
      <c r="E120" s="5"/>
      <c r="F120" s="5"/>
      <c r="G120" s="5"/>
      <c r="H120" s="5"/>
      <c r="I120" s="5"/>
      <c r="J120" s="5"/>
      <c r="K120" s="5"/>
      <c r="N120" s="11">
        <f>Q120</f>
        <v>0</v>
      </c>
      <c r="Q120" s="14">
        <v>0</v>
      </c>
      <c r="R120" s="11">
        <f t="shared" ref="R120:BA120" si="83">Q130</f>
        <v>0</v>
      </c>
      <c r="S120" s="11">
        <f t="shared" si="83"/>
        <v>0</v>
      </c>
      <c r="T120" s="11">
        <f t="shared" si="83"/>
        <v>0</v>
      </c>
      <c r="U120" s="11">
        <f t="shared" si="83"/>
        <v>0</v>
      </c>
      <c r="V120" s="11">
        <f t="shared" si="83"/>
        <v>0</v>
      </c>
      <c r="W120" s="11">
        <f t="shared" si="83"/>
        <v>0</v>
      </c>
      <c r="X120" s="11">
        <f t="shared" si="83"/>
        <v>0</v>
      </c>
      <c r="Y120" s="11">
        <f t="shared" si="83"/>
        <v>0</v>
      </c>
      <c r="Z120" s="11">
        <f t="shared" si="83"/>
        <v>0</v>
      </c>
      <c r="AA120" s="11">
        <f t="shared" si="83"/>
        <v>0</v>
      </c>
      <c r="AB120" s="11">
        <f t="shared" si="83"/>
        <v>0</v>
      </c>
      <c r="AC120" s="11">
        <f t="shared" si="83"/>
        <v>0</v>
      </c>
      <c r="AD120" s="11">
        <f t="shared" si="83"/>
        <v>0</v>
      </c>
      <c r="AE120" s="11">
        <f t="shared" si="83"/>
        <v>0</v>
      </c>
      <c r="AF120" s="11">
        <f t="shared" si="83"/>
        <v>0</v>
      </c>
      <c r="AG120" s="11">
        <f t="shared" si="83"/>
        <v>0</v>
      </c>
      <c r="AH120" s="11">
        <f t="shared" si="83"/>
        <v>0</v>
      </c>
      <c r="AI120" s="11">
        <f t="shared" si="83"/>
        <v>0</v>
      </c>
      <c r="AJ120" s="11">
        <f t="shared" si="83"/>
        <v>0</v>
      </c>
      <c r="AK120" s="11">
        <f t="shared" si="83"/>
        <v>0</v>
      </c>
      <c r="AL120" s="11">
        <f t="shared" si="83"/>
        <v>0</v>
      </c>
      <c r="AM120" s="11">
        <f t="shared" si="83"/>
        <v>0</v>
      </c>
      <c r="AN120" s="11">
        <f t="shared" si="83"/>
        <v>0</v>
      </c>
      <c r="AO120" s="11">
        <f t="shared" si="83"/>
        <v>0</v>
      </c>
      <c r="AP120" s="11">
        <f t="shared" si="83"/>
        <v>0</v>
      </c>
      <c r="AQ120" s="11">
        <f t="shared" si="83"/>
        <v>0</v>
      </c>
      <c r="AR120" s="11">
        <f t="shared" si="83"/>
        <v>0</v>
      </c>
      <c r="AS120" s="11">
        <f t="shared" si="83"/>
        <v>0</v>
      </c>
      <c r="AT120" s="11">
        <f t="shared" si="83"/>
        <v>0</v>
      </c>
      <c r="AU120" s="11">
        <f t="shared" si="83"/>
        <v>0</v>
      </c>
      <c r="AV120" s="11">
        <f t="shared" si="83"/>
        <v>0</v>
      </c>
      <c r="AW120" s="11">
        <f t="shared" si="83"/>
        <v>0</v>
      </c>
      <c r="AX120" s="11">
        <f t="shared" si="83"/>
        <v>0</v>
      </c>
      <c r="AY120" s="11">
        <f t="shared" si="83"/>
        <v>0</v>
      </c>
      <c r="AZ120" s="11">
        <f t="shared" si="83"/>
        <v>0</v>
      </c>
      <c r="BA120" s="11">
        <f t="shared" si="83"/>
        <v>0</v>
      </c>
    </row>
    <row r="121" spans="2:53" ht="15.75" customHeight="1" x14ac:dyDescent="0.35">
      <c r="E121" s="5" t="s">
        <v>30</v>
      </c>
      <c r="F121" s="5"/>
      <c r="G121" s="5"/>
      <c r="H121" s="5"/>
      <c r="I121" s="5"/>
      <c r="J121" s="5"/>
      <c r="K121" s="5"/>
      <c r="N121" s="1">
        <f t="shared" ref="N121:N129" si="84">SUM(Q121:BA121)</f>
        <v>0</v>
      </c>
      <c r="Q121" s="1">
        <f t="shared" ref="Q121:BA121" si="85">SUM(Q122:Q125)</f>
        <v>0</v>
      </c>
      <c r="R121" s="1">
        <f t="shared" si="85"/>
        <v>0</v>
      </c>
      <c r="S121" s="1">
        <f t="shared" si="85"/>
        <v>0</v>
      </c>
      <c r="T121" s="1">
        <f t="shared" si="85"/>
        <v>0</v>
      </c>
      <c r="U121" s="1">
        <f t="shared" si="85"/>
        <v>0</v>
      </c>
      <c r="V121" s="1">
        <f t="shared" si="85"/>
        <v>0</v>
      </c>
      <c r="W121" s="1">
        <f t="shared" si="85"/>
        <v>0</v>
      </c>
      <c r="X121" s="1">
        <f t="shared" si="85"/>
        <v>0</v>
      </c>
      <c r="Y121" s="1">
        <f t="shared" si="85"/>
        <v>0</v>
      </c>
      <c r="Z121" s="1">
        <f t="shared" si="85"/>
        <v>0</v>
      </c>
      <c r="AA121" s="1">
        <f t="shared" si="85"/>
        <v>0</v>
      </c>
      <c r="AB121" s="1">
        <f t="shared" si="85"/>
        <v>0</v>
      </c>
      <c r="AC121" s="1">
        <f t="shared" si="85"/>
        <v>0</v>
      </c>
      <c r="AD121" s="1">
        <f t="shared" si="85"/>
        <v>0</v>
      </c>
      <c r="AE121" s="1">
        <f t="shared" si="85"/>
        <v>0</v>
      </c>
      <c r="AF121" s="1">
        <f t="shared" si="85"/>
        <v>0</v>
      </c>
      <c r="AG121" s="1">
        <f t="shared" si="85"/>
        <v>0</v>
      </c>
      <c r="AH121" s="1">
        <f t="shared" si="85"/>
        <v>0</v>
      </c>
      <c r="AI121" s="1">
        <f t="shared" si="85"/>
        <v>0</v>
      </c>
      <c r="AJ121" s="1">
        <f t="shared" si="85"/>
        <v>0</v>
      </c>
      <c r="AK121" s="1">
        <f t="shared" si="85"/>
        <v>0</v>
      </c>
      <c r="AL121" s="1">
        <f t="shared" si="85"/>
        <v>0</v>
      </c>
      <c r="AM121" s="1">
        <f t="shared" si="85"/>
        <v>0</v>
      </c>
      <c r="AN121" s="1">
        <f t="shared" si="85"/>
        <v>0</v>
      </c>
      <c r="AO121" s="1">
        <f t="shared" si="85"/>
        <v>0</v>
      </c>
      <c r="AP121" s="1">
        <f t="shared" si="85"/>
        <v>0</v>
      </c>
      <c r="AQ121" s="1">
        <f t="shared" si="85"/>
        <v>0</v>
      </c>
      <c r="AR121" s="1">
        <f t="shared" si="85"/>
        <v>0</v>
      </c>
      <c r="AS121" s="1">
        <f t="shared" si="85"/>
        <v>0</v>
      </c>
      <c r="AT121" s="1">
        <f t="shared" si="85"/>
        <v>0</v>
      </c>
      <c r="AU121" s="1">
        <f t="shared" si="85"/>
        <v>0</v>
      </c>
      <c r="AV121" s="1">
        <f t="shared" si="85"/>
        <v>0</v>
      </c>
      <c r="AW121" s="1">
        <f t="shared" si="85"/>
        <v>0</v>
      </c>
      <c r="AX121" s="1">
        <f t="shared" si="85"/>
        <v>0</v>
      </c>
      <c r="AY121" s="1">
        <f t="shared" si="85"/>
        <v>0</v>
      </c>
      <c r="AZ121" s="1">
        <f t="shared" si="85"/>
        <v>0</v>
      </c>
      <c r="BA121" s="1">
        <f t="shared" si="85"/>
        <v>0</v>
      </c>
    </row>
    <row r="122" spans="2:53" ht="15.75" customHeight="1" x14ac:dyDescent="0.35">
      <c r="F122" s="5" t="s">
        <v>67</v>
      </c>
      <c r="G122" s="5"/>
      <c r="H122" s="5"/>
      <c r="I122" s="5"/>
      <c r="J122" s="5"/>
      <c r="K122" s="5"/>
      <c r="N122" s="1">
        <f t="shared" si="84"/>
        <v>0</v>
      </c>
      <c r="Q122" s="1">
        <f t="shared" ref="Q122:BA122" si="86">Q183</f>
        <v>0</v>
      </c>
      <c r="R122" s="1">
        <f t="shared" si="86"/>
        <v>0</v>
      </c>
      <c r="S122" s="1">
        <f t="shared" si="86"/>
        <v>0</v>
      </c>
      <c r="T122" s="1">
        <f t="shared" si="86"/>
        <v>0</v>
      </c>
      <c r="U122" s="1">
        <f t="shared" si="86"/>
        <v>0</v>
      </c>
      <c r="V122" s="1">
        <f t="shared" si="86"/>
        <v>0</v>
      </c>
      <c r="W122" s="1">
        <f t="shared" si="86"/>
        <v>0</v>
      </c>
      <c r="X122" s="1">
        <f t="shared" si="86"/>
        <v>0</v>
      </c>
      <c r="Y122" s="1">
        <f t="shared" si="86"/>
        <v>0</v>
      </c>
      <c r="Z122" s="1">
        <f t="shared" si="86"/>
        <v>0</v>
      </c>
      <c r="AA122" s="1">
        <f t="shared" si="86"/>
        <v>0</v>
      </c>
      <c r="AB122" s="1">
        <f t="shared" si="86"/>
        <v>0</v>
      </c>
      <c r="AC122" s="1">
        <f t="shared" si="86"/>
        <v>0</v>
      </c>
      <c r="AD122" s="1">
        <f t="shared" si="86"/>
        <v>0</v>
      </c>
      <c r="AE122" s="1">
        <f t="shared" si="86"/>
        <v>0</v>
      </c>
      <c r="AF122" s="1">
        <f t="shared" si="86"/>
        <v>0</v>
      </c>
      <c r="AG122" s="1">
        <f t="shared" si="86"/>
        <v>0</v>
      </c>
      <c r="AH122" s="1">
        <f t="shared" si="86"/>
        <v>0</v>
      </c>
      <c r="AI122" s="1">
        <f t="shared" si="86"/>
        <v>0</v>
      </c>
      <c r="AJ122" s="1">
        <f t="shared" si="86"/>
        <v>0</v>
      </c>
      <c r="AK122" s="1">
        <f t="shared" si="86"/>
        <v>0</v>
      </c>
      <c r="AL122" s="1">
        <f t="shared" si="86"/>
        <v>0</v>
      </c>
      <c r="AM122" s="1">
        <f t="shared" si="86"/>
        <v>0</v>
      </c>
      <c r="AN122" s="1">
        <f t="shared" si="86"/>
        <v>0</v>
      </c>
      <c r="AO122" s="1">
        <f t="shared" si="86"/>
        <v>0</v>
      </c>
      <c r="AP122" s="1">
        <f t="shared" si="86"/>
        <v>0</v>
      </c>
      <c r="AQ122" s="1">
        <f t="shared" si="86"/>
        <v>0</v>
      </c>
      <c r="AR122" s="1">
        <f t="shared" si="86"/>
        <v>0</v>
      </c>
      <c r="AS122" s="1">
        <f t="shared" si="86"/>
        <v>0</v>
      </c>
      <c r="AT122" s="1">
        <f t="shared" si="86"/>
        <v>0</v>
      </c>
      <c r="AU122" s="1">
        <f t="shared" si="86"/>
        <v>0</v>
      </c>
      <c r="AV122" s="1">
        <f t="shared" si="86"/>
        <v>0</v>
      </c>
      <c r="AW122" s="1">
        <f t="shared" si="86"/>
        <v>0</v>
      </c>
      <c r="AX122" s="1">
        <f t="shared" si="86"/>
        <v>0</v>
      </c>
      <c r="AY122" s="1">
        <f t="shared" si="86"/>
        <v>0</v>
      </c>
      <c r="AZ122" s="1">
        <f t="shared" si="86"/>
        <v>0</v>
      </c>
      <c r="BA122" s="1">
        <f t="shared" si="86"/>
        <v>0</v>
      </c>
    </row>
    <row r="123" spans="2:53" ht="15.75" customHeight="1" x14ac:dyDescent="0.35">
      <c r="F123" s="5" t="s">
        <v>71</v>
      </c>
      <c r="G123" s="5"/>
      <c r="H123" s="5"/>
      <c r="I123" s="5"/>
      <c r="J123" s="5"/>
      <c r="K123" s="5"/>
      <c r="N123" s="1">
        <f t="shared" si="84"/>
        <v>0</v>
      </c>
      <c r="Q123" s="1">
        <f>SUM($Q$175:$BA$175)*'zakładka techniczna'!$N$20*'zakładka techniczna'!$N$25*OPp.w1</f>
        <v>0</v>
      </c>
      <c r="R123" s="1">
        <f>SUM($Q$175:$BA$175)*'zakładka techniczna'!$N$20*'zakładka techniczna'!$N$25*OPp.w1</f>
        <v>0</v>
      </c>
      <c r="S123" s="1">
        <f>SUM($Q$175:$BA$175)*'zakładka techniczna'!$N$20*'zakładka techniczna'!$N$25*OPp.w1</f>
        <v>0</v>
      </c>
      <c r="T123" s="1">
        <f>SUM($Q$175:$BA$175)*'zakładka techniczna'!$N$20*'zakładka techniczna'!$N$25*OPp.w1</f>
        <v>0</v>
      </c>
      <c r="U123" s="1">
        <f>SUM($Q$175:$BA$175)*'zakładka techniczna'!$N$20*'zakładka techniczna'!$N$25*OPp.w1</f>
        <v>0</v>
      </c>
      <c r="V123" s="1">
        <f>SUM($Q$175:$BA$175)*'zakładka techniczna'!$N$20*'zakładka techniczna'!$N$25*OPp.w1</f>
        <v>0</v>
      </c>
      <c r="W123" s="1">
        <f>SUM($Q$175:$BA$175)*'zakładka techniczna'!$N$20*'zakładka techniczna'!$N$25*OPp.w1</f>
        <v>0</v>
      </c>
      <c r="X123" s="1">
        <f>SUM($Q$175:$BA$175)*'zakładka techniczna'!$N$20*'zakładka techniczna'!$N$25*OPp.w1</f>
        <v>0</v>
      </c>
      <c r="Y123" s="1">
        <f>SUM($Q$175:$BA$175)*'zakładka techniczna'!$N$20*'zakładka techniczna'!$N$25*OPp.w1</f>
        <v>0</v>
      </c>
      <c r="Z123" s="1">
        <f>SUM($Q$175:$BA$175)*'zakładka techniczna'!$N$20*'zakładka techniczna'!$N$25*OPp.w1</f>
        <v>0</v>
      </c>
      <c r="AA123" s="1">
        <f>SUM($Q$175:$BA$175)*'zakładka techniczna'!$N$20*'zakładka techniczna'!$N$25*OPp.w1</f>
        <v>0</v>
      </c>
      <c r="AB123" s="1">
        <f>SUM($Q$175:$BA$175)*'zakładka techniczna'!$N$20*'zakładka techniczna'!$N$25*OPp.w1</f>
        <v>0</v>
      </c>
      <c r="AC123" s="1">
        <f>SUM($Q$175:$BA$175)*'zakładka techniczna'!$N$20*'zakładka techniczna'!$N$25*OPp.w1</f>
        <v>0</v>
      </c>
      <c r="AD123" s="1">
        <f>SUM($Q$175:$BA$175)*'zakładka techniczna'!$N$20*'zakładka techniczna'!$N$25*OPp.w1</f>
        <v>0</v>
      </c>
      <c r="AE123" s="1">
        <f>SUM($Q$175:$BA$175)*'zakładka techniczna'!$N$20*'zakładka techniczna'!$N$25*OPp.w1</f>
        <v>0</v>
      </c>
      <c r="AF123" s="1">
        <f>SUM($Q$175:$BA$175)*'zakładka techniczna'!$N$20*'zakładka techniczna'!$N$25*OPp.w1</f>
        <v>0</v>
      </c>
      <c r="AG123" s="1">
        <f>SUM($Q$175:$BA$175)*'zakładka techniczna'!$N$20*'zakładka techniczna'!$N$25*OPp.w1</f>
        <v>0</v>
      </c>
      <c r="AH123" s="1">
        <f>SUM($Q$175:$BA$175)*'zakładka techniczna'!$N$20*'zakładka techniczna'!$N$25*OPp.w1</f>
        <v>0</v>
      </c>
      <c r="AI123" s="1">
        <f>SUM($Q$175:$BA$175)*'zakładka techniczna'!$N$20*'zakładka techniczna'!$N$25*OPp.w1</f>
        <v>0</v>
      </c>
      <c r="AJ123" s="1">
        <f>SUM($Q$175:$BA$175)*'zakładka techniczna'!$N$20*'zakładka techniczna'!$N$25*OPp.w1</f>
        <v>0</v>
      </c>
      <c r="AK123" s="1">
        <f>SUM($Q$175:$BA$175)*'zakładka techniczna'!$N$20*'zakładka techniczna'!$N$25*OPp.w1</f>
        <v>0</v>
      </c>
      <c r="AL123" s="1">
        <f>SUM($Q$175:$BA$175)*'zakładka techniczna'!$N$20*'zakładka techniczna'!$N$25*OPp.w1</f>
        <v>0</v>
      </c>
      <c r="AM123" s="1">
        <f>SUM($Q$175:$BA$175)*'zakładka techniczna'!$N$20*'zakładka techniczna'!$N$25*OPp.w1</f>
        <v>0</v>
      </c>
      <c r="AN123" s="1">
        <f>SUM($Q$175:$BA$175)*'zakładka techniczna'!$N$20*'zakładka techniczna'!$N$25*OPp.w1</f>
        <v>0</v>
      </c>
      <c r="AO123" s="1">
        <f>SUM($Q$175:$BA$175)*'zakładka techniczna'!$N$20*'zakładka techniczna'!$N$25*OPp.w1</f>
        <v>0</v>
      </c>
      <c r="AP123" s="1">
        <f>SUM($Q$175:$BA$175)*'zakładka techniczna'!$N$20*'zakładka techniczna'!$N$25*OPp.w1</f>
        <v>0</v>
      </c>
      <c r="AQ123" s="1">
        <f>SUM($Q$175:$BA$175)*'zakładka techniczna'!$N$20*'zakładka techniczna'!$N$25*OPp.w1</f>
        <v>0</v>
      </c>
      <c r="AR123" s="1">
        <f>SUM($Q$175:$BA$175)*'zakładka techniczna'!$N$20*'zakładka techniczna'!$N$25*OPp.w1</f>
        <v>0</v>
      </c>
      <c r="AS123" s="1">
        <f>SUM($Q$175:$BA$175)*'zakładka techniczna'!$N$20*'zakładka techniczna'!$N$25*OPp.w1</f>
        <v>0</v>
      </c>
      <c r="AT123" s="1">
        <f>SUM($Q$175:$BA$175)*'zakładka techniczna'!$N$20*'zakładka techniczna'!$N$25*OPp.w1</f>
        <v>0</v>
      </c>
      <c r="AU123" s="1">
        <f>SUM($Q$175:$BA$175)*'zakładka techniczna'!$N$20*'zakładka techniczna'!$N$25*OPp.w1</f>
        <v>0</v>
      </c>
      <c r="AV123" s="1">
        <f>SUM($Q$175:$BA$175)*'zakładka techniczna'!$N$20*'zakładka techniczna'!$N$25*OPp.w1</f>
        <v>0</v>
      </c>
      <c r="AW123" s="1">
        <f>SUM($Q$175:$BA$175)*'zakładka techniczna'!$N$20*'zakładka techniczna'!$N$25*OPp.w1</f>
        <v>0</v>
      </c>
      <c r="AX123" s="1">
        <f>SUM($Q$175:$BA$175)*'zakładka techniczna'!$N$20*'zakładka techniczna'!$N$25*OPp.w1</f>
        <v>0</v>
      </c>
      <c r="AY123" s="1">
        <f>SUM($Q$175:$BA$175)*'zakładka techniczna'!$N$20*'zakładka techniczna'!$N$25*OPp.w1</f>
        <v>0</v>
      </c>
      <c r="AZ123" s="1">
        <f>SUM($Q$175:$BA$175)*'zakładka techniczna'!$N$20*'zakładka techniczna'!$N$25*OPp.w1</f>
        <v>0</v>
      </c>
      <c r="BA123" s="1">
        <f>SUM($Q$175:$BA$175)*'zakładka techniczna'!$N$20*'zakładka techniczna'!$N$25*OPp.w1</f>
        <v>0</v>
      </c>
    </row>
    <row r="124" spans="2:53" ht="15.75" customHeight="1" x14ac:dyDescent="0.35">
      <c r="F124" s="5" t="s">
        <v>70</v>
      </c>
      <c r="G124" s="5"/>
      <c r="H124" s="5"/>
      <c r="I124" s="5"/>
      <c r="J124" s="5"/>
      <c r="K124" s="5"/>
      <c r="N124" s="1">
        <f t="shared" si="84"/>
        <v>0</v>
      </c>
      <c r="Q124" s="1">
        <f t="shared" ref="Q124:BA124" si="87">SUM(Q120,Q122)*SUM(Q133:Q134)*(OBt.w1+OPt.w1)</f>
        <v>0</v>
      </c>
      <c r="R124" s="1">
        <f t="shared" si="87"/>
        <v>0</v>
      </c>
      <c r="S124" s="1">
        <f t="shared" si="87"/>
        <v>0</v>
      </c>
      <c r="T124" s="1">
        <f t="shared" si="87"/>
        <v>0</v>
      </c>
      <c r="U124" s="1">
        <f>SUM(U120,U122)*SUM(U133:U134)*(OBt.w1+OPt.w1)</f>
        <v>0</v>
      </c>
      <c r="V124" s="1">
        <f t="shared" si="87"/>
        <v>0</v>
      </c>
      <c r="W124" s="1">
        <f t="shared" si="87"/>
        <v>0</v>
      </c>
      <c r="X124" s="1">
        <f t="shared" si="87"/>
        <v>0</v>
      </c>
      <c r="Y124" s="1">
        <f t="shared" si="87"/>
        <v>0</v>
      </c>
      <c r="Z124" s="1">
        <f t="shared" si="87"/>
        <v>0</v>
      </c>
      <c r="AA124" s="1">
        <f t="shared" si="87"/>
        <v>0</v>
      </c>
      <c r="AB124" s="1">
        <f t="shared" si="87"/>
        <v>0</v>
      </c>
      <c r="AC124" s="1">
        <f t="shared" si="87"/>
        <v>0</v>
      </c>
      <c r="AD124" s="1">
        <f t="shared" si="87"/>
        <v>0</v>
      </c>
      <c r="AE124" s="1">
        <f t="shared" si="87"/>
        <v>0</v>
      </c>
      <c r="AF124" s="1">
        <f t="shared" si="87"/>
        <v>0</v>
      </c>
      <c r="AG124" s="1">
        <f t="shared" si="87"/>
        <v>0</v>
      </c>
      <c r="AH124" s="1">
        <f t="shared" si="87"/>
        <v>0</v>
      </c>
      <c r="AI124" s="1">
        <f t="shared" si="87"/>
        <v>0</v>
      </c>
      <c r="AJ124" s="1">
        <f t="shared" si="87"/>
        <v>0</v>
      </c>
      <c r="AK124" s="1">
        <f t="shared" si="87"/>
        <v>0</v>
      </c>
      <c r="AL124" s="1">
        <f t="shared" si="87"/>
        <v>0</v>
      </c>
      <c r="AM124" s="1">
        <f t="shared" si="87"/>
        <v>0</v>
      </c>
      <c r="AN124" s="1">
        <f t="shared" si="87"/>
        <v>0</v>
      </c>
      <c r="AO124" s="1">
        <f t="shared" si="87"/>
        <v>0</v>
      </c>
      <c r="AP124" s="1">
        <f t="shared" si="87"/>
        <v>0</v>
      </c>
      <c r="AQ124" s="1">
        <f t="shared" si="87"/>
        <v>0</v>
      </c>
      <c r="AR124" s="1">
        <f t="shared" si="87"/>
        <v>0</v>
      </c>
      <c r="AS124" s="1">
        <f t="shared" si="87"/>
        <v>0</v>
      </c>
      <c r="AT124" s="1">
        <f t="shared" si="87"/>
        <v>0</v>
      </c>
      <c r="AU124" s="1">
        <f t="shared" si="87"/>
        <v>0</v>
      </c>
      <c r="AV124" s="1">
        <f t="shared" si="87"/>
        <v>0</v>
      </c>
      <c r="AW124" s="1">
        <f t="shared" si="87"/>
        <v>0</v>
      </c>
      <c r="AX124" s="1">
        <f t="shared" si="87"/>
        <v>0</v>
      </c>
      <c r="AY124" s="1">
        <f t="shared" si="87"/>
        <v>0</v>
      </c>
      <c r="AZ124" s="1">
        <f t="shared" si="87"/>
        <v>0</v>
      </c>
      <c r="BA124" s="1">
        <f t="shared" si="87"/>
        <v>0</v>
      </c>
    </row>
    <row r="125" spans="2:53" ht="15.75" customHeight="1" x14ac:dyDescent="0.35">
      <c r="F125" s="5" t="s">
        <v>28</v>
      </c>
      <c r="G125" s="5"/>
      <c r="H125" s="5"/>
      <c r="I125" s="5"/>
      <c r="J125" s="5"/>
      <c r="K125" s="5"/>
      <c r="N125" s="1">
        <f t="shared" si="84"/>
        <v>0</v>
      </c>
      <c r="Q125" s="1">
        <f t="shared" ref="Q125:Y125" si="88">Q171</f>
        <v>0</v>
      </c>
      <c r="R125" s="1">
        <f t="shared" si="88"/>
        <v>0</v>
      </c>
      <c r="S125" s="1">
        <f t="shared" si="88"/>
        <v>0</v>
      </c>
      <c r="T125" s="1">
        <f t="shared" si="88"/>
        <v>0</v>
      </c>
      <c r="U125" s="1">
        <f t="shared" si="88"/>
        <v>0</v>
      </c>
      <c r="V125" s="1">
        <f t="shared" si="88"/>
        <v>0</v>
      </c>
      <c r="W125" s="1">
        <f t="shared" si="88"/>
        <v>0</v>
      </c>
      <c r="X125" s="1">
        <f t="shared" si="88"/>
        <v>0</v>
      </c>
      <c r="Y125" s="1">
        <f t="shared" si="88"/>
        <v>0</v>
      </c>
      <c r="Z125" s="1">
        <f>Z171</f>
        <v>0</v>
      </c>
      <c r="AA125" s="1">
        <f t="shared" ref="AA125:BA125" si="89">AA171</f>
        <v>0</v>
      </c>
      <c r="AB125" s="1">
        <f t="shared" si="89"/>
        <v>0</v>
      </c>
      <c r="AC125" s="1">
        <f t="shared" si="89"/>
        <v>0</v>
      </c>
      <c r="AD125" s="1">
        <f t="shared" si="89"/>
        <v>0</v>
      </c>
      <c r="AE125" s="1">
        <f t="shared" si="89"/>
        <v>0</v>
      </c>
      <c r="AF125" s="1">
        <f t="shared" si="89"/>
        <v>0</v>
      </c>
      <c r="AG125" s="1">
        <f t="shared" si="89"/>
        <v>0</v>
      </c>
      <c r="AH125" s="1">
        <f t="shared" si="89"/>
        <v>0</v>
      </c>
      <c r="AI125" s="1">
        <f t="shared" si="89"/>
        <v>0</v>
      </c>
      <c r="AJ125" s="1">
        <f t="shared" si="89"/>
        <v>0</v>
      </c>
      <c r="AK125" s="1">
        <f t="shared" si="89"/>
        <v>0</v>
      </c>
      <c r="AL125" s="1">
        <f t="shared" si="89"/>
        <v>0</v>
      </c>
      <c r="AM125" s="1">
        <f t="shared" si="89"/>
        <v>0</v>
      </c>
      <c r="AN125" s="1">
        <f t="shared" si="89"/>
        <v>0</v>
      </c>
      <c r="AO125" s="1">
        <f t="shared" si="89"/>
        <v>0</v>
      </c>
      <c r="AP125" s="1">
        <f t="shared" si="89"/>
        <v>0</v>
      </c>
      <c r="AQ125" s="1">
        <f t="shared" si="89"/>
        <v>0</v>
      </c>
      <c r="AR125" s="1">
        <f t="shared" si="89"/>
        <v>0</v>
      </c>
      <c r="AS125" s="1">
        <f t="shared" si="89"/>
        <v>0</v>
      </c>
      <c r="AT125" s="1">
        <f t="shared" si="89"/>
        <v>0</v>
      </c>
      <c r="AU125" s="1">
        <f t="shared" si="89"/>
        <v>0</v>
      </c>
      <c r="AV125" s="1">
        <f t="shared" si="89"/>
        <v>0</v>
      </c>
      <c r="AW125" s="1">
        <f t="shared" si="89"/>
        <v>0</v>
      </c>
      <c r="AX125" s="1">
        <f t="shared" si="89"/>
        <v>0</v>
      </c>
      <c r="AY125" s="1">
        <f t="shared" si="89"/>
        <v>0</v>
      </c>
      <c r="AZ125" s="1">
        <f t="shared" si="89"/>
        <v>0</v>
      </c>
      <c r="BA125" s="1">
        <f t="shared" si="89"/>
        <v>0</v>
      </c>
    </row>
    <row r="126" spans="2:53" ht="15.75" customHeight="1" x14ac:dyDescent="0.35">
      <c r="E126" s="5" t="s">
        <v>31</v>
      </c>
      <c r="F126" s="5"/>
      <c r="G126" s="5"/>
      <c r="H126" s="5"/>
      <c r="I126" s="5"/>
      <c r="J126" s="5"/>
      <c r="K126" s="5"/>
      <c r="N126" s="1">
        <f t="shared" si="84"/>
        <v>0</v>
      </c>
      <c r="Q126" s="1">
        <f t="shared" ref="Q126:BA126" si="90">SUM(Q127:Q129)</f>
        <v>0</v>
      </c>
      <c r="R126" s="1">
        <f t="shared" si="90"/>
        <v>0</v>
      </c>
      <c r="S126" s="1">
        <f t="shared" si="90"/>
        <v>0</v>
      </c>
      <c r="T126" s="1">
        <f t="shared" si="90"/>
        <v>0</v>
      </c>
      <c r="U126" s="1">
        <f t="shared" si="90"/>
        <v>0</v>
      </c>
      <c r="V126" s="1">
        <f t="shared" si="90"/>
        <v>0</v>
      </c>
      <c r="W126" s="1">
        <f t="shared" si="90"/>
        <v>0</v>
      </c>
      <c r="X126" s="1">
        <f t="shared" si="90"/>
        <v>0</v>
      </c>
      <c r="Y126" s="1">
        <f t="shared" si="90"/>
        <v>0</v>
      </c>
      <c r="Z126" s="1">
        <f t="shared" si="90"/>
        <v>0</v>
      </c>
      <c r="AA126" s="1">
        <f t="shared" si="90"/>
        <v>0</v>
      </c>
      <c r="AB126" s="1">
        <f t="shared" si="90"/>
        <v>0</v>
      </c>
      <c r="AC126" s="1">
        <f t="shared" si="90"/>
        <v>0</v>
      </c>
      <c r="AD126" s="1">
        <f t="shared" si="90"/>
        <v>0</v>
      </c>
      <c r="AE126" s="1">
        <f t="shared" si="90"/>
        <v>0</v>
      </c>
      <c r="AF126" s="1">
        <f t="shared" si="90"/>
        <v>0</v>
      </c>
      <c r="AG126" s="1">
        <f t="shared" si="90"/>
        <v>0</v>
      </c>
      <c r="AH126" s="1">
        <f t="shared" si="90"/>
        <v>0</v>
      </c>
      <c r="AI126" s="1">
        <f t="shared" si="90"/>
        <v>0</v>
      </c>
      <c r="AJ126" s="1">
        <f t="shared" si="90"/>
        <v>0</v>
      </c>
      <c r="AK126" s="1">
        <f t="shared" si="90"/>
        <v>0</v>
      </c>
      <c r="AL126" s="1">
        <f t="shared" si="90"/>
        <v>0</v>
      </c>
      <c r="AM126" s="1">
        <f t="shared" si="90"/>
        <v>0</v>
      </c>
      <c r="AN126" s="1">
        <f t="shared" si="90"/>
        <v>0</v>
      </c>
      <c r="AO126" s="1">
        <f t="shared" si="90"/>
        <v>0</v>
      </c>
      <c r="AP126" s="1">
        <f t="shared" si="90"/>
        <v>0</v>
      </c>
      <c r="AQ126" s="1">
        <f t="shared" si="90"/>
        <v>0</v>
      </c>
      <c r="AR126" s="1">
        <f t="shared" si="90"/>
        <v>0</v>
      </c>
      <c r="AS126" s="1">
        <f t="shared" si="90"/>
        <v>0</v>
      </c>
      <c r="AT126" s="1">
        <f t="shared" si="90"/>
        <v>0</v>
      </c>
      <c r="AU126" s="1">
        <f t="shared" si="90"/>
        <v>0</v>
      </c>
      <c r="AV126" s="1">
        <f t="shared" si="90"/>
        <v>0</v>
      </c>
      <c r="AW126" s="1">
        <f t="shared" si="90"/>
        <v>0</v>
      </c>
      <c r="AX126" s="1">
        <f t="shared" si="90"/>
        <v>0</v>
      </c>
      <c r="AY126" s="1">
        <f t="shared" si="90"/>
        <v>0</v>
      </c>
      <c r="AZ126" s="1">
        <f t="shared" si="90"/>
        <v>0</v>
      </c>
      <c r="BA126" s="1">
        <f t="shared" si="90"/>
        <v>0</v>
      </c>
    </row>
    <row r="127" spans="2:53" ht="15.75" customHeight="1" x14ac:dyDescent="0.35">
      <c r="E127" s="5"/>
      <c r="F127" s="5" t="s">
        <v>125</v>
      </c>
      <c r="G127" s="5"/>
      <c r="H127" s="5"/>
      <c r="I127" s="5"/>
      <c r="J127" s="5"/>
      <c r="K127" s="5"/>
      <c r="N127" s="1">
        <f t="shared" si="84"/>
        <v>0</v>
      </c>
      <c r="Q127" s="1">
        <f>-SUM(Założenia!$K$167:$K$168)*OEp.w1</f>
        <v>0</v>
      </c>
      <c r="R127" s="1">
        <f>-SUM(Założenia!$K$167:$K$168)*OEp.w1</f>
        <v>0</v>
      </c>
      <c r="S127" s="1">
        <f>-SUM(Założenia!$K$167:$K$168)*OEp.w1</f>
        <v>0</v>
      </c>
      <c r="T127" s="1">
        <f>-SUM(Założenia!$K$167:$K$168)*OEp.w1</f>
        <v>0</v>
      </c>
      <c r="U127" s="1">
        <f>-SUM(Założenia!$K$167:$K$168)*OEp.w1</f>
        <v>0</v>
      </c>
      <c r="V127" s="1">
        <f>-SUM(Założenia!$K$167:$K$168)*OEp.w1</f>
        <v>0</v>
      </c>
      <c r="W127" s="1">
        <f>-SUM(Założenia!$K$167:$K$168)*OEp.w1</f>
        <v>0</v>
      </c>
      <c r="X127" s="1">
        <f>-SUM(Założenia!$K$167:$K$168)*OEp.w1</f>
        <v>0</v>
      </c>
      <c r="Y127" s="1">
        <f>-SUM(Założenia!$K$167:$K$168)*OEp.w1</f>
        <v>0</v>
      </c>
      <c r="Z127" s="1">
        <f>-SUM(Założenia!$K$167:$K$168)*OEp.w1</f>
        <v>0</v>
      </c>
      <c r="AA127" s="1">
        <f>-SUM(Założenia!$K$167:$K$168)*OEp.w1</f>
        <v>0</v>
      </c>
      <c r="AB127" s="1">
        <f>-SUM(Założenia!$K$167:$K$168)*OEp.w1</f>
        <v>0</v>
      </c>
      <c r="AC127" s="1">
        <f>-SUM(Założenia!$K$167:$K$168)*OEp.w1</f>
        <v>0</v>
      </c>
      <c r="AD127" s="1">
        <f>-SUM(Założenia!$K$167:$K$168)*OEp.w1</f>
        <v>0</v>
      </c>
      <c r="AE127" s="1">
        <f>-SUM(Założenia!$K$167:$K$168)*OEp.w1</f>
        <v>0</v>
      </c>
      <c r="AF127" s="1">
        <f>-SUM(Założenia!$K$167:$K$168)*OEp.w1</f>
        <v>0</v>
      </c>
      <c r="AG127" s="1">
        <f>-SUM(Założenia!$K$167:$K$168)*OEp.w1</f>
        <v>0</v>
      </c>
      <c r="AH127" s="1">
        <f>-SUM(Założenia!$K$167:$K$168)*OEp.w1</f>
        <v>0</v>
      </c>
      <c r="AI127" s="1">
        <f>-SUM(Założenia!$K$167:$K$168)*OEp.w1</f>
        <v>0</v>
      </c>
      <c r="AJ127" s="1">
        <f>-SUM(Założenia!$K$167:$K$168)*OEp.w1</f>
        <v>0</v>
      </c>
      <c r="AK127" s="1">
        <f>-SUM(Założenia!$K$167:$K$168)*OEp.w1</f>
        <v>0</v>
      </c>
      <c r="AL127" s="1">
        <f>-SUM(Założenia!$K$167:$K$168)*OEp.w1</f>
        <v>0</v>
      </c>
      <c r="AM127" s="1">
        <f>-SUM(Założenia!$K$167:$K$168)*OEp.w1</f>
        <v>0</v>
      </c>
      <c r="AN127" s="1">
        <f>-SUM(Założenia!$K$167:$K$168)*OEp.w1</f>
        <v>0</v>
      </c>
      <c r="AO127" s="1">
        <f>-SUM(Założenia!$K$167:$K$168)*OEp.w1</f>
        <v>0</v>
      </c>
      <c r="AP127" s="1">
        <f>-SUM(Założenia!$K$167:$K$168)*OEp.w1</f>
        <v>0</v>
      </c>
      <c r="AQ127" s="1">
        <f>-SUM(Założenia!$K$167:$K$168)*OEp.w1</f>
        <v>0</v>
      </c>
      <c r="AR127" s="1">
        <f>-SUM(Założenia!$K$167:$K$168)*OEp.w1</f>
        <v>0</v>
      </c>
      <c r="AS127" s="1">
        <f>-SUM(Założenia!$K$167:$K$168)*OEp.w1</f>
        <v>0</v>
      </c>
      <c r="AT127" s="1">
        <f>-SUM(Założenia!$K$167:$K$168)*OEp.w1</f>
        <v>0</v>
      </c>
      <c r="AU127" s="1">
        <f>-SUM(Założenia!$K$167:$K$168)*OEp.w1</f>
        <v>0</v>
      </c>
      <c r="AV127" s="1">
        <f>-SUM(Założenia!$K$167:$K$168)*OEp.w1</f>
        <v>0</v>
      </c>
      <c r="AW127" s="1">
        <f>-SUM(Założenia!$K$167:$K$168)*OEp.w1</f>
        <v>0</v>
      </c>
      <c r="AX127" s="1">
        <f>-SUM(Założenia!$K$167:$K$168)*OEp.w1</f>
        <v>0</v>
      </c>
      <c r="AY127" s="1">
        <f>-SUM(Założenia!$K$167:$K$168)*OEp.w1</f>
        <v>0</v>
      </c>
      <c r="AZ127" s="1">
        <f>-SUM(Założenia!$K$167:$K$168)*OEp.w1</f>
        <v>0</v>
      </c>
      <c r="BA127" s="1">
        <f>-SUM(Założenia!$K$167:$K$168)*OEp.w1</f>
        <v>0</v>
      </c>
    </row>
    <row r="128" spans="2:53" ht="15.75" customHeight="1" x14ac:dyDescent="0.35">
      <c r="E128" s="5"/>
      <c r="F128" s="5" t="s">
        <v>83</v>
      </c>
      <c r="G128" s="5"/>
      <c r="H128" s="5"/>
      <c r="I128" s="5"/>
      <c r="J128" s="5"/>
      <c r="K128" s="5"/>
      <c r="N128" s="1">
        <f t="shared" si="84"/>
        <v>0</v>
      </c>
      <c r="Q128" s="1">
        <f>SUM($Q$175:$BA$175)*'zakładka techniczna'!$N$20*'zakładka techniczna'!$N$25*OPp.w1</f>
        <v>0</v>
      </c>
      <c r="R128" s="1">
        <f>IFERROR(-MIN(R120,SUM($P$122:R125,$P$127:R127)/SUM(OEt.w1))*OEt.w1,0)</f>
        <v>0</v>
      </c>
      <c r="S128" s="1">
        <f>IFERROR(-MIN(S120,SUM($P$122:S125,$P$127:S127)/SUM(OEt.w1))*OEt.w1,0)</f>
        <v>0</v>
      </c>
      <c r="T128" s="1">
        <f>IFERROR(-MIN(T120,SUM($P$122:T125,$P$127:T127)/SUM(OEt.w1))*OEt.w1,0)</f>
        <v>0</v>
      </c>
      <c r="U128" s="1">
        <f>IFERROR(-MIN(U120,SUM($P$122:U125,$P$127:U127)/SUM(OEt.w1))*OEt.w1,0)</f>
        <v>0</v>
      </c>
      <c r="V128" s="1">
        <f>IFERROR(-MIN(V120,SUM($P$122:V125,$P$127:V127)/SUM(OEt.w1))*OEt.w1,0)</f>
        <v>0</v>
      </c>
      <c r="W128" s="1">
        <f>IFERROR(-MIN(W120,SUM($P$122:W125,$P$127:W127)/SUM(OEt.w1))*OEt.w1,0)</f>
        <v>0</v>
      </c>
      <c r="X128" s="1">
        <f>IFERROR(-MIN(X120,SUM($P$122:X125,$P$127:X127)/SUM(OEt.w1))*OEt.w1,0)</f>
        <v>0</v>
      </c>
      <c r="Y128" s="1">
        <f>IFERROR(-MIN(Y120,SUM($P$122:Y125,$P$127:Y127)/SUM(OEt.w1))*OEt.w1,0)</f>
        <v>0</v>
      </c>
      <c r="Z128" s="1">
        <f>IFERROR(-MIN(Z120,SUM($P$122:Z125,$P$127:Z127)/SUM(OEt.w1))*OEt.w1,0)</f>
        <v>0</v>
      </c>
      <c r="AA128" s="1">
        <f>IFERROR(-MIN(AA120,SUM($P$122:AA125,$P$127:AA127)/SUM(OEt.w1))*OEt.w1,0)</f>
        <v>0</v>
      </c>
      <c r="AB128" s="1">
        <f>IFERROR(-MIN(AB120,SUM($P$122:AB125,$P$127:AB127)/SUM(OEt.w1))*OEt.w1,0)</f>
        <v>0</v>
      </c>
      <c r="AC128" s="1">
        <f>IFERROR(-MIN(AC120,SUM($P$122:AC125,$P$127:AC127)/SUM(OEt.w1))*OEt.w1,0)</f>
        <v>0</v>
      </c>
      <c r="AD128" s="1">
        <f>IFERROR(-MIN(AD120,SUM($P$122:AD125,$P$127:AD127)/SUM(OEt.w1))*OEt.w1,0)</f>
        <v>0</v>
      </c>
      <c r="AE128" s="1">
        <f>IFERROR(-MIN(AE120,SUM($P$122:AE125,$P$127:AE127)/SUM(OEt.w1))*OEt.w1,0)</f>
        <v>0</v>
      </c>
      <c r="AF128" s="1">
        <f>IFERROR(-MIN(AF120,SUM($P$122:AF125,$P$127:AF127)/SUM(OEt.w1))*OEt.w1,0)</f>
        <v>0</v>
      </c>
      <c r="AG128" s="1">
        <f>IFERROR(-MIN(AG120,SUM($P$122:AG125,$P$127:AG127)/SUM(OEt.w1))*OEt.w1,0)</f>
        <v>0</v>
      </c>
      <c r="AH128" s="1">
        <f>IFERROR(-MIN(AH120,SUM($P$122:AH125,$P$127:AH127)/SUM(OEt.w1))*OEt.w1,0)</f>
        <v>0</v>
      </c>
      <c r="AI128" s="1">
        <f>IFERROR(-MIN(AI120,SUM($P$122:AI125,$P$127:AI127)/SUM(OEt.w1))*OEt.w1,0)</f>
        <v>0</v>
      </c>
      <c r="AJ128" s="1">
        <f>IFERROR(-MIN(AJ120,SUM($P$122:AJ125,$P$127:AJ127)/SUM(OEt.w1))*OEt.w1,0)</f>
        <v>0</v>
      </c>
      <c r="AK128" s="1">
        <f>IFERROR(-MIN(AK120,SUM($P$122:AK125,$P$127:AK127)/SUM(OEt.w1))*OEt.w1,0)</f>
        <v>0</v>
      </c>
      <c r="AL128" s="1">
        <f>IFERROR(-MIN(AL120,SUM($P$122:AL125,$P$127:AL127)/SUM(OEt.w1))*OEt.w1,0)</f>
        <v>0</v>
      </c>
      <c r="AM128" s="1">
        <f>IFERROR(-MIN(AM120,SUM($P$122:AM125,$P$127:AM127)/SUM(OEt.w1))*OEt.w1,0)</f>
        <v>0</v>
      </c>
      <c r="AN128" s="1">
        <f>IFERROR(-MIN(AN120,SUM($P$122:AN125,$P$127:AN127)/SUM(OEt.w1))*OEt.w1,0)</f>
        <v>0</v>
      </c>
      <c r="AO128" s="1">
        <f>IFERROR(-MIN(AO120,SUM($P$122:AO125,$P$127:AO127)/SUM(OEt.w1))*OEt.w1,0)</f>
        <v>0</v>
      </c>
      <c r="AP128" s="1">
        <f>IFERROR(-MIN(AP120,SUM($P$122:AP125,$P$127:AP127)/SUM(OEt.w1))*OEt.w1,0)</f>
        <v>0</v>
      </c>
      <c r="AQ128" s="1">
        <f>IFERROR(-MIN(AQ120,SUM($P$122:AQ125,$P$127:AQ127)/SUM(OEt.w1))*OEt.w1,0)</f>
        <v>0</v>
      </c>
      <c r="AR128" s="1">
        <f>IFERROR(-MIN(AR120,SUM($P$122:AR125,$P$127:AR127)/SUM(OEt.w1))*OEt.w1,0)</f>
        <v>0</v>
      </c>
      <c r="AS128" s="1">
        <f>IFERROR(-MIN(AS120,SUM($P$122:AS125,$P$127:AS127)/SUM(OEt.w1))*OEt.w1,0)</f>
        <v>0</v>
      </c>
      <c r="AT128" s="1">
        <f>IFERROR(-MIN(AT120,SUM($P$122:AT125,$P$127:AT127)/SUM(OEt.w1))*OEt.w1,0)</f>
        <v>0</v>
      </c>
      <c r="AU128" s="1">
        <f>IFERROR(-MIN(AU120,SUM($P$122:AU125,$P$127:AU127)/SUM(OEt.w1))*OEt.w1,0)</f>
        <v>0</v>
      </c>
      <c r="AV128" s="1">
        <f>IFERROR(-MIN(AV120,SUM($P$122:AV125,$P$127:AV127)/SUM(OEt.w1))*OEt.w1,0)</f>
        <v>0</v>
      </c>
      <c r="AW128" s="1">
        <f>IFERROR(-MIN(AW120,SUM($P$122:AW125,$P$127:AW127)/SUM(OEt.w1))*OEt.w1,0)</f>
        <v>0</v>
      </c>
      <c r="AX128" s="1">
        <f>IFERROR(-MIN(AX120,SUM($P$122:AX125,$P$127:AX127)/SUM(OEt.w1))*OEt.w1,0)</f>
        <v>0</v>
      </c>
      <c r="AY128" s="1">
        <f>IFERROR(-MIN(AY120,SUM($P$122:AY125,$P$127:AY127)/SUM(OEt.w1))*OEt.w1,0)</f>
        <v>0</v>
      </c>
      <c r="AZ128" s="1">
        <f>IFERROR(-MIN(AZ120,SUM($P$122:AZ125,$P$127:AZ127)/SUM(OEt.w1))*OEt.w1,0)</f>
        <v>0</v>
      </c>
      <c r="BA128" s="1">
        <f>IFERROR(-MIN(BA120,SUM($P$122:BA125,$P$127:BA127)/SUM(OEt.w1))*OEt.w1,0)</f>
        <v>0</v>
      </c>
    </row>
    <row r="129" spans="3:53" ht="15.75" customHeight="1" x14ac:dyDescent="0.35">
      <c r="E129" s="5"/>
      <c r="F129" s="5" t="s">
        <v>84</v>
      </c>
      <c r="G129" s="5"/>
      <c r="H129" s="5"/>
      <c r="I129" s="5"/>
      <c r="J129" s="5"/>
      <c r="K129" s="5"/>
      <c r="N129" s="1">
        <f t="shared" si="84"/>
        <v>0</v>
      </c>
      <c r="Q129" s="1">
        <f t="shared" ref="Q129:BA129" si="91">Q196</f>
        <v>0</v>
      </c>
      <c r="R129" s="1">
        <f t="shared" si="91"/>
        <v>0</v>
      </c>
      <c r="S129" s="1">
        <f t="shared" si="91"/>
        <v>0</v>
      </c>
      <c r="T129" s="1">
        <f t="shared" si="91"/>
        <v>0</v>
      </c>
      <c r="U129" s="1">
        <f t="shared" si="91"/>
        <v>0</v>
      </c>
      <c r="V129" s="1">
        <f t="shared" si="91"/>
        <v>0</v>
      </c>
      <c r="W129" s="1">
        <f t="shared" si="91"/>
        <v>0</v>
      </c>
      <c r="X129" s="1">
        <f t="shared" si="91"/>
        <v>0</v>
      </c>
      <c r="Y129" s="1">
        <f t="shared" si="91"/>
        <v>0</v>
      </c>
      <c r="Z129" s="1">
        <f t="shared" si="91"/>
        <v>0</v>
      </c>
      <c r="AA129" s="1">
        <f t="shared" si="91"/>
        <v>0</v>
      </c>
      <c r="AB129" s="1">
        <f t="shared" si="91"/>
        <v>0</v>
      </c>
      <c r="AC129" s="1">
        <f t="shared" si="91"/>
        <v>0</v>
      </c>
      <c r="AD129" s="1">
        <f t="shared" si="91"/>
        <v>0</v>
      </c>
      <c r="AE129" s="1">
        <f t="shared" si="91"/>
        <v>0</v>
      </c>
      <c r="AF129" s="1">
        <f t="shared" si="91"/>
        <v>0</v>
      </c>
      <c r="AG129" s="1">
        <f t="shared" si="91"/>
        <v>0</v>
      </c>
      <c r="AH129" s="1">
        <f t="shared" si="91"/>
        <v>0</v>
      </c>
      <c r="AI129" s="1">
        <f t="shared" si="91"/>
        <v>0</v>
      </c>
      <c r="AJ129" s="1">
        <f t="shared" si="91"/>
        <v>0</v>
      </c>
      <c r="AK129" s="1">
        <f t="shared" si="91"/>
        <v>0</v>
      </c>
      <c r="AL129" s="1">
        <f t="shared" si="91"/>
        <v>0</v>
      </c>
      <c r="AM129" s="1">
        <f t="shared" si="91"/>
        <v>0</v>
      </c>
      <c r="AN129" s="1">
        <f t="shared" si="91"/>
        <v>0</v>
      </c>
      <c r="AO129" s="1">
        <f t="shared" si="91"/>
        <v>0</v>
      </c>
      <c r="AP129" s="1">
        <f t="shared" si="91"/>
        <v>0</v>
      </c>
      <c r="AQ129" s="1">
        <f t="shared" si="91"/>
        <v>0</v>
      </c>
      <c r="AR129" s="1">
        <f t="shared" si="91"/>
        <v>0</v>
      </c>
      <c r="AS129" s="1">
        <f t="shared" si="91"/>
        <v>0</v>
      </c>
      <c r="AT129" s="1">
        <f t="shared" si="91"/>
        <v>0</v>
      </c>
      <c r="AU129" s="1">
        <f t="shared" si="91"/>
        <v>0</v>
      </c>
      <c r="AV129" s="1">
        <f t="shared" si="91"/>
        <v>0</v>
      </c>
      <c r="AW129" s="1">
        <f t="shared" si="91"/>
        <v>0</v>
      </c>
      <c r="AX129" s="1">
        <f t="shared" si="91"/>
        <v>0</v>
      </c>
      <c r="AY129" s="1">
        <f t="shared" si="91"/>
        <v>0</v>
      </c>
      <c r="AZ129" s="1">
        <f t="shared" si="91"/>
        <v>0</v>
      </c>
      <c r="BA129" s="1">
        <f t="shared" si="91"/>
        <v>0</v>
      </c>
    </row>
    <row r="130" spans="3:53" ht="15.75" customHeight="1" x14ac:dyDescent="0.35">
      <c r="D130" s="2" t="s">
        <v>27</v>
      </c>
      <c r="E130" s="5"/>
      <c r="F130" s="5"/>
      <c r="G130" s="5"/>
      <c r="H130" s="5"/>
      <c r="I130" s="5"/>
      <c r="J130" s="5"/>
      <c r="K130" s="5"/>
      <c r="N130" s="1">
        <f>SUM(N120,N121,N126)</f>
        <v>0</v>
      </c>
      <c r="Q130" s="1">
        <f t="shared" ref="Q130:BA130" si="92">SUM(Q120,Q121,Q126)</f>
        <v>0</v>
      </c>
      <c r="R130" s="1">
        <f t="shared" si="92"/>
        <v>0</v>
      </c>
      <c r="S130" s="1">
        <f t="shared" si="92"/>
        <v>0</v>
      </c>
      <c r="T130" s="1">
        <f t="shared" si="92"/>
        <v>0</v>
      </c>
      <c r="U130" s="1">
        <f t="shared" si="92"/>
        <v>0</v>
      </c>
      <c r="V130" s="1">
        <f t="shared" si="92"/>
        <v>0</v>
      </c>
      <c r="W130" s="1">
        <f t="shared" si="92"/>
        <v>0</v>
      </c>
      <c r="X130" s="1">
        <f t="shared" si="92"/>
        <v>0</v>
      </c>
      <c r="Y130" s="1">
        <f t="shared" si="92"/>
        <v>0</v>
      </c>
      <c r="Z130" s="1">
        <f t="shared" si="92"/>
        <v>0</v>
      </c>
      <c r="AA130" s="1">
        <f t="shared" si="92"/>
        <v>0</v>
      </c>
      <c r="AB130" s="1">
        <f t="shared" si="92"/>
        <v>0</v>
      </c>
      <c r="AC130" s="1">
        <f t="shared" si="92"/>
        <v>0</v>
      </c>
      <c r="AD130" s="1">
        <f t="shared" si="92"/>
        <v>0</v>
      </c>
      <c r="AE130" s="1">
        <f t="shared" si="92"/>
        <v>0</v>
      </c>
      <c r="AF130" s="1">
        <f t="shared" si="92"/>
        <v>0</v>
      </c>
      <c r="AG130" s="1">
        <f t="shared" si="92"/>
        <v>0</v>
      </c>
      <c r="AH130" s="1">
        <f t="shared" si="92"/>
        <v>0</v>
      </c>
      <c r="AI130" s="1">
        <f t="shared" si="92"/>
        <v>0</v>
      </c>
      <c r="AJ130" s="1">
        <f t="shared" si="92"/>
        <v>0</v>
      </c>
      <c r="AK130" s="1">
        <f t="shared" si="92"/>
        <v>0</v>
      </c>
      <c r="AL130" s="1">
        <f t="shared" si="92"/>
        <v>0</v>
      </c>
      <c r="AM130" s="1">
        <f t="shared" si="92"/>
        <v>0</v>
      </c>
      <c r="AN130" s="1">
        <f t="shared" si="92"/>
        <v>0</v>
      </c>
      <c r="AO130" s="1">
        <f t="shared" si="92"/>
        <v>0</v>
      </c>
      <c r="AP130" s="1">
        <f t="shared" si="92"/>
        <v>0</v>
      </c>
      <c r="AQ130" s="1">
        <f t="shared" si="92"/>
        <v>0</v>
      </c>
      <c r="AR130" s="1">
        <f t="shared" si="92"/>
        <v>0</v>
      </c>
      <c r="AS130" s="1">
        <f t="shared" si="92"/>
        <v>0</v>
      </c>
      <c r="AT130" s="1">
        <f t="shared" si="92"/>
        <v>0</v>
      </c>
      <c r="AU130" s="1">
        <f t="shared" si="92"/>
        <v>0</v>
      </c>
      <c r="AV130" s="1">
        <f t="shared" si="92"/>
        <v>0</v>
      </c>
      <c r="AW130" s="1">
        <f t="shared" si="92"/>
        <v>0</v>
      </c>
      <c r="AX130" s="1">
        <f t="shared" si="92"/>
        <v>0</v>
      </c>
      <c r="AY130" s="1">
        <f t="shared" si="92"/>
        <v>0</v>
      </c>
      <c r="AZ130" s="1">
        <f t="shared" si="92"/>
        <v>0</v>
      </c>
      <c r="BA130" s="1">
        <f t="shared" si="92"/>
        <v>0</v>
      </c>
    </row>
    <row r="131" spans="3:53" x14ac:dyDescent="0.35">
      <c r="D131" s="5"/>
    </row>
    <row r="132" spans="3:53" ht="15.75" customHeight="1" x14ac:dyDescent="0.35">
      <c r="D132" s="2" t="s">
        <v>147</v>
      </c>
      <c r="E132" s="5"/>
      <c r="F132" s="5"/>
      <c r="G132" s="5"/>
      <c r="H132" s="5"/>
      <c r="I132" s="5"/>
      <c r="J132" s="5"/>
      <c r="K132" s="5"/>
      <c r="N132" s="1">
        <f>SUM(Q132:BA132)</f>
        <v>0</v>
      </c>
      <c r="Q132" s="1">
        <f t="shared" ref="Q132:BA132" si="93">SUM(Q120,Q122,Q125)*SUM(Q133:Q134)*OEt.w1</f>
        <v>0</v>
      </c>
      <c r="R132" s="1">
        <f t="shared" si="93"/>
        <v>0</v>
      </c>
      <c r="S132" s="1">
        <f t="shared" si="93"/>
        <v>0</v>
      </c>
      <c r="T132" s="1">
        <f t="shared" si="93"/>
        <v>0</v>
      </c>
      <c r="U132" s="1">
        <f t="shared" si="93"/>
        <v>0</v>
      </c>
      <c r="V132" s="1">
        <f t="shared" si="93"/>
        <v>0</v>
      </c>
      <c r="W132" s="1">
        <f t="shared" si="93"/>
        <v>0</v>
      </c>
      <c r="X132" s="1">
        <f t="shared" si="93"/>
        <v>0</v>
      </c>
      <c r="Y132" s="1">
        <f t="shared" si="93"/>
        <v>0</v>
      </c>
      <c r="Z132" s="1">
        <f t="shared" si="93"/>
        <v>0</v>
      </c>
      <c r="AA132" s="1">
        <f t="shared" si="93"/>
        <v>0</v>
      </c>
      <c r="AB132" s="1">
        <f t="shared" si="93"/>
        <v>0</v>
      </c>
      <c r="AC132" s="1">
        <f t="shared" si="93"/>
        <v>0</v>
      </c>
      <c r="AD132" s="1">
        <f t="shared" si="93"/>
        <v>0</v>
      </c>
      <c r="AE132" s="1">
        <f t="shared" si="93"/>
        <v>0</v>
      </c>
      <c r="AF132" s="1">
        <f t="shared" si="93"/>
        <v>0</v>
      </c>
      <c r="AG132" s="1">
        <f t="shared" si="93"/>
        <v>0</v>
      </c>
      <c r="AH132" s="1">
        <f t="shared" si="93"/>
        <v>0</v>
      </c>
      <c r="AI132" s="1">
        <f t="shared" si="93"/>
        <v>0</v>
      </c>
      <c r="AJ132" s="1">
        <f t="shared" si="93"/>
        <v>0</v>
      </c>
      <c r="AK132" s="1">
        <f t="shared" si="93"/>
        <v>0</v>
      </c>
      <c r="AL132" s="1">
        <f t="shared" si="93"/>
        <v>0</v>
      </c>
      <c r="AM132" s="1">
        <f t="shared" si="93"/>
        <v>0</v>
      </c>
      <c r="AN132" s="1">
        <f t="shared" si="93"/>
        <v>0</v>
      </c>
      <c r="AO132" s="1">
        <f t="shared" si="93"/>
        <v>0</v>
      </c>
      <c r="AP132" s="1">
        <f t="shared" si="93"/>
        <v>0</v>
      </c>
      <c r="AQ132" s="1">
        <f t="shared" si="93"/>
        <v>0</v>
      </c>
      <c r="AR132" s="1">
        <f t="shared" si="93"/>
        <v>0</v>
      </c>
      <c r="AS132" s="1">
        <f t="shared" si="93"/>
        <v>0</v>
      </c>
      <c r="AT132" s="1">
        <f t="shared" si="93"/>
        <v>0</v>
      </c>
      <c r="AU132" s="1">
        <f t="shared" si="93"/>
        <v>0</v>
      </c>
      <c r="AV132" s="1">
        <f t="shared" si="93"/>
        <v>0</v>
      </c>
      <c r="AW132" s="1">
        <f t="shared" si="93"/>
        <v>0</v>
      </c>
      <c r="AX132" s="1">
        <f t="shared" si="93"/>
        <v>0</v>
      </c>
      <c r="AY132" s="1">
        <f t="shared" si="93"/>
        <v>0</v>
      </c>
      <c r="AZ132" s="1">
        <f t="shared" si="93"/>
        <v>0</v>
      </c>
      <c r="BA132" s="1">
        <f t="shared" si="93"/>
        <v>0</v>
      </c>
    </row>
    <row r="133" spans="3:53" ht="15.75" customHeight="1" x14ac:dyDescent="0.35">
      <c r="E133" s="5" t="s">
        <v>35</v>
      </c>
      <c r="F133" s="5"/>
      <c r="G133" s="5"/>
      <c r="H133" s="5"/>
      <c r="I133" s="5"/>
      <c r="J133" s="5"/>
      <c r="K133" s="5"/>
      <c r="Q133" s="6">
        <f>'zakładka techniczna'!Q$11</f>
        <v>5.5199999999999999E-2</v>
      </c>
      <c r="R133" s="6">
        <f>'zakładka techniczna'!R$11</f>
        <v>5.1799999999999999E-2</v>
      </c>
      <c r="S133" s="6">
        <f>'zakładka techniczna'!S$11</f>
        <v>4.6199999999999998E-2</v>
      </c>
      <c r="T133" s="6">
        <f>'zakładka techniczna'!T$11</f>
        <v>4.6199999999999998E-2</v>
      </c>
      <c r="U133" s="6">
        <f>'zakładka techniczna'!U$11</f>
        <v>3.5000000000000003E-2</v>
      </c>
      <c r="V133" s="6">
        <f>'zakładka techniczna'!V$11</f>
        <v>3.5000000000000003E-2</v>
      </c>
      <c r="W133" s="6">
        <f>'zakładka techniczna'!W$11</f>
        <v>3.5000000000000003E-2</v>
      </c>
      <c r="X133" s="6">
        <f>'zakładka techniczna'!X$11</f>
        <v>3.5000000000000003E-2</v>
      </c>
      <c r="Y133" s="6">
        <f>'zakładka techniczna'!Y$11</f>
        <v>3.5000000000000003E-2</v>
      </c>
      <c r="Z133" s="6">
        <f>'zakładka techniczna'!Z$11</f>
        <v>3.5000000000000003E-2</v>
      </c>
      <c r="AA133" s="6">
        <f>'zakładka techniczna'!AA$11</f>
        <v>3.5000000000000003E-2</v>
      </c>
      <c r="AB133" s="6">
        <f>'zakładka techniczna'!AB$11</f>
        <v>3.5000000000000003E-2</v>
      </c>
      <c r="AC133" s="6">
        <f>'zakładka techniczna'!AC$11</f>
        <v>3.5000000000000003E-2</v>
      </c>
      <c r="AD133" s="6">
        <f>'zakładka techniczna'!AD$11</f>
        <v>3.5000000000000003E-2</v>
      </c>
      <c r="AE133" s="6">
        <f>'zakładka techniczna'!AE$11</f>
        <v>3.5000000000000003E-2</v>
      </c>
      <c r="AF133" s="6">
        <f>'zakładka techniczna'!AF$11</f>
        <v>3.5000000000000003E-2</v>
      </c>
      <c r="AG133" s="6">
        <f>'zakładka techniczna'!AG$11</f>
        <v>3.5000000000000003E-2</v>
      </c>
      <c r="AH133" s="6">
        <f>'zakładka techniczna'!AH$11</f>
        <v>3.5000000000000003E-2</v>
      </c>
      <c r="AI133" s="6">
        <f>'zakładka techniczna'!AI$11</f>
        <v>3.5000000000000003E-2</v>
      </c>
      <c r="AJ133" s="6">
        <f>'zakładka techniczna'!AJ$11</f>
        <v>3.5000000000000003E-2</v>
      </c>
      <c r="AK133" s="6">
        <f>'zakładka techniczna'!AK$11</f>
        <v>3.5000000000000003E-2</v>
      </c>
      <c r="AL133" s="6">
        <f>'zakładka techniczna'!AL$11</f>
        <v>3.5000000000000003E-2</v>
      </c>
      <c r="AM133" s="6">
        <f>'zakładka techniczna'!AM$11</f>
        <v>3.5000000000000003E-2</v>
      </c>
      <c r="AN133" s="6">
        <f>'zakładka techniczna'!AN$11</f>
        <v>3.5000000000000003E-2</v>
      </c>
      <c r="AO133" s="6">
        <f>'zakładka techniczna'!AO$11</f>
        <v>3.5000000000000003E-2</v>
      </c>
      <c r="AP133" s="6">
        <f>'zakładka techniczna'!AP$11</f>
        <v>3.5000000000000003E-2</v>
      </c>
      <c r="AQ133" s="6">
        <f>'zakładka techniczna'!AQ$11</f>
        <v>3.5000000000000003E-2</v>
      </c>
      <c r="AR133" s="6">
        <f>'zakładka techniczna'!AR$11</f>
        <v>3.5000000000000003E-2</v>
      </c>
      <c r="AS133" s="6">
        <f>'zakładka techniczna'!AS$11</f>
        <v>3.5000000000000003E-2</v>
      </c>
      <c r="AT133" s="6">
        <f>'zakładka techniczna'!AT$11</f>
        <v>3.5000000000000003E-2</v>
      </c>
      <c r="AU133" s="6">
        <f>'zakładka techniczna'!AU$11</f>
        <v>3.5000000000000003E-2</v>
      </c>
      <c r="AV133" s="6">
        <f>'zakładka techniczna'!AV$11</f>
        <v>3.5000000000000003E-2</v>
      </c>
      <c r="AW133" s="6">
        <f>'zakładka techniczna'!AW$11</f>
        <v>3.5000000000000003E-2</v>
      </c>
      <c r="AX133" s="6">
        <f>'zakładka techniczna'!AX$11</f>
        <v>3.5000000000000003E-2</v>
      </c>
      <c r="AY133" s="6">
        <f>'zakładka techniczna'!AY$11</f>
        <v>3.5000000000000003E-2</v>
      </c>
      <c r="AZ133" s="6">
        <f>'zakładka techniczna'!AZ$11</f>
        <v>3.5000000000000003E-2</v>
      </c>
      <c r="BA133" s="6">
        <f>'zakładka techniczna'!BA$11</f>
        <v>3.5000000000000003E-2</v>
      </c>
    </row>
    <row r="134" spans="3:53" ht="15.75" customHeight="1" x14ac:dyDescent="0.35">
      <c r="E134" s="5" t="s">
        <v>74</v>
      </c>
      <c r="F134" s="5"/>
      <c r="G134" s="5"/>
      <c r="H134" s="5"/>
      <c r="I134" s="5"/>
      <c r="J134" s="5"/>
      <c r="K134" s="5"/>
      <c r="Q134" s="6">
        <f>'zakładka techniczna'!$N$23</f>
        <v>2.5000000000000001E-2</v>
      </c>
      <c r="R134" s="6">
        <f>'zakładka techniczna'!$N$23</f>
        <v>2.5000000000000001E-2</v>
      </c>
      <c r="S134" s="6">
        <f>'zakładka techniczna'!$N$23</f>
        <v>2.5000000000000001E-2</v>
      </c>
      <c r="T134" s="6">
        <f>'zakładka techniczna'!$N$23</f>
        <v>2.5000000000000001E-2</v>
      </c>
      <c r="U134" s="6">
        <f>'zakładka techniczna'!$N$23</f>
        <v>2.5000000000000001E-2</v>
      </c>
      <c r="V134" s="6">
        <f>'zakładka techniczna'!$N$23</f>
        <v>2.5000000000000001E-2</v>
      </c>
      <c r="W134" s="6">
        <f>'zakładka techniczna'!$N$23</f>
        <v>2.5000000000000001E-2</v>
      </c>
      <c r="X134" s="6">
        <f>'zakładka techniczna'!$N$23</f>
        <v>2.5000000000000001E-2</v>
      </c>
      <c r="Y134" s="6">
        <f>'zakładka techniczna'!$N$23</f>
        <v>2.5000000000000001E-2</v>
      </c>
      <c r="Z134" s="6">
        <f>'zakładka techniczna'!$N$23</f>
        <v>2.5000000000000001E-2</v>
      </c>
      <c r="AA134" s="6">
        <f>'zakładka techniczna'!$N$23</f>
        <v>2.5000000000000001E-2</v>
      </c>
      <c r="AB134" s="6">
        <f>'zakładka techniczna'!$N$23</f>
        <v>2.5000000000000001E-2</v>
      </c>
      <c r="AC134" s="6">
        <f>'zakładka techniczna'!$N$23</f>
        <v>2.5000000000000001E-2</v>
      </c>
      <c r="AD134" s="6">
        <f>'zakładka techniczna'!$N$23</f>
        <v>2.5000000000000001E-2</v>
      </c>
      <c r="AE134" s="6">
        <f>'zakładka techniczna'!$N$23</f>
        <v>2.5000000000000001E-2</v>
      </c>
      <c r="AF134" s="6">
        <f>'zakładka techniczna'!$N$23</f>
        <v>2.5000000000000001E-2</v>
      </c>
      <c r="AG134" s="6">
        <f>'zakładka techniczna'!$N$23</f>
        <v>2.5000000000000001E-2</v>
      </c>
      <c r="AH134" s="6">
        <f>'zakładka techniczna'!$N$23</f>
        <v>2.5000000000000001E-2</v>
      </c>
      <c r="AI134" s="6">
        <f>'zakładka techniczna'!$N$23</f>
        <v>2.5000000000000001E-2</v>
      </c>
      <c r="AJ134" s="6">
        <f>'zakładka techniczna'!$N$23</f>
        <v>2.5000000000000001E-2</v>
      </c>
      <c r="AK134" s="6">
        <f>'zakładka techniczna'!$N$23</f>
        <v>2.5000000000000001E-2</v>
      </c>
      <c r="AL134" s="6">
        <f>'zakładka techniczna'!$N$23</f>
        <v>2.5000000000000001E-2</v>
      </c>
      <c r="AM134" s="6">
        <f>'zakładka techniczna'!$N$23</f>
        <v>2.5000000000000001E-2</v>
      </c>
      <c r="AN134" s="6">
        <f>'zakładka techniczna'!$N$23</f>
        <v>2.5000000000000001E-2</v>
      </c>
      <c r="AO134" s="6">
        <f>'zakładka techniczna'!$N$23</f>
        <v>2.5000000000000001E-2</v>
      </c>
      <c r="AP134" s="6">
        <f>'zakładka techniczna'!$N$23</f>
        <v>2.5000000000000001E-2</v>
      </c>
      <c r="AQ134" s="6">
        <f>'zakładka techniczna'!$N$23</f>
        <v>2.5000000000000001E-2</v>
      </c>
      <c r="AR134" s="6">
        <f>'zakładka techniczna'!$N$23</f>
        <v>2.5000000000000001E-2</v>
      </c>
      <c r="AS134" s="6">
        <f>'zakładka techniczna'!$N$23</f>
        <v>2.5000000000000001E-2</v>
      </c>
      <c r="AT134" s="6">
        <f>'zakładka techniczna'!$N$23</f>
        <v>2.5000000000000001E-2</v>
      </c>
      <c r="AU134" s="6">
        <f>'zakładka techniczna'!$N$23</f>
        <v>2.5000000000000001E-2</v>
      </c>
      <c r="AV134" s="6">
        <f>'zakładka techniczna'!$N$23</f>
        <v>2.5000000000000001E-2</v>
      </c>
      <c r="AW134" s="6">
        <f>'zakładka techniczna'!$N$23</f>
        <v>2.5000000000000001E-2</v>
      </c>
      <c r="AX134" s="6">
        <f>'zakładka techniczna'!$N$23</f>
        <v>2.5000000000000001E-2</v>
      </c>
      <c r="AY134" s="6">
        <f>'zakładka techniczna'!$N$23</f>
        <v>2.5000000000000001E-2</v>
      </c>
      <c r="AZ134" s="6">
        <f>'zakładka techniczna'!$N$23</f>
        <v>2.5000000000000001E-2</v>
      </c>
      <c r="BA134" s="6">
        <f>'zakładka techniczna'!$N$23</f>
        <v>2.5000000000000001E-2</v>
      </c>
    </row>
    <row r="135" spans="3:53" x14ac:dyDescent="0.35">
      <c r="D135" s="5"/>
    </row>
    <row r="136" spans="3:53" ht="17.25" customHeight="1" x14ac:dyDescent="0.35">
      <c r="C136" s="8" t="s">
        <v>117</v>
      </c>
      <c r="D136" s="8"/>
      <c r="E136" s="9"/>
      <c r="F136" s="9"/>
      <c r="G136" s="9"/>
      <c r="H136" s="9"/>
      <c r="I136" s="9"/>
      <c r="J136" s="9"/>
      <c r="K136" s="9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</row>
    <row r="137" spans="3:53" ht="15.75" customHeight="1" x14ac:dyDescent="0.35">
      <c r="D137" s="2" t="s">
        <v>26</v>
      </c>
      <c r="E137" s="5"/>
      <c r="F137" s="5"/>
      <c r="G137" s="5"/>
      <c r="H137" s="5"/>
      <c r="I137" s="5"/>
      <c r="J137" s="5"/>
      <c r="K137" s="5"/>
      <c r="N137" s="11">
        <f>Q137</f>
        <v>0</v>
      </c>
      <c r="Q137" s="14">
        <v>0</v>
      </c>
      <c r="R137" s="11">
        <f t="shared" ref="R137" si="94">Q145</f>
        <v>0</v>
      </c>
      <c r="S137" s="11">
        <f t="shared" ref="S137" si="95">R145</f>
        <v>0</v>
      </c>
      <c r="T137" s="11">
        <f t="shared" ref="T137" si="96">S145</f>
        <v>0</v>
      </c>
      <c r="U137" s="11">
        <f t="shared" ref="U137" si="97">T145</f>
        <v>0</v>
      </c>
      <c r="V137" s="11">
        <f t="shared" ref="V137" si="98">U145</f>
        <v>0</v>
      </c>
      <c r="W137" s="11">
        <f t="shared" ref="W137" si="99">V145</f>
        <v>0</v>
      </c>
      <c r="X137" s="11">
        <f t="shared" ref="X137" si="100">W145</f>
        <v>0</v>
      </c>
      <c r="Y137" s="11">
        <f t="shared" ref="Y137" si="101">X145</f>
        <v>0</v>
      </c>
      <c r="Z137" s="11">
        <f t="shared" ref="Z137" si="102">Y145</f>
        <v>0</v>
      </c>
      <c r="AA137" s="11">
        <f t="shared" ref="AA137" si="103">Z145</f>
        <v>0</v>
      </c>
      <c r="AB137" s="11">
        <f t="shared" ref="AB137" si="104">AA145</f>
        <v>0</v>
      </c>
      <c r="AC137" s="11">
        <f t="shared" ref="AC137" si="105">AB145</f>
        <v>0</v>
      </c>
      <c r="AD137" s="11">
        <f t="shared" ref="AD137" si="106">AC145</f>
        <v>0</v>
      </c>
      <c r="AE137" s="11">
        <f t="shared" ref="AE137" si="107">AD145</f>
        <v>0</v>
      </c>
      <c r="AF137" s="11">
        <f t="shared" ref="AF137" si="108">AE145</f>
        <v>0</v>
      </c>
      <c r="AG137" s="11">
        <f t="shared" ref="AG137" si="109">AF145</f>
        <v>0</v>
      </c>
      <c r="AH137" s="11">
        <f t="shared" ref="AH137" si="110">AG145</f>
        <v>0</v>
      </c>
      <c r="AI137" s="11">
        <f t="shared" ref="AI137" si="111">AH145</f>
        <v>0</v>
      </c>
      <c r="AJ137" s="11">
        <f t="shared" ref="AJ137" si="112">AI145</f>
        <v>0</v>
      </c>
      <c r="AK137" s="11">
        <f t="shared" ref="AK137" si="113">AJ145</f>
        <v>0</v>
      </c>
      <c r="AL137" s="11">
        <f t="shared" ref="AL137" si="114">AK145</f>
        <v>0</v>
      </c>
      <c r="AM137" s="11">
        <f t="shared" ref="AM137" si="115">AL145</f>
        <v>0</v>
      </c>
      <c r="AN137" s="11">
        <f t="shared" ref="AN137" si="116">AM145</f>
        <v>0</v>
      </c>
      <c r="AO137" s="11">
        <f t="shared" ref="AO137" si="117">AN145</f>
        <v>0</v>
      </c>
      <c r="AP137" s="11">
        <f t="shared" ref="AP137" si="118">AO145</f>
        <v>0</v>
      </c>
      <c r="AQ137" s="11">
        <f t="shared" ref="AQ137" si="119">AP145</f>
        <v>0</v>
      </c>
      <c r="AR137" s="11">
        <f t="shared" ref="AR137" si="120">AQ145</f>
        <v>0</v>
      </c>
      <c r="AS137" s="11">
        <f t="shared" ref="AS137" si="121">AR145</f>
        <v>0</v>
      </c>
      <c r="AT137" s="11">
        <f t="shared" ref="AT137" si="122">AS145</f>
        <v>0</v>
      </c>
      <c r="AU137" s="11">
        <f t="shared" ref="AU137" si="123">AT145</f>
        <v>0</v>
      </c>
      <c r="AV137" s="11">
        <f t="shared" ref="AV137" si="124">AU145</f>
        <v>0</v>
      </c>
      <c r="AW137" s="11">
        <f t="shared" ref="AW137" si="125">AV145</f>
        <v>0</v>
      </c>
      <c r="AX137" s="11">
        <f t="shared" ref="AX137" si="126">AW145</f>
        <v>0</v>
      </c>
      <c r="AY137" s="11">
        <f t="shared" ref="AY137" si="127">AX145</f>
        <v>0</v>
      </c>
      <c r="AZ137" s="11">
        <f t="shared" ref="AZ137" si="128">AY145</f>
        <v>0</v>
      </c>
      <c r="BA137" s="11">
        <f t="shared" ref="BA137" si="129">AZ145</f>
        <v>0</v>
      </c>
    </row>
    <row r="138" spans="3:53" ht="15.75" customHeight="1" x14ac:dyDescent="0.35">
      <c r="E138" s="5" t="s">
        <v>30</v>
      </c>
      <c r="F138" s="5"/>
      <c r="G138" s="5"/>
      <c r="H138" s="5"/>
      <c r="I138" s="5"/>
      <c r="J138" s="5"/>
      <c r="K138" s="5"/>
      <c r="N138" s="1">
        <f t="shared" ref="N138:N144" si="130">SUM(Q138:BA138)</f>
        <v>0</v>
      </c>
      <c r="Q138" s="1">
        <f t="shared" ref="Q138:BA138" si="131">SUM(Q139:Q141)</f>
        <v>0</v>
      </c>
      <c r="R138" s="1">
        <f t="shared" si="131"/>
        <v>0</v>
      </c>
      <c r="S138" s="1">
        <f t="shared" si="131"/>
        <v>0</v>
      </c>
      <c r="T138" s="1">
        <f t="shared" si="131"/>
        <v>0</v>
      </c>
      <c r="U138" s="1">
        <f t="shared" si="131"/>
        <v>0</v>
      </c>
      <c r="V138" s="1">
        <f t="shared" si="131"/>
        <v>0</v>
      </c>
      <c r="W138" s="1">
        <f t="shared" si="131"/>
        <v>0</v>
      </c>
      <c r="X138" s="1">
        <f t="shared" si="131"/>
        <v>0</v>
      </c>
      <c r="Y138" s="1">
        <f t="shared" si="131"/>
        <v>0</v>
      </c>
      <c r="Z138" s="1">
        <f t="shared" si="131"/>
        <v>0</v>
      </c>
      <c r="AA138" s="1">
        <f t="shared" si="131"/>
        <v>0</v>
      </c>
      <c r="AB138" s="1">
        <f t="shared" si="131"/>
        <v>0</v>
      </c>
      <c r="AC138" s="1">
        <f t="shared" si="131"/>
        <v>0</v>
      </c>
      <c r="AD138" s="1">
        <f t="shared" si="131"/>
        <v>0</v>
      </c>
      <c r="AE138" s="1">
        <f t="shared" si="131"/>
        <v>0</v>
      </c>
      <c r="AF138" s="1">
        <f t="shared" si="131"/>
        <v>0</v>
      </c>
      <c r="AG138" s="1">
        <f t="shared" si="131"/>
        <v>0</v>
      </c>
      <c r="AH138" s="1">
        <f t="shared" si="131"/>
        <v>0</v>
      </c>
      <c r="AI138" s="1">
        <f t="shared" si="131"/>
        <v>0</v>
      </c>
      <c r="AJ138" s="1">
        <f t="shared" si="131"/>
        <v>0</v>
      </c>
      <c r="AK138" s="1">
        <f t="shared" si="131"/>
        <v>0</v>
      </c>
      <c r="AL138" s="1">
        <f t="shared" si="131"/>
        <v>0</v>
      </c>
      <c r="AM138" s="1">
        <f t="shared" si="131"/>
        <v>0</v>
      </c>
      <c r="AN138" s="1">
        <f t="shared" si="131"/>
        <v>0</v>
      </c>
      <c r="AO138" s="1">
        <f t="shared" si="131"/>
        <v>0</v>
      </c>
      <c r="AP138" s="1">
        <f t="shared" si="131"/>
        <v>0</v>
      </c>
      <c r="AQ138" s="1">
        <f t="shared" si="131"/>
        <v>0</v>
      </c>
      <c r="AR138" s="1">
        <f t="shared" si="131"/>
        <v>0</v>
      </c>
      <c r="AS138" s="1">
        <f t="shared" si="131"/>
        <v>0</v>
      </c>
      <c r="AT138" s="1">
        <f t="shared" si="131"/>
        <v>0</v>
      </c>
      <c r="AU138" s="1">
        <f t="shared" si="131"/>
        <v>0</v>
      </c>
      <c r="AV138" s="1">
        <f t="shared" si="131"/>
        <v>0</v>
      </c>
      <c r="AW138" s="1">
        <f t="shared" si="131"/>
        <v>0</v>
      </c>
      <c r="AX138" s="1">
        <f t="shared" si="131"/>
        <v>0</v>
      </c>
      <c r="AY138" s="1">
        <f t="shared" si="131"/>
        <v>0</v>
      </c>
      <c r="AZ138" s="1">
        <f t="shared" si="131"/>
        <v>0</v>
      </c>
      <c r="BA138" s="1">
        <f t="shared" si="131"/>
        <v>0</v>
      </c>
    </row>
    <row r="139" spans="3:53" ht="15.75" customHeight="1" x14ac:dyDescent="0.35">
      <c r="F139" s="5" t="s">
        <v>67</v>
      </c>
      <c r="G139" s="5"/>
      <c r="H139" s="5"/>
      <c r="I139" s="5"/>
      <c r="J139" s="5"/>
      <c r="K139" s="5"/>
      <c r="N139" s="1">
        <f t="shared" si="130"/>
        <v>0</v>
      </c>
      <c r="Q139" s="1">
        <f t="shared" ref="Q139:BA139" si="132">Q182</f>
        <v>0</v>
      </c>
      <c r="R139" s="1">
        <f t="shared" si="132"/>
        <v>0</v>
      </c>
      <c r="S139" s="1">
        <f t="shared" si="132"/>
        <v>0</v>
      </c>
      <c r="T139" s="1">
        <f t="shared" si="132"/>
        <v>0</v>
      </c>
      <c r="U139" s="1">
        <f t="shared" si="132"/>
        <v>0</v>
      </c>
      <c r="V139" s="1">
        <f t="shared" si="132"/>
        <v>0</v>
      </c>
      <c r="W139" s="1">
        <f t="shared" si="132"/>
        <v>0</v>
      </c>
      <c r="X139" s="1">
        <f t="shared" si="132"/>
        <v>0</v>
      </c>
      <c r="Y139" s="1">
        <f t="shared" si="132"/>
        <v>0</v>
      </c>
      <c r="Z139" s="1">
        <f t="shared" si="132"/>
        <v>0</v>
      </c>
      <c r="AA139" s="1">
        <f t="shared" si="132"/>
        <v>0</v>
      </c>
      <c r="AB139" s="1">
        <f t="shared" si="132"/>
        <v>0</v>
      </c>
      <c r="AC139" s="1">
        <f t="shared" si="132"/>
        <v>0</v>
      </c>
      <c r="AD139" s="1">
        <f t="shared" si="132"/>
        <v>0</v>
      </c>
      <c r="AE139" s="1">
        <f t="shared" si="132"/>
        <v>0</v>
      </c>
      <c r="AF139" s="1">
        <f t="shared" si="132"/>
        <v>0</v>
      </c>
      <c r="AG139" s="1">
        <f t="shared" si="132"/>
        <v>0</v>
      </c>
      <c r="AH139" s="1">
        <f t="shared" si="132"/>
        <v>0</v>
      </c>
      <c r="AI139" s="1">
        <f t="shared" si="132"/>
        <v>0</v>
      </c>
      <c r="AJ139" s="1">
        <f t="shared" si="132"/>
        <v>0</v>
      </c>
      <c r="AK139" s="1">
        <f t="shared" si="132"/>
        <v>0</v>
      </c>
      <c r="AL139" s="1">
        <f t="shared" si="132"/>
        <v>0</v>
      </c>
      <c r="AM139" s="1">
        <f t="shared" si="132"/>
        <v>0</v>
      </c>
      <c r="AN139" s="1">
        <f t="shared" si="132"/>
        <v>0</v>
      </c>
      <c r="AO139" s="1">
        <f t="shared" si="132"/>
        <v>0</v>
      </c>
      <c r="AP139" s="1">
        <f t="shared" si="132"/>
        <v>0</v>
      </c>
      <c r="AQ139" s="1">
        <f t="shared" si="132"/>
        <v>0</v>
      </c>
      <c r="AR139" s="1">
        <f t="shared" si="132"/>
        <v>0</v>
      </c>
      <c r="AS139" s="1">
        <f t="shared" si="132"/>
        <v>0</v>
      </c>
      <c r="AT139" s="1">
        <f t="shared" si="132"/>
        <v>0</v>
      </c>
      <c r="AU139" s="1">
        <f t="shared" si="132"/>
        <v>0</v>
      </c>
      <c r="AV139" s="1">
        <f t="shared" si="132"/>
        <v>0</v>
      </c>
      <c r="AW139" s="1">
        <f t="shared" si="132"/>
        <v>0</v>
      </c>
      <c r="AX139" s="1">
        <f t="shared" si="132"/>
        <v>0</v>
      </c>
      <c r="AY139" s="1">
        <f t="shared" si="132"/>
        <v>0</v>
      </c>
      <c r="AZ139" s="1">
        <f t="shared" si="132"/>
        <v>0</v>
      </c>
      <c r="BA139" s="1">
        <f t="shared" si="132"/>
        <v>0</v>
      </c>
    </row>
    <row r="140" spans="3:53" ht="15.75" customHeight="1" x14ac:dyDescent="0.35">
      <c r="F140" s="5" t="s">
        <v>71</v>
      </c>
      <c r="G140" s="5"/>
      <c r="H140" s="5"/>
      <c r="I140" s="5"/>
      <c r="J140" s="5"/>
      <c r="K140" s="5"/>
      <c r="N140" s="1">
        <f t="shared" si="130"/>
        <v>0</v>
      </c>
      <c r="Q140" s="1">
        <f>SUM($Q$175:$BA$175)*'zakładka techniczna'!$N$19*'zakładka techniczna'!$N$25*OPp.w1</f>
        <v>0</v>
      </c>
      <c r="R140" s="1">
        <f>SUM($Q$175:$BA$175)*'zakładka techniczna'!$N$19*'zakładka techniczna'!$N$25*OPp.w1</f>
        <v>0</v>
      </c>
      <c r="S140" s="1">
        <f>SUM($Q$175:$BA$175)*'zakładka techniczna'!$N$19*'zakładka techniczna'!$N$25*OPp.w1</f>
        <v>0</v>
      </c>
      <c r="T140" s="1">
        <f>SUM($Q$175:$BA$175)*'zakładka techniczna'!$N$19*'zakładka techniczna'!$N$25*OPp.w1</f>
        <v>0</v>
      </c>
      <c r="U140" s="1">
        <f>SUM($Q$175:$BA$175)*'zakładka techniczna'!$N$19*'zakładka techniczna'!$N$25*OPp.w1</f>
        <v>0</v>
      </c>
      <c r="V140" s="1">
        <f>SUM($Q$175:$BA$175)*'zakładka techniczna'!$N$19*'zakładka techniczna'!$N$25*OPp.w1</f>
        <v>0</v>
      </c>
      <c r="W140" s="1">
        <f>SUM($Q$175:$BA$175)*'zakładka techniczna'!$N$19*'zakładka techniczna'!$N$25*OPp.w1</f>
        <v>0</v>
      </c>
      <c r="X140" s="1">
        <f>SUM($Q$175:$BA$175)*'zakładka techniczna'!$N$19*'zakładka techniczna'!$N$25*OPp.w1</f>
        <v>0</v>
      </c>
      <c r="Y140" s="1">
        <f>SUM($Q$175:$BA$175)*'zakładka techniczna'!$N$19*'zakładka techniczna'!$N$25*OPp.w1</f>
        <v>0</v>
      </c>
      <c r="Z140" s="1">
        <f>SUM($Q$175:$BA$175)*'zakładka techniczna'!$N$19*'zakładka techniczna'!$N$25*OPp.w1</f>
        <v>0</v>
      </c>
      <c r="AA140" s="1">
        <f>SUM($Q$175:$BA$175)*'zakładka techniczna'!$N$19*'zakładka techniczna'!$N$25*OPp.w1</f>
        <v>0</v>
      </c>
      <c r="AB140" s="1">
        <f>SUM($Q$175:$BA$175)*'zakładka techniczna'!$N$19*'zakładka techniczna'!$N$25*OPp.w1</f>
        <v>0</v>
      </c>
      <c r="AC140" s="1">
        <f>SUM($Q$175:$BA$175)*'zakładka techniczna'!$N$19*'zakładka techniczna'!$N$25*OPp.w1</f>
        <v>0</v>
      </c>
      <c r="AD140" s="1">
        <f>SUM($Q$175:$BA$175)*'zakładka techniczna'!$N$19*'zakładka techniczna'!$N$25*OPp.w1</f>
        <v>0</v>
      </c>
      <c r="AE140" s="1">
        <f>SUM($Q$175:$BA$175)*'zakładka techniczna'!$N$19*'zakładka techniczna'!$N$25*OPp.w1</f>
        <v>0</v>
      </c>
      <c r="AF140" s="1">
        <f>SUM($Q$175:$BA$175)*'zakładka techniczna'!$N$19*'zakładka techniczna'!$N$25*OPp.w1</f>
        <v>0</v>
      </c>
      <c r="AG140" s="1">
        <f>SUM($Q$175:$BA$175)*'zakładka techniczna'!$N$19*'zakładka techniczna'!$N$25*OPp.w1</f>
        <v>0</v>
      </c>
      <c r="AH140" s="1">
        <f>SUM($Q$175:$BA$175)*'zakładka techniczna'!$N$19*'zakładka techniczna'!$N$25*OPp.w1</f>
        <v>0</v>
      </c>
      <c r="AI140" s="1">
        <f>SUM($Q$175:$BA$175)*'zakładka techniczna'!$N$19*'zakładka techniczna'!$N$25*OPp.w1</f>
        <v>0</v>
      </c>
      <c r="AJ140" s="1">
        <f>SUM($Q$175:$BA$175)*'zakładka techniczna'!$N$19*'zakładka techniczna'!$N$25*OPp.w1</f>
        <v>0</v>
      </c>
      <c r="AK140" s="1">
        <f>SUM($Q$175:$BA$175)*'zakładka techniczna'!$N$19*'zakładka techniczna'!$N$25*OPp.w1</f>
        <v>0</v>
      </c>
      <c r="AL140" s="1">
        <f>SUM($Q$175:$BA$175)*'zakładka techniczna'!$N$19*'zakładka techniczna'!$N$25*OPp.w1</f>
        <v>0</v>
      </c>
      <c r="AM140" s="1">
        <f>SUM($Q$175:$BA$175)*'zakładka techniczna'!$N$19*'zakładka techniczna'!$N$25*OPp.w1</f>
        <v>0</v>
      </c>
      <c r="AN140" s="1">
        <f>SUM($Q$175:$BA$175)*'zakładka techniczna'!$N$19*'zakładka techniczna'!$N$25*OPp.w1</f>
        <v>0</v>
      </c>
      <c r="AO140" s="1">
        <f>SUM($Q$175:$BA$175)*'zakładka techniczna'!$N$19*'zakładka techniczna'!$N$25*OPp.w1</f>
        <v>0</v>
      </c>
      <c r="AP140" s="1">
        <f>SUM($Q$175:$BA$175)*'zakładka techniczna'!$N$19*'zakładka techniczna'!$N$25*OPp.w1</f>
        <v>0</v>
      </c>
      <c r="AQ140" s="1">
        <f>SUM($Q$175:$BA$175)*'zakładka techniczna'!$N$19*'zakładka techniczna'!$N$25*OPp.w1</f>
        <v>0</v>
      </c>
      <c r="AR140" s="1">
        <f>SUM($Q$175:$BA$175)*'zakładka techniczna'!$N$19*'zakładka techniczna'!$N$25*OPp.w1</f>
        <v>0</v>
      </c>
      <c r="AS140" s="1">
        <f>SUM($Q$175:$BA$175)*'zakładka techniczna'!$N$19*'zakładka techniczna'!$N$25*OPp.w1</f>
        <v>0</v>
      </c>
      <c r="AT140" s="1">
        <f>SUM($Q$175:$BA$175)*'zakładka techniczna'!$N$19*'zakładka techniczna'!$N$25*OPp.w1</f>
        <v>0</v>
      </c>
      <c r="AU140" s="1">
        <f>SUM($Q$175:$BA$175)*'zakładka techniczna'!$N$19*'zakładka techniczna'!$N$25*OPp.w1</f>
        <v>0</v>
      </c>
      <c r="AV140" s="1">
        <f>SUM($Q$175:$BA$175)*'zakładka techniczna'!$N$19*'zakładka techniczna'!$N$25*OPp.w1</f>
        <v>0</v>
      </c>
      <c r="AW140" s="1">
        <f>SUM($Q$175:$BA$175)*'zakładka techniczna'!$N$19*'zakładka techniczna'!$N$25*OPp.w1</f>
        <v>0</v>
      </c>
      <c r="AX140" s="1">
        <f>SUM($Q$175:$BA$175)*'zakładka techniczna'!$N$19*'zakładka techniczna'!$N$25*OPp.w1</f>
        <v>0</v>
      </c>
      <c r="AY140" s="1">
        <f>SUM($Q$175:$BA$175)*'zakładka techniczna'!$N$19*'zakładka techniczna'!$N$25*OPp.w1</f>
        <v>0</v>
      </c>
      <c r="AZ140" s="1">
        <f>SUM($Q$175:$BA$175)*'zakładka techniczna'!$N$19*'zakładka techniczna'!$N$25*OPp.w1</f>
        <v>0</v>
      </c>
      <c r="BA140" s="1">
        <f>SUM($Q$175:$BA$175)*'zakładka techniczna'!$N$19*'zakładka techniczna'!$N$25*OPp.w1</f>
        <v>0</v>
      </c>
    </row>
    <row r="141" spans="3:53" ht="15.75" customHeight="1" x14ac:dyDescent="0.35">
      <c r="F141" s="5" t="s">
        <v>70</v>
      </c>
      <c r="G141" s="5"/>
      <c r="H141" s="5"/>
      <c r="I141" s="5"/>
      <c r="J141" s="5"/>
      <c r="K141" s="5"/>
      <c r="N141" s="1">
        <f t="shared" si="130"/>
        <v>0</v>
      </c>
      <c r="Q141" s="1">
        <f t="shared" ref="Q141:BA141" si="133">SUM(Q137,Q139)*SUM(Q148:Q149)*(OBt.w1+OPt.w1)</f>
        <v>0</v>
      </c>
      <c r="R141" s="1">
        <f t="shared" si="133"/>
        <v>0</v>
      </c>
      <c r="S141" s="1">
        <f t="shared" si="133"/>
        <v>0</v>
      </c>
      <c r="T141" s="1">
        <f t="shared" si="133"/>
        <v>0</v>
      </c>
      <c r="U141" s="1">
        <f t="shared" si="133"/>
        <v>0</v>
      </c>
      <c r="V141" s="1">
        <f t="shared" si="133"/>
        <v>0</v>
      </c>
      <c r="W141" s="1">
        <f t="shared" si="133"/>
        <v>0</v>
      </c>
      <c r="X141" s="1">
        <f t="shared" si="133"/>
        <v>0</v>
      </c>
      <c r="Y141" s="1">
        <f t="shared" si="133"/>
        <v>0</v>
      </c>
      <c r="Z141" s="1">
        <f t="shared" si="133"/>
        <v>0</v>
      </c>
      <c r="AA141" s="1">
        <f t="shared" si="133"/>
        <v>0</v>
      </c>
      <c r="AB141" s="1">
        <f t="shared" si="133"/>
        <v>0</v>
      </c>
      <c r="AC141" s="1">
        <f t="shared" si="133"/>
        <v>0</v>
      </c>
      <c r="AD141" s="1">
        <f t="shared" si="133"/>
        <v>0</v>
      </c>
      <c r="AE141" s="1">
        <f t="shared" si="133"/>
        <v>0</v>
      </c>
      <c r="AF141" s="1">
        <f t="shared" si="133"/>
        <v>0</v>
      </c>
      <c r="AG141" s="1">
        <f t="shared" si="133"/>
        <v>0</v>
      </c>
      <c r="AH141" s="1">
        <f t="shared" si="133"/>
        <v>0</v>
      </c>
      <c r="AI141" s="1">
        <f t="shared" si="133"/>
        <v>0</v>
      </c>
      <c r="AJ141" s="1">
        <f t="shared" si="133"/>
        <v>0</v>
      </c>
      <c r="AK141" s="1">
        <f t="shared" si="133"/>
        <v>0</v>
      </c>
      <c r="AL141" s="1">
        <f t="shared" si="133"/>
        <v>0</v>
      </c>
      <c r="AM141" s="1">
        <f t="shared" si="133"/>
        <v>0</v>
      </c>
      <c r="AN141" s="1">
        <f t="shared" si="133"/>
        <v>0</v>
      </c>
      <c r="AO141" s="1">
        <f t="shared" si="133"/>
        <v>0</v>
      </c>
      <c r="AP141" s="1">
        <f t="shared" si="133"/>
        <v>0</v>
      </c>
      <c r="AQ141" s="1">
        <f t="shared" si="133"/>
        <v>0</v>
      </c>
      <c r="AR141" s="1">
        <f t="shared" si="133"/>
        <v>0</v>
      </c>
      <c r="AS141" s="1">
        <f t="shared" si="133"/>
        <v>0</v>
      </c>
      <c r="AT141" s="1">
        <f t="shared" si="133"/>
        <v>0</v>
      </c>
      <c r="AU141" s="1">
        <f t="shared" si="133"/>
        <v>0</v>
      </c>
      <c r="AV141" s="1">
        <f t="shared" si="133"/>
        <v>0</v>
      </c>
      <c r="AW141" s="1">
        <f t="shared" si="133"/>
        <v>0</v>
      </c>
      <c r="AX141" s="1">
        <f t="shared" si="133"/>
        <v>0</v>
      </c>
      <c r="AY141" s="1">
        <f t="shared" si="133"/>
        <v>0</v>
      </c>
      <c r="AZ141" s="1">
        <f t="shared" si="133"/>
        <v>0</v>
      </c>
      <c r="BA141" s="1">
        <f t="shared" si="133"/>
        <v>0</v>
      </c>
    </row>
    <row r="142" spans="3:53" ht="15.75" customHeight="1" x14ac:dyDescent="0.35">
      <c r="E142" s="5" t="s">
        <v>31</v>
      </c>
      <c r="F142" s="5"/>
      <c r="G142" s="5"/>
      <c r="H142" s="5"/>
      <c r="I142" s="5"/>
      <c r="J142" s="5"/>
      <c r="K142" s="5"/>
      <c r="N142" s="1">
        <f t="shared" si="130"/>
        <v>0</v>
      </c>
      <c r="Q142" s="1">
        <f t="shared" ref="Q142:BA142" si="134">SUM(Q143:Q144)</f>
        <v>0</v>
      </c>
      <c r="R142" s="1">
        <f t="shared" si="134"/>
        <v>0</v>
      </c>
      <c r="S142" s="1">
        <f t="shared" si="134"/>
        <v>0</v>
      </c>
      <c r="T142" s="1">
        <f t="shared" si="134"/>
        <v>0</v>
      </c>
      <c r="U142" s="1">
        <f t="shared" si="134"/>
        <v>0</v>
      </c>
      <c r="V142" s="1">
        <f t="shared" si="134"/>
        <v>0</v>
      </c>
      <c r="W142" s="1">
        <f t="shared" si="134"/>
        <v>0</v>
      </c>
      <c r="X142" s="1">
        <f t="shared" si="134"/>
        <v>0</v>
      </c>
      <c r="Y142" s="1">
        <f t="shared" si="134"/>
        <v>0</v>
      </c>
      <c r="Z142" s="1">
        <f t="shared" si="134"/>
        <v>0</v>
      </c>
      <c r="AA142" s="1">
        <f t="shared" si="134"/>
        <v>0</v>
      </c>
      <c r="AB142" s="1">
        <f t="shared" si="134"/>
        <v>0</v>
      </c>
      <c r="AC142" s="1">
        <f t="shared" si="134"/>
        <v>0</v>
      </c>
      <c r="AD142" s="1">
        <f t="shared" si="134"/>
        <v>0</v>
      </c>
      <c r="AE142" s="1">
        <f t="shared" si="134"/>
        <v>0</v>
      </c>
      <c r="AF142" s="1">
        <f t="shared" si="134"/>
        <v>0</v>
      </c>
      <c r="AG142" s="1">
        <f t="shared" si="134"/>
        <v>0</v>
      </c>
      <c r="AH142" s="1">
        <f t="shared" si="134"/>
        <v>0</v>
      </c>
      <c r="AI142" s="1">
        <f t="shared" si="134"/>
        <v>0</v>
      </c>
      <c r="AJ142" s="1">
        <f t="shared" si="134"/>
        <v>0</v>
      </c>
      <c r="AK142" s="1">
        <f t="shared" si="134"/>
        <v>0</v>
      </c>
      <c r="AL142" s="1">
        <f t="shared" si="134"/>
        <v>0</v>
      </c>
      <c r="AM142" s="1">
        <f t="shared" si="134"/>
        <v>0</v>
      </c>
      <c r="AN142" s="1">
        <f t="shared" si="134"/>
        <v>0</v>
      </c>
      <c r="AO142" s="1">
        <f t="shared" si="134"/>
        <v>0</v>
      </c>
      <c r="AP142" s="1">
        <f t="shared" si="134"/>
        <v>0</v>
      </c>
      <c r="AQ142" s="1">
        <f t="shared" si="134"/>
        <v>0</v>
      </c>
      <c r="AR142" s="1">
        <f t="shared" si="134"/>
        <v>0</v>
      </c>
      <c r="AS142" s="1">
        <f t="shared" si="134"/>
        <v>0</v>
      </c>
      <c r="AT142" s="1">
        <f t="shared" si="134"/>
        <v>0</v>
      </c>
      <c r="AU142" s="1">
        <f t="shared" si="134"/>
        <v>0</v>
      </c>
      <c r="AV142" s="1">
        <f t="shared" si="134"/>
        <v>0</v>
      </c>
      <c r="AW142" s="1">
        <f t="shared" si="134"/>
        <v>0</v>
      </c>
      <c r="AX142" s="1">
        <f t="shared" si="134"/>
        <v>0</v>
      </c>
      <c r="AY142" s="1">
        <f t="shared" si="134"/>
        <v>0</v>
      </c>
      <c r="AZ142" s="1">
        <f t="shared" si="134"/>
        <v>0</v>
      </c>
      <c r="BA142" s="1">
        <f t="shared" si="134"/>
        <v>0</v>
      </c>
    </row>
    <row r="143" spans="3:53" ht="15.75" customHeight="1" x14ac:dyDescent="0.35">
      <c r="E143" s="5"/>
      <c r="F143" s="5" t="s">
        <v>83</v>
      </c>
      <c r="G143" s="5"/>
      <c r="H143" s="5"/>
      <c r="I143" s="5"/>
      <c r="J143" s="5"/>
      <c r="K143" s="5"/>
      <c r="N143" s="1">
        <f t="shared" si="130"/>
        <v>0</v>
      </c>
      <c r="Q143" s="1">
        <f>IFERROR(-MIN(Q137,SUM($P$139:Q141)/SUM(OEt.w1))*OEt.w1,0)</f>
        <v>0</v>
      </c>
      <c r="R143" s="1">
        <f>IFERROR(-MIN(R137,SUM($P$139:R141)/SUM(OEt.w1))*OEt.w1,0)</f>
        <v>0</v>
      </c>
      <c r="S143" s="1">
        <f>IFERROR(-MIN(S137,SUM($P$139:S141)/SUM(OEt.w1))*OEt.w1,0)</f>
        <v>0</v>
      </c>
      <c r="T143" s="1">
        <f>IFERROR(-MIN(T137,SUM($P$139:T141)/SUM(OEt.w1))*OEt.w1,0)</f>
        <v>0</v>
      </c>
      <c r="U143" s="1">
        <f>IFERROR(-MIN(U137,SUM($P$139:U141)/SUM(OEt.w1))*OEt.w1,0)</f>
        <v>0</v>
      </c>
      <c r="V143" s="1">
        <f>IFERROR(-MIN(V137,SUM($P$139:V141)/SUM(OEt.w1))*OEt.w1,0)</f>
        <v>0</v>
      </c>
      <c r="W143" s="1">
        <f>IFERROR(-MIN(W137,SUM($P$139:W141)/SUM(OEt.w1))*OEt.w1,0)</f>
        <v>0</v>
      </c>
      <c r="X143" s="1">
        <f>IFERROR(-MIN(X137,SUM($P$139:X141)/SUM(OEt.w1))*OEt.w1,0)</f>
        <v>0</v>
      </c>
      <c r="Y143" s="1">
        <f>IFERROR(-MIN(Y137,SUM($P$139:Y141)/SUM(OEt.w1))*OEt.w1,0)</f>
        <v>0</v>
      </c>
      <c r="Z143" s="1">
        <f>IFERROR(-MIN(Z137,SUM($P$139:Z141)/SUM(OEt.w1))*OEt.w1,0)</f>
        <v>0</v>
      </c>
      <c r="AA143" s="1">
        <f>IFERROR(-MIN(AA137,SUM($P$139:AA141)/SUM(OEt.w1))*OEt.w1,0)</f>
        <v>0</v>
      </c>
      <c r="AB143" s="1">
        <f>IFERROR(-MIN(AB137,SUM($P$139:AB141)/SUM(OEt.w1))*OEt.w1,0)</f>
        <v>0</v>
      </c>
      <c r="AC143" s="1">
        <f>IFERROR(-MIN(AC137,SUM($P$139:AC141)/SUM(OEt.w1))*OEt.w1,0)</f>
        <v>0</v>
      </c>
      <c r="AD143" s="1">
        <f>IFERROR(-MIN(AD137,SUM($P$139:AD141)/SUM(OEt.w1))*OEt.w1,0)</f>
        <v>0</v>
      </c>
      <c r="AE143" s="1">
        <f>IFERROR(-MIN(AE137,SUM($P$139:AE141)/SUM(OEt.w1))*OEt.w1,0)</f>
        <v>0</v>
      </c>
      <c r="AF143" s="1">
        <f>IFERROR(-MIN(AF137,SUM($P$139:AF141)/SUM(OEt.w1))*OEt.w1,0)</f>
        <v>0</v>
      </c>
      <c r="AG143" s="1">
        <f>IFERROR(-MIN(AG137,SUM($P$139:AG141)/SUM(OEt.w1))*OEt.w1,0)</f>
        <v>0</v>
      </c>
      <c r="AH143" s="1">
        <f>IFERROR(-MIN(AH137,SUM($P$139:AH141)/SUM(OEt.w1))*OEt.w1,0)</f>
        <v>0</v>
      </c>
      <c r="AI143" s="1">
        <f>IFERROR(-MIN(AI137,SUM($P$139:AI141)/SUM(OEt.w1))*OEt.w1,0)</f>
        <v>0</v>
      </c>
      <c r="AJ143" s="1">
        <f>IFERROR(-MIN(AJ137,SUM($P$139:AJ141)/SUM(OEt.w1))*OEt.w1,0)</f>
        <v>0</v>
      </c>
      <c r="AK143" s="1">
        <f>IFERROR(-MIN(AK137,SUM($P$139:AK141)/SUM(OEt.w1))*OEt.w1,0)</f>
        <v>0</v>
      </c>
      <c r="AL143" s="1">
        <f>IFERROR(-MIN(AL137,SUM($P$139:AL141)/SUM(OEt.w1))*OEt.w1,0)</f>
        <v>0</v>
      </c>
      <c r="AM143" s="1">
        <f>IFERROR(-MIN(AM137,SUM($P$139:AM141)/SUM(OEt.w1))*OEt.w1,0)</f>
        <v>0</v>
      </c>
      <c r="AN143" s="1">
        <f>IFERROR(-MIN(AN137,SUM($P$139:AN141)/SUM(OEt.w1))*OEt.w1,0)</f>
        <v>0</v>
      </c>
      <c r="AO143" s="1">
        <f>IFERROR(-MIN(AO137,SUM($P$139:AO141)/SUM(OEt.w1))*OEt.w1,0)</f>
        <v>0</v>
      </c>
      <c r="AP143" s="1">
        <f>IFERROR(-MIN(AP137,SUM($P$139:AP141)/SUM(OEt.w1))*OEt.w1,0)</f>
        <v>0</v>
      </c>
      <c r="AQ143" s="1">
        <f>IFERROR(-MIN(AQ137,SUM($P$139:AQ141)/SUM(OEt.w1))*OEt.w1,0)</f>
        <v>0</v>
      </c>
      <c r="AR143" s="1">
        <f>IFERROR(-MIN(AR137,SUM($P$139:AR141)/SUM(OEt.w1))*OEt.w1,0)</f>
        <v>0</v>
      </c>
      <c r="AS143" s="1">
        <f>IFERROR(-MIN(AS137,SUM($P$139:AS141)/SUM(OEt.w1))*OEt.w1,0)</f>
        <v>0</v>
      </c>
      <c r="AT143" s="1">
        <f>IFERROR(-MIN(AT137,SUM($P$139:AT141)/SUM(OEt.w1))*OEt.w1,0)</f>
        <v>0</v>
      </c>
      <c r="AU143" s="1">
        <f>IFERROR(-MIN(AU137,SUM($P$139:AU141)/SUM(OEt.w1))*OEt.w1,0)</f>
        <v>0</v>
      </c>
      <c r="AV143" s="1">
        <f>IFERROR(-MIN(AV137,SUM($P$139:AV141)/SUM(OEt.w1))*OEt.w1,0)</f>
        <v>0</v>
      </c>
      <c r="AW143" s="1">
        <f>IFERROR(-MIN(AW137,SUM($P$139:AW141)/SUM(OEt.w1))*OEt.w1,0)</f>
        <v>0</v>
      </c>
      <c r="AX143" s="1">
        <f>IFERROR(-MIN(AX137,SUM($P$139:AX141)/SUM(OEt.w1))*OEt.w1,0)</f>
        <v>0</v>
      </c>
      <c r="AY143" s="1">
        <f>IFERROR(-MIN(AY137,SUM($P$139:AY141)/SUM(OEt.w1))*OEt.w1,0)</f>
        <v>0</v>
      </c>
      <c r="AZ143" s="1">
        <f>IFERROR(-MIN(AZ137,SUM($P$139:AZ141)/SUM(OEt.w1))*OEt.w1,0)</f>
        <v>0</v>
      </c>
      <c r="BA143" s="1">
        <f>IFERROR(-MIN(BA137,SUM($P$139:BA141)/SUM(OEt.w1))*OEt.w1,0)</f>
        <v>0</v>
      </c>
    </row>
    <row r="144" spans="3:53" ht="15.75" customHeight="1" x14ac:dyDescent="0.35">
      <c r="E144" s="5"/>
      <c r="F144" s="5" t="s">
        <v>84</v>
      </c>
      <c r="G144" s="5"/>
      <c r="H144" s="5"/>
      <c r="I144" s="5"/>
      <c r="J144" s="5"/>
      <c r="K144" s="5"/>
      <c r="N144" s="1">
        <f t="shared" si="130"/>
        <v>0</v>
      </c>
      <c r="Q144" s="1">
        <f t="shared" ref="Q144:AX144" si="135">Q198</f>
        <v>0</v>
      </c>
      <c r="R144" s="1">
        <f t="shared" si="135"/>
        <v>0</v>
      </c>
      <c r="S144" s="1">
        <f t="shared" si="135"/>
        <v>0</v>
      </c>
      <c r="T144" s="1">
        <f t="shared" si="135"/>
        <v>0</v>
      </c>
      <c r="U144" s="1">
        <f t="shared" si="135"/>
        <v>0</v>
      </c>
      <c r="V144" s="1">
        <f t="shared" si="135"/>
        <v>0</v>
      </c>
      <c r="W144" s="1">
        <f t="shared" si="135"/>
        <v>0</v>
      </c>
      <c r="X144" s="1">
        <f t="shared" si="135"/>
        <v>0</v>
      </c>
      <c r="Y144" s="1">
        <f t="shared" si="135"/>
        <v>0</v>
      </c>
      <c r="Z144" s="1">
        <f t="shared" si="135"/>
        <v>0</v>
      </c>
      <c r="AA144" s="1">
        <f t="shared" si="135"/>
        <v>0</v>
      </c>
      <c r="AB144" s="1">
        <f t="shared" si="135"/>
        <v>0</v>
      </c>
      <c r="AC144" s="1">
        <f t="shared" si="135"/>
        <v>0</v>
      </c>
      <c r="AD144" s="1">
        <f t="shared" si="135"/>
        <v>0</v>
      </c>
      <c r="AE144" s="1">
        <f t="shared" si="135"/>
        <v>0</v>
      </c>
      <c r="AF144" s="1">
        <f t="shared" si="135"/>
        <v>0</v>
      </c>
      <c r="AG144" s="1">
        <f t="shared" si="135"/>
        <v>0</v>
      </c>
      <c r="AH144" s="1">
        <f t="shared" si="135"/>
        <v>0</v>
      </c>
      <c r="AI144" s="1">
        <f t="shared" si="135"/>
        <v>0</v>
      </c>
      <c r="AJ144" s="1">
        <f t="shared" si="135"/>
        <v>0</v>
      </c>
      <c r="AK144" s="1">
        <f t="shared" si="135"/>
        <v>0</v>
      </c>
      <c r="AL144" s="1">
        <f t="shared" si="135"/>
        <v>0</v>
      </c>
      <c r="AM144" s="1">
        <f t="shared" si="135"/>
        <v>0</v>
      </c>
      <c r="AN144" s="1">
        <f t="shared" si="135"/>
        <v>0</v>
      </c>
      <c r="AO144" s="1">
        <f t="shared" si="135"/>
        <v>0</v>
      </c>
      <c r="AP144" s="1">
        <f t="shared" si="135"/>
        <v>0</v>
      </c>
      <c r="AQ144" s="1">
        <f t="shared" si="135"/>
        <v>0</v>
      </c>
      <c r="AR144" s="1">
        <f t="shared" si="135"/>
        <v>0</v>
      </c>
      <c r="AS144" s="1">
        <f t="shared" si="135"/>
        <v>0</v>
      </c>
      <c r="AT144" s="1">
        <f t="shared" si="135"/>
        <v>0</v>
      </c>
      <c r="AU144" s="1">
        <f t="shared" si="135"/>
        <v>0</v>
      </c>
      <c r="AV144" s="1">
        <f t="shared" si="135"/>
        <v>0</v>
      </c>
      <c r="AW144" s="1">
        <f t="shared" si="135"/>
        <v>0</v>
      </c>
      <c r="AX144" s="1">
        <f t="shared" si="135"/>
        <v>0</v>
      </c>
      <c r="AY144" s="1">
        <f>AY198</f>
        <v>0</v>
      </c>
      <c r="AZ144" s="1">
        <f t="shared" ref="AZ144:BA144" si="136">AZ198</f>
        <v>0</v>
      </c>
      <c r="BA144" s="1">
        <f t="shared" si="136"/>
        <v>0</v>
      </c>
    </row>
    <row r="145" spans="1:54" ht="15.75" customHeight="1" x14ac:dyDescent="0.35">
      <c r="D145" s="2" t="s">
        <v>27</v>
      </c>
      <c r="E145" s="5"/>
      <c r="F145" s="5"/>
      <c r="G145" s="5"/>
      <c r="H145" s="5"/>
      <c r="I145" s="5"/>
      <c r="J145" s="5"/>
      <c r="K145" s="5"/>
      <c r="N145" s="1">
        <f>SUM(N137,N138,N142)</f>
        <v>0</v>
      </c>
      <c r="Q145" s="1">
        <f t="shared" ref="Q145:BA145" si="137">SUM(Q137,Q138,Q142)</f>
        <v>0</v>
      </c>
      <c r="R145" s="1">
        <f t="shared" si="137"/>
        <v>0</v>
      </c>
      <c r="S145" s="1">
        <f t="shared" si="137"/>
        <v>0</v>
      </c>
      <c r="T145" s="1">
        <f t="shared" si="137"/>
        <v>0</v>
      </c>
      <c r="U145" s="1">
        <f t="shared" si="137"/>
        <v>0</v>
      </c>
      <c r="V145" s="1">
        <f t="shared" si="137"/>
        <v>0</v>
      </c>
      <c r="W145" s="1">
        <f t="shared" si="137"/>
        <v>0</v>
      </c>
      <c r="X145" s="1">
        <f t="shared" si="137"/>
        <v>0</v>
      </c>
      <c r="Y145" s="1">
        <f t="shared" si="137"/>
        <v>0</v>
      </c>
      <c r="Z145" s="1">
        <f t="shared" si="137"/>
        <v>0</v>
      </c>
      <c r="AA145" s="1">
        <f t="shared" si="137"/>
        <v>0</v>
      </c>
      <c r="AB145" s="1">
        <f t="shared" si="137"/>
        <v>0</v>
      </c>
      <c r="AC145" s="1">
        <f t="shared" si="137"/>
        <v>0</v>
      </c>
      <c r="AD145" s="1">
        <f t="shared" si="137"/>
        <v>0</v>
      </c>
      <c r="AE145" s="1">
        <f t="shared" si="137"/>
        <v>0</v>
      </c>
      <c r="AF145" s="1">
        <f t="shared" si="137"/>
        <v>0</v>
      </c>
      <c r="AG145" s="1">
        <f t="shared" si="137"/>
        <v>0</v>
      </c>
      <c r="AH145" s="1">
        <f t="shared" si="137"/>
        <v>0</v>
      </c>
      <c r="AI145" s="1">
        <f t="shared" si="137"/>
        <v>0</v>
      </c>
      <c r="AJ145" s="1">
        <f t="shared" si="137"/>
        <v>0</v>
      </c>
      <c r="AK145" s="1">
        <f t="shared" si="137"/>
        <v>0</v>
      </c>
      <c r="AL145" s="1">
        <f t="shared" si="137"/>
        <v>0</v>
      </c>
      <c r="AM145" s="1">
        <f t="shared" si="137"/>
        <v>0</v>
      </c>
      <c r="AN145" s="1">
        <f t="shared" si="137"/>
        <v>0</v>
      </c>
      <c r="AO145" s="1">
        <f t="shared" si="137"/>
        <v>0</v>
      </c>
      <c r="AP145" s="1">
        <f t="shared" si="137"/>
        <v>0</v>
      </c>
      <c r="AQ145" s="1">
        <f t="shared" si="137"/>
        <v>0</v>
      </c>
      <c r="AR145" s="1">
        <f t="shared" si="137"/>
        <v>0</v>
      </c>
      <c r="AS145" s="1">
        <f t="shared" si="137"/>
        <v>0</v>
      </c>
      <c r="AT145" s="1">
        <f t="shared" si="137"/>
        <v>0</v>
      </c>
      <c r="AU145" s="1">
        <f t="shared" si="137"/>
        <v>0</v>
      </c>
      <c r="AV145" s="1">
        <f t="shared" si="137"/>
        <v>0</v>
      </c>
      <c r="AW145" s="1">
        <f t="shared" si="137"/>
        <v>0</v>
      </c>
      <c r="AX145" s="1">
        <f t="shared" si="137"/>
        <v>0</v>
      </c>
      <c r="AY145" s="1">
        <f t="shared" si="137"/>
        <v>0</v>
      </c>
      <c r="AZ145" s="1">
        <f t="shared" si="137"/>
        <v>0</v>
      </c>
      <c r="BA145" s="1">
        <f t="shared" si="137"/>
        <v>0</v>
      </c>
    </row>
    <row r="146" spans="1:54" x14ac:dyDescent="0.35">
      <c r="D146" s="5"/>
    </row>
    <row r="147" spans="1:54" ht="15.75" customHeight="1" x14ac:dyDescent="0.35">
      <c r="D147" s="2" t="s">
        <v>147</v>
      </c>
      <c r="E147" s="5"/>
      <c r="F147" s="5"/>
      <c r="G147" s="5"/>
      <c r="H147" s="5"/>
      <c r="I147" s="5"/>
      <c r="J147" s="5"/>
      <c r="K147" s="5"/>
      <c r="N147" s="1">
        <f>SUM(Q147:BA147)</f>
        <v>0</v>
      </c>
      <c r="Q147" s="1">
        <f t="shared" ref="Q147:BA147" si="138">SUM(Q137,Q139)*SUM(Q148:Q150)*OEt.w1</f>
        <v>0</v>
      </c>
      <c r="R147" s="1">
        <f t="shared" si="138"/>
        <v>0</v>
      </c>
      <c r="S147" s="1">
        <f t="shared" si="138"/>
        <v>0</v>
      </c>
      <c r="T147" s="1">
        <f t="shared" si="138"/>
        <v>0</v>
      </c>
      <c r="U147" s="1">
        <f t="shared" si="138"/>
        <v>0</v>
      </c>
      <c r="V147" s="1">
        <f t="shared" si="138"/>
        <v>0</v>
      </c>
      <c r="W147" s="1">
        <f t="shared" si="138"/>
        <v>0</v>
      </c>
      <c r="X147" s="1">
        <f t="shared" si="138"/>
        <v>0</v>
      </c>
      <c r="Y147" s="1">
        <f t="shared" si="138"/>
        <v>0</v>
      </c>
      <c r="Z147" s="1">
        <f t="shared" si="138"/>
        <v>0</v>
      </c>
      <c r="AA147" s="1">
        <f t="shared" si="138"/>
        <v>0</v>
      </c>
      <c r="AB147" s="1">
        <f t="shared" si="138"/>
        <v>0</v>
      </c>
      <c r="AC147" s="1">
        <f t="shared" si="138"/>
        <v>0</v>
      </c>
      <c r="AD147" s="1">
        <f t="shared" si="138"/>
        <v>0</v>
      </c>
      <c r="AE147" s="1">
        <f t="shared" si="138"/>
        <v>0</v>
      </c>
      <c r="AF147" s="1">
        <f t="shared" si="138"/>
        <v>0</v>
      </c>
      <c r="AG147" s="1">
        <f t="shared" si="138"/>
        <v>0</v>
      </c>
      <c r="AH147" s="1">
        <f t="shared" si="138"/>
        <v>0</v>
      </c>
      <c r="AI147" s="1">
        <f t="shared" si="138"/>
        <v>0</v>
      </c>
      <c r="AJ147" s="1">
        <f t="shared" si="138"/>
        <v>0</v>
      </c>
      <c r="AK147" s="1">
        <f t="shared" si="138"/>
        <v>0</v>
      </c>
      <c r="AL147" s="1">
        <f t="shared" si="138"/>
        <v>0</v>
      </c>
      <c r="AM147" s="1">
        <f t="shared" si="138"/>
        <v>0</v>
      </c>
      <c r="AN147" s="1">
        <f t="shared" si="138"/>
        <v>0</v>
      </c>
      <c r="AO147" s="1">
        <f t="shared" si="138"/>
        <v>0</v>
      </c>
      <c r="AP147" s="1">
        <f t="shared" si="138"/>
        <v>0</v>
      </c>
      <c r="AQ147" s="1">
        <f t="shared" si="138"/>
        <v>0</v>
      </c>
      <c r="AR147" s="1">
        <f t="shared" si="138"/>
        <v>0</v>
      </c>
      <c r="AS147" s="1">
        <f t="shared" si="138"/>
        <v>0</v>
      </c>
      <c r="AT147" s="1">
        <f t="shared" si="138"/>
        <v>0</v>
      </c>
      <c r="AU147" s="1">
        <f t="shared" si="138"/>
        <v>0</v>
      </c>
      <c r="AV147" s="1">
        <f t="shared" si="138"/>
        <v>0</v>
      </c>
      <c r="AW147" s="1">
        <f t="shared" si="138"/>
        <v>0</v>
      </c>
      <c r="AX147" s="1">
        <f t="shared" si="138"/>
        <v>0</v>
      </c>
      <c r="AY147" s="1">
        <f t="shared" si="138"/>
        <v>0</v>
      </c>
      <c r="AZ147" s="1">
        <f t="shared" si="138"/>
        <v>0</v>
      </c>
      <c r="BA147" s="1">
        <f t="shared" si="138"/>
        <v>0</v>
      </c>
    </row>
    <row r="148" spans="1:54" ht="15.75" customHeight="1" x14ac:dyDescent="0.35">
      <c r="E148" s="5" t="s">
        <v>35</v>
      </c>
      <c r="F148" s="5"/>
      <c r="G148" s="5"/>
      <c r="H148" s="5"/>
      <c r="I148" s="5"/>
      <c r="J148" s="5"/>
      <c r="K148" s="5"/>
      <c r="Q148" s="6">
        <f>'zakładka techniczna'!Q$11</f>
        <v>5.5199999999999999E-2</v>
      </c>
      <c r="R148" s="6">
        <f>'zakładka techniczna'!R$11</f>
        <v>5.1799999999999999E-2</v>
      </c>
      <c r="S148" s="6">
        <f>'zakładka techniczna'!S$11</f>
        <v>4.6199999999999998E-2</v>
      </c>
      <c r="T148" s="6">
        <f>'zakładka techniczna'!T$11</f>
        <v>4.6199999999999998E-2</v>
      </c>
      <c r="U148" s="6">
        <f>'zakładka techniczna'!U$11</f>
        <v>3.5000000000000003E-2</v>
      </c>
      <c r="V148" s="6">
        <f>'zakładka techniczna'!V$11</f>
        <v>3.5000000000000003E-2</v>
      </c>
      <c r="W148" s="6">
        <f>'zakładka techniczna'!W$11</f>
        <v>3.5000000000000003E-2</v>
      </c>
      <c r="X148" s="6">
        <f>'zakładka techniczna'!X$11</f>
        <v>3.5000000000000003E-2</v>
      </c>
      <c r="Y148" s="6">
        <f>'zakładka techniczna'!Y$11</f>
        <v>3.5000000000000003E-2</v>
      </c>
      <c r="Z148" s="6">
        <f>'zakładka techniczna'!Z$11</f>
        <v>3.5000000000000003E-2</v>
      </c>
      <c r="AA148" s="6">
        <f>'zakładka techniczna'!AA$11</f>
        <v>3.5000000000000003E-2</v>
      </c>
      <c r="AB148" s="6">
        <f>'zakładka techniczna'!AB$11</f>
        <v>3.5000000000000003E-2</v>
      </c>
      <c r="AC148" s="6">
        <f>'zakładka techniczna'!AC$11</f>
        <v>3.5000000000000003E-2</v>
      </c>
      <c r="AD148" s="6">
        <f>'zakładka techniczna'!AD$11</f>
        <v>3.5000000000000003E-2</v>
      </c>
      <c r="AE148" s="6">
        <f>'zakładka techniczna'!AE$11</f>
        <v>3.5000000000000003E-2</v>
      </c>
      <c r="AF148" s="6">
        <f>'zakładka techniczna'!AF$11</f>
        <v>3.5000000000000003E-2</v>
      </c>
      <c r="AG148" s="6">
        <f>'zakładka techniczna'!AG$11</f>
        <v>3.5000000000000003E-2</v>
      </c>
      <c r="AH148" s="6">
        <f>'zakładka techniczna'!AH$11</f>
        <v>3.5000000000000003E-2</v>
      </c>
      <c r="AI148" s="6">
        <f>'zakładka techniczna'!AI$11</f>
        <v>3.5000000000000003E-2</v>
      </c>
      <c r="AJ148" s="6">
        <f>'zakładka techniczna'!AJ$11</f>
        <v>3.5000000000000003E-2</v>
      </c>
      <c r="AK148" s="6">
        <f>'zakładka techniczna'!AK$11</f>
        <v>3.5000000000000003E-2</v>
      </c>
      <c r="AL148" s="6">
        <f>'zakładka techniczna'!AL$11</f>
        <v>3.5000000000000003E-2</v>
      </c>
      <c r="AM148" s="6">
        <f>'zakładka techniczna'!AM$11</f>
        <v>3.5000000000000003E-2</v>
      </c>
      <c r="AN148" s="6">
        <f>'zakładka techniczna'!AN$11</f>
        <v>3.5000000000000003E-2</v>
      </c>
      <c r="AO148" s="6">
        <f>'zakładka techniczna'!AO$11</f>
        <v>3.5000000000000003E-2</v>
      </c>
      <c r="AP148" s="6">
        <f>'zakładka techniczna'!AP$11</f>
        <v>3.5000000000000003E-2</v>
      </c>
      <c r="AQ148" s="6">
        <f>'zakładka techniczna'!AQ$11</f>
        <v>3.5000000000000003E-2</v>
      </c>
      <c r="AR148" s="6">
        <f>'zakładka techniczna'!AR$11</f>
        <v>3.5000000000000003E-2</v>
      </c>
      <c r="AS148" s="6">
        <f>'zakładka techniczna'!AS$11</f>
        <v>3.5000000000000003E-2</v>
      </c>
      <c r="AT148" s="6">
        <f>'zakładka techniczna'!AT$11</f>
        <v>3.5000000000000003E-2</v>
      </c>
      <c r="AU148" s="6">
        <f>'zakładka techniczna'!AU$11</f>
        <v>3.5000000000000003E-2</v>
      </c>
      <c r="AV148" s="6">
        <f>'zakładka techniczna'!AV$11</f>
        <v>3.5000000000000003E-2</v>
      </c>
      <c r="AW148" s="6">
        <f>'zakładka techniczna'!AW$11</f>
        <v>3.5000000000000003E-2</v>
      </c>
      <c r="AX148" s="6">
        <f>'zakładka techniczna'!AX$11</f>
        <v>3.5000000000000003E-2</v>
      </c>
      <c r="AY148" s="6">
        <f>'zakładka techniczna'!AY$11</f>
        <v>3.5000000000000003E-2</v>
      </c>
      <c r="AZ148" s="6">
        <f>'zakładka techniczna'!AZ$11</f>
        <v>3.5000000000000003E-2</v>
      </c>
      <c r="BA148" s="6">
        <f>'zakładka techniczna'!BA$11</f>
        <v>3.5000000000000003E-2</v>
      </c>
    </row>
    <row r="149" spans="1:54" ht="15.75" customHeight="1" x14ac:dyDescent="0.35">
      <c r="E149" s="5" t="s">
        <v>74</v>
      </c>
      <c r="F149" s="5"/>
      <c r="G149" s="5"/>
      <c r="H149" s="5"/>
      <c r="I149" s="5"/>
      <c r="J149" s="5"/>
      <c r="K149" s="5"/>
      <c r="Q149" s="6">
        <f>'zakładka techniczna'!$N$23</f>
        <v>2.5000000000000001E-2</v>
      </c>
      <c r="R149" s="6">
        <f>'zakładka techniczna'!$N$23</f>
        <v>2.5000000000000001E-2</v>
      </c>
      <c r="S149" s="6">
        <f>'zakładka techniczna'!$N$23</f>
        <v>2.5000000000000001E-2</v>
      </c>
      <c r="T149" s="6">
        <f>'zakładka techniczna'!$N$23</f>
        <v>2.5000000000000001E-2</v>
      </c>
      <c r="U149" s="6">
        <f>'zakładka techniczna'!$N$23</f>
        <v>2.5000000000000001E-2</v>
      </c>
      <c r="V149" s="6">
        <f>'zakładka techniczna'!$N$23</f>
        <v>2.5000000000000001E-2</v>
      </c>
      <c r="W149" s="6">
        <f>'zakładka techniczna'!$N$23</f>
        <v>2.5000000000000001E-2</v>
      </c>
      <c r="X149" s="6">
        <f>'zakładka techniczna'!$N$23</f>
        <v>2.5000000000000001E-2</v>
      </c>
      <c r="Y149" s="6">
        <f>'zakładka techniczna'!$N$23</f>
        <v>2.5000000000000001E-2</v>
      </c>
      <c r="Z149" s="6">
        <f>'zakładka techniczna'!$N$23</f>
        <v>2.5000000000000001E-2</v>
      </c>
      <c r="AA149" s="6">
        <f>'zakładka techniczna'!$N$23</f>
        <v>2.5000000000000001E-2</v>
      </c>
      <c r="AB149" s="6">
        <f>'zakładka techniczna'!$N$23</f>
        <v>2.5000000000000001E-2</v>
      </c>
      <c r="AC149" s="6">
        <f>'zakładka techniczna'!$N$23</f>
        <v>2.5000000000000001E-2</v>
      </c>
      <c r="AD149" s="6">
        <f>'zakładka techniczna'!$N$23</f>
        <v>2.5000000000000001E-2</v>
      </c>
      <c r="AE149" s="6">
        <f>'zakładka techniczna'!$N$23</f>
        <v>2.5000000000000001E-2</v>
      </c>
      <c r="AF149" s="6">
        <f>'zakładka techniczna'!$N$23</f>
        <v>2.5000000000000001E-2</v>
      </c>
      <c r="AG149" s="6">
        <f>'zakładka techniczna'!$N$23</f>
        <v>2.5000000000000001E-2</v>
      </c>
      <c r="AH149" s="6">
        <f>'zakładka techniczna'!$N$23</f>
        <v>2.5000000000000001E-2</v>
      </c>
      <c r="AI149" s="6">
        <f>'zakładka techniczna'!$N$23</f>
        <v>2.5000000000000001E-2</v>
      </c>
      <c r="AJ149" s="6">
        <f>'zakładka techniczna'!$N$23</f>
        <v>2.5000000000000001E-2</v>
      </c>
      <c r="AK149" s="6">
        <f>'zakładka techniczna'!$N$23</f>
        <v>2.5000000000000001E-2</v>
      </c>
      <c r="AL149" s="6">
        <f>'zakładka techniczna'!$N$23</f>
        <v>2.5000000000000001E-2</v>
      </c>
      <c r="AM149" s="6">
        <f>'zakładka techniczna'!$N$23</f>
        <v>2.5000000000000001E-2</v>
      </c>
      <c r="AN149" s="6">
        <f>'zakładka techniczna'!$N$23</f>
        <v>2.5000000000000001E-2</v>
      </c>
      <c r="AO149" s="6">
        <f>'zakładka techniczna'!$N$23</f>
        <v>2.5000000000000001E-2</v>
      </c>
      <c r="AP149" s="6">
        <f>'zakładka techniczna'!$N$23</f>
        <v>2.5000000000000001E-2</v>
      </c>
      <c r="AQ149" s="6">
        <f>'zakładka techniczna'!$N$23</f>
        <v>2.5000000000000001E-2</v>
      </c>
      <c r="AR149" s="6">
        <f>'zakładka techniczna'!$N$23</f>
        <v>2.5000000000000001E-2</v>
      </c>
      <c r="AS149" s="6">
        <f>'zakładka techniczna'!$N$23</f>
        <v>2.5000000000000001E-2</v>
      </c>
      <c r="AT149" s="6">
        <f>'zakładka techniczna'!$N$23</f>
        <v>2.5000000000000001E-2</v>
      </c>
      <c r="AU149" s="6">
        <f>'zakładka techniczna'!$N$23</f>
        <v>2.5000000000000001E-2</v>
      </c>
      <c r="AV149" s="6">
        <f>'zakładka techniczna'!$N$23</f>
        <v>2.5000000000000001E-2</v>
      </c>
      <c r="AW149" s="6">
        <f>'zakładka techniczna'!$N$23</f>
        <v>2.5000000000000001E-2</v>
      </c>
      <c r="AX149" s="6">
        <f>'zakładka techniczna'!$N$23</f>
        <v>2.5000000000000001E-2</v>
      </c>
      <c r="AY149" s="6">
        <f>'zakładka techniczna'!$N$23</f>
        <v>2.5000000000000001E-2</v>
      </c>
      <c r="AZ149" s="6">
        <f>'zakładka techniczna'!$N$23</f>
        <v>2.5000000000000001E-2</v>
      </c>
      <c r="BA149" s="6">
        <f>'zakładka techniczna'!$N$23</f>
        <v>2.5000000000000001E-2</v>
      </c>
    </row>
    <row r="150" spans="1:54" ht="15.75" customHeight="1" x14ac:dyDescent="0.35">
      <c r="E150" s="5" t="s">
        <v>124</v>
      </c>
      <c r="F150" s="5"/>
      <c r="G150" s="5"/>
      <c r="H150" s="5"/>
      <c r="I150" s="5"/>
      <c r="J150" s="5"/>
      <c r="K150" s="5"/>
      <c r="Q150" s="6">
        <f>'zakładka techniczna'!$N$24</f>
        <v>1.4999999999999999E-2</v>
      </c>
      <c r="R150" s="6">
        <f>'zakładka techniczna'!$N$24</f>
        <v>1.4999999999999999E-2</v>
      </c>
      <c r="S150" s="6">
        <f>'zakładka techniczna'!$N$24</f>
        <v>1.4999999999999999E-2</v>
      </c>
      <c r="T150" s="6">
        <f>'zakładka techniczna'!$N$24</f>
        <v>1.4999999999999999E-2</v>
      </c>
      <c r="U150" s="6">
        <f>'zakładka techniczna'!$N$24</f>
        <v>1.4999999999999999E-2</v>
      </c>
      <c r="V150" s="6">
        <f>'zakładka techniczna'!$N$24</f>
        <v>1.4999999999999999E-2</v>
      </c>
      <c r="W150" s="6">
        <f>'zakładka techniczna'!$N$24</f>
        <v>1.4999999999999999E-2</v>
      </c>
      <c r="X150" s="6">
        <f>'zakładka techniczna'!$N$24</f>
        <v>1.4999999999999999E-2</v>
      </c>
      <c r="Y150" s="6">
        <f>'zakładka techniczna'!$N$24</f>
        <v>1.4999999999999999E-2</v>
      </c>
      <c r="Z150" s="6">
        <f>'zakładka techniczna'!$N$24</f>
        <v>1.4999999999999999E-2</v>
      </c>
      <c r="AA150" s="6">
        <f>'zakładka techniczna'!$N$24</f>
        <v>1.4999999999999999E-2</v>
      </c>
      <c r="AB150" s="6">
        <f>'zakładka techniczna'!$N$24</f>
        <v>1.4999999999999999E-2</v>
      </c>
      <c r="AC150" s="6">
        <f>'zakładka techniczna'!$N$24</f>
        <v>1.4999999999999999E-2</v>
      </c>
      <c r="AD150" s="6">
        <f>'zakładka techniczna'!$N$24</f>
        <v>1.4999999999999999E-2</v>
      </c>
      <c r="AE150" s="6">
        <f>'zakładka techniczna'!$N$24</f>
        <v>1.4999999999999999E-2</v>
      </c>
      <c r="AF150" s="6">
        <f>'zakładka techniczna'!$N$24</f>
        <v>1.4999999999999999E-2</v>
      </c>
      <c r="AG150" s="6">
        <f>'zakładka techniczna'!$N$24</f>
        <v>1.4999999999999999E-2</v>
      </c>
      <c r="AH150" s="6">
        <f>'zakładka techniczna'!$N$24</f>
        <v>1.4999999999999999E-2</v>
      </c>
      <c r="AI150" s="6">
        <f>'zakładka techniczna'!$N$24</f>
        <v>1.4999999999999999E-2</v>
      </c>
      <c r="AJ150" s="6">
        <f>'zakładka techniczna'!$N$24</f>
        <v>1.4999999999999999E-2</v>
      </c>
      <c r="AK150" s="6">
        <f>'zakładka techniczna'!$N$24</f>
        <v>1.4999999999999999E-2</v>
      </c>
      <c r="AL150" s="6">
        <f>'zakładka techniczna'!$N$24</f>
        <v>1.4999999999999999E-2</v>
      </c>
      <c r="AM150" s="6">
        <f>'zakładka techniczna'!$N$24</f>
        <v>1.4999999999999999E-2</v>
      </c>
      <c r="AN150" s="6">
        <f>'zakładka techniczna'!$N$24</f>
        <v>1.4999999999999999E-2</v>
      </c>
      <c r="AO150" s="6">
        <f>'zakładka techniczna'!$N$24</f>
        <v>1.4999999999999999E-2</v>
      </c>
      <c r="AP150" s="6">
        <f>'zakładka techniczna'!$N$24</f>
        <v>1.4999999999999999E-2</v>
      </c>
      <c r="AQ150" s="6">
        <f>'zakładka techniczna'!$N$24</f>
        <v>1.4999999999999999E-2</v>
      </c>
      <c r="AR150" s="6">
        <f>'zakładka techniczna'!$N$24</f>
        <v>1.4999999999999999E-2</v>
      </c>
      <c r="AS150" s="6">
        <f>'zakładka techniczna'!$N$24</f>
        <v>1.4999999999999999E-2</v>
      </c>
      <c r="AT150" s="6">
        <f>'zakładka techniczna'!$N$24</f>
        <v>1.4999999999999999E-2</v>
      </c>
      <c r="AU150" s="6">
        <f>'zakładka techniczna'!$N$24</f>
        <v>1.4999999999999999E-2</v>
      </c>
      <c r="AV150" s="6">
        <f>'zakładka techniczna'!$N$24</f>
        <v>1.4999999999999999E-2</v>
      </c>
      <c r="AW150" s="6">
        <f>'zakładka techniczna'!$N$24</f>
        <v>1.4999999999999999E-2</v>
      </c>
      <c r="AX150" s="6">
        <f>'zakładka techniczna'!$N$24</f>
        <v>1.4999999999999999E-2</v>
      </c>
      <c r="AY150" s="6">
        <f>'zakładka techniczna'!$N$24</f>
        <v>1.4999999999999999E-2</v>
      </c>
      <c r="AZ150" s="6">
        <f>'zakładka techniczna'!$N$24</f>
        <v>1.4999999999999999E-2</v>
      </c>
      <c r="BA150" s="6">
        <f>'zakładka techniczna'!$N$24</f>
        <v>1.4999999999999999E-2</v>
      </c>
    </row>
    <row r="151" spans="1:54" x14ac:dyDescent="0.35">
      <c r="D151" s="5"/>
    </row>
    <row r="152" spans="1:54" ht="15.75" customHeight="1" thickBot="1" x14ac:dyDescent="0.4">
      <c r="A152" s="44" t="s">
        <v>32</v>
      </c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5"/>
    </row>
    <row r="153" spans="1:54" ht="15.75" customHeight="1" thickTop="1" x14ac:dyDescent="0.35">
      <c r="B153" s="5"/>
      <c r="C153" s="5"/>
      <c r="D153" s="5"/>
      <c r="E153" s="5"/>
      <c r="F153" s="5"/>
      <c r="G153" s="5"/>
      <c r="H153" s="5"/>
      <c r="I153" s="5"/>
      <c r="J153" s="5"/>
      <c r="K153" s="5"/>
    </row>
    <row r="154" spans="1:54" ht="15.75" customHeight="1" x14ac:dyDescent="0.35">
      <c r="B154" s="9" t="s">
        <v>28</v>
      </c>
      <c r="C154" s="9"/>
      <c r="D154" s="9"/>
      <c r="E154" s="9"/>
      <c r="F154" s="9"/>
      <c r="G154" s="9"/>
      <c r="H154" s="9"/>
      <c r="I154" s="9"/>
      <c r="J154" s="9"/>
      <c r="K154" s="9"/>
      <c r="L154" s="8"/>
      <c r="M154" s="8"/>
      <c r="N154" s="10">
        <f>SUM(Q154:BA154)</f>
        <v>0</v>
      </c>
      <c r="O154" s="8"/>
      <c r="P154" s="8"/>
      <c r="Q154" s="10">
        <f t="shared" ref="Q154:BA154" si="139">SUM(Q155:Q156)</f>
        <v>0</v>
      </c>
      <c r="R154" s="10">
        <f t="shared" si="139"/>
        <v>0</v>
      </c>
      <c r="S154" s="10">
        <f t="shared" si="139"/>
        <v>0</v>
      </c>
      <c r="T154" s="10">
        <f t="shared" si="139"/>
        <v>0</v>
      </c>
      <c r="U154" s="10">
        <f t="shared" si="139"/>
        <v>0</v>
      </c>
      <c r="V154" s="10">
        <f t="shared" si="139"/>
        <v>0</v>
      </c>
      <c r="W154" s="10">
        <f t="shared" si="139"/>
        <v>0</v>
      </c>
      <c r="X154" s="10">
        <f t="shared" si="139"/>
        <v>0</v>
      </c>
      <c r="Y154" s="10">
        <f t="shared" si="139"/>
        <v>0</v>
      </c>
      <c r="Z154" s="10">
        <f t="shared" si="139"/>
        <v>0</v>
      </c>
      <c r="AA154" s="10">
        <f t="shared" si="139"/>
        <v>0</v>
      </c>
      <c r="AB154" s="10">
        <f t="shared" si="139"/>
        <v>0</v>
      </c>
      <c r="AC154" s="10">
        <f t="shared" si="139"/>
        <v>0</v>
      </c>
      <c r="AD154" s="10">
        <f t="shared" si="139"/>
        <v>0</v>
      </c>
      <c r="AE154" s="10">
        <f t="shared" si="139"/>
        <v>0</v>
      </c>
      <c r="AF154" s="10">
        <f t="shared" si="139"/>
        <v>0</v>
      </c>
      <c r="AG154" s="10">
        <f t="shared" si="139"/>
        <v>0</v>
      </c>
      <c r="AH154" s="10">
        <f t="shared" si="139"/>
        <v>0</v>
      </c>
      <c r="AI154" s="10">
        <f t="shared" si="139"/>
        <v>0</v>
      </c>
      <c r="AJ154" s="10">
        <f t="shared" si="139"/>
        <v>0</v>
      </c>
      <c r="AK154" s="10">
        <f t="shared" si="139"/>
        <v>0</v>
      </c>
      <c r="AL154" s="10">
        <f t="shared" si="139"/>
        <v>0</v>
      </c>
      <c r="AM154" s="10">
        <f t="shared" si="139"/>
        <v>0</v>
      </c>
      <c r="AN154" s="10">
        <f t="shared" si="139"/>
        <v>0</v>
      </c>
      <c r="AO154" s="10">
        <f t="shared" si="139"/>
        <v>0</v>
      </c>
      <c r="AP154" s="10">
        <f t="shared" si="139"/>
        <v>0</v>
      </c>
      <c r="AQ154" s="10">
        <f t="shared" si="139"/>
        <v>0</v>
      </c>
      <c r="AR154" s="10">
        <f t="shared" si="139"/>
        <v>0</v>
      </c>
      <c r="AS154" s="10">
        <f t="shared" si="139"/>
        <v>0</v>
      </c>
      <c r="AT154" s="10">
        <f t="shared" si="139"/>
        <v>0</v>
      </c>
      <c r="AU154" s="10">
        <f t="shared" si="139"/>
        <v>0</v>
      </c>
      <c r="AV154" s="10">
        <f t="shared" si="139"/>
        <v>0</v>
      </c>
      <c r="AW154" s="10">
        <f t="shared" si="139"/>
        <v>0</v>
      </c>
      <c r="AX154" s="10">
        <f t="shared" si="139"/>
        <v>0</v>
      </c>
      <c r="AY154" s="10">
        <f t="shared" si="139"/>
        <v>0</v>
      </c>
      <c r="AZ154" s="10">
        <f t="shared" si="139"/>
        <v>0</v>
      </c>
      <c r="BA154" s="10">
        <f t="shared" si="139"/>
        <v>0</v>
      </c>
    </row>
    <row r="155" spans="1:54" ht="15.75" customHeight="1" x14ac:dyDescent="0.35">
      <c r="B155" s="5"/>
      <c r="C155" s="5" t="s">
        <v>1</v>
      </c>
      <c r="D155" s="5"/>
      <c r="E155" s="5"/>
      <c r="F155" s="5"/>
      <c r="G155" s="5"/>
      <c r="H155" s="5"/>
      <c r="I155" s="5"/>
      <c r="J155" s="5"/>
      <c r="K155" s="5"/>
      <c r="N155" s="11">
        <f>SUM(Q155:BA155)</f>
        <v>0</v>
      </c>
      <c r="Q155" s="11">
        <f>SUM($P$67:P$71)*OEp.w1*Założenia!$K$175</f>
        <v>0</v>
      </c>
      <c r="R155" s="11">
        <f>SUM($P$67:Q$71)*OEp.w1*Założenia!$K$175</f>
        <v>0</v>
      </c>
      <c r="S155" s="11">
        <f>SUM($P$67:R$71)*OEp.w1*Założenia!$K$175</f>
        <v>0</v>
      </c>
      <c r="T155" s="11">
        <f>SUM($P$67:S$71)*OEp.w1*Założenia!$K$175</f>
        <v>0</v>
      </c>
      <c r="U155" s="11">
        <f>SUM($P$67:T$71)*OEp.w1*Założenia!$K$175</f>
        <v>0</v>
      </c>
      <c r="V155" s="11">
        <f>SUM($P$67:U$71)*OEp.w1*Założenia!$K$175</f>
        <v>0</v>
      </c>
      <c r="W155" s="11">
        <f>SUM($P$67:V$71)*OEp.w1*Założenia!$K$175</f>
        <v>0</v>
      </c>
      <c r="X155" s="11">
        <f>SUM($P$67:W$71)*OEp.w1*Założenia!$K$175</f>
        <v>0</v>
      </c>
      <c r="Y155" s="11">
        <f>SUM($P$67:X$71)*OEp.w1*Założenia!$K$175</f>
        <v>0</v>
      </c>
      <c r="Z155" s="11">
        <f>SUM($P$67:Y$71)*OEp.w1*Założenia!$K$175</f>
        <v>0</v>
      </c>
      <c r="AA155" s="11">
        <f>SUM($P$67:Z$71)*OEp.w1*Założenia!$K$175</f>
        <v>0</v>
      </c>
      <c r="AB155" s="11">
        <f>SUM($P$67:AA$71)*OEp.w1*Założenia!$K$175</f>
        <v>0</v>
      </c>
      <c r="AC155" s="11">
        <f>SUM($P$67:AB$71)*OEp.w1*Założenia!$K$175</f>
        <v>0</v>
      </c>
      <c r="AD155" s="11">
        <f>SUM($P$67:AC$71)*OEp.w1*Założenia!$K$175</f>
        <v>0</v>
      </c>
      <c r="AE155" s="11">
        <f>SUM($P$67:AD$71)*OEp.w1*Założenia!$K$175</f>
        <v>0</v>
      </c>
      <c r="AF155" s="11">
        <f>SUM($P$67:AE$71)*OEp.w1*Założenia!$K$175</f>
        <v>0</v>
      </c>
      <c r="AG155" s="11">
        <f>SUM($P$67:AF$71)*OEp.w1*Założenia!$K$175</f>
        <v>0</v>
      </c>
      <c r="AH155" s="11">
        <f>SUM($P$67:AG$71)*OEp.w1*Założenia!$K$175</f>
        <v>0</v>
      </c>
      <c r="AI155" s="11">
        <f>SUM($P$67:AH$71)*OEp.w1*Założenia!$K$175</f>
        <v>0</v>
      </c>
      <c r="AJ155" s="11">
        <f>SUM($P$67:AI$71)*OEp.w1*Założenia!$K$175</f>
        <v>0</v>
      </c>
      <c r="AK155" s="11">
        <f>SUM($P$67:AJ$71)*OEp.w1*Założenia!$K$175</f>
        <v>0</v>
      </c>
      <c r="AL155" s="11">
        <f>SUM($P$67:AK$71)*OEp.w1*Założenia!$K$175</f>
        <v>0</v>
      </c>
      <c r="AM155" s="11">
        <f>SUM($P$67:AL$71)*OEp.w1*Założenia!$K$175</f>
        <v>0</v>
      </c>
      <c r="AN155" s="11">
        <f>SUM($P$67:AM$71)*OEp.w1*Założenia!$K$175</f>
        <v>0</v>
      </c>
      <c r="AO155" s="11">
        <f>SUM($P$67:AN$71)*OEp.w1*Założenia!$K$175</f>
        <v>0</v>
      </c>
      <c r="AP155" s="11">
        <f>SUM($P$67:AO$71)*OEp.w1*Założenia!$K$175</f>
        <v>0</v>
      </c>
      <c r="AQ155" s="11">
        <f>SUM($P$67:AP$71)*OEp.w1*Założenia!$K$175</f>
        <v>0</v>
      </c>
      <c r="AR155" s="11">
        <f>SUM($P$67:AQ$71)*OEp.w1*Założenia!$K$175</f>
        <v>0</v>
      </c>
      <c r="AS155" s="11">
        <f>SUM($P$67:AR$71)*OEp.w1*Założenia!$K$175</f>
        <v>0</v>
      </c>
      <c r="AT155" s="11">
        <f>SUM($P$67:AS$71)*OEp.w1*Założenia!$K$175</f>
        <v>0</v>
      </c>
      <c r="AU155" s="11">
        <f>SUM($P$67:AT$71)*OEp.w1*Założenia!$K$175</f>
        <v>0</v>
      </c>
      <c r="AV155" s="11">
        <f>SUM($P$67:AU$71)*OEp.w1*Założenia!$K$175</f>
        <v>0</v>
      </c>
      <c r="AW155" s="11">
        <f>SUM($P$67:AV$71)*OEp.w1*Założenia!$K$175</f>
        <v>0</v>
      </c>
      <c r="AX155" s="11">
        <f>SUM($P$67:AW$71)*OEp.w1*Założenia!$K$175</f>
        <v>0</v>
      </c>
      <c r="AY155" s="11">
        <f>SUM($P$67:AX$71)*OEp.w1*Założenia!$K$175</f>
        <v>0</v>
      </c>
      <c r="AZ155" s="11">
        <f>SUM($P$67:AY$71)*OEp.w1*Założenia!$K$175</f>
        <v>0</v>
      </c>
      <c r="BA155" s="11">
        <f>SUM($P$67:AZ$71)*OEp.w1*Założenia!$K$175</f>
        <v>0</v>
      </c>
    </row>
    <row r="156" spans="1:54" ht="15.75" customHeight="1" x14ac:dyDescent="0.35">
      <c r="B156" s="5"/>
      <c r="C156" s="5" t="s">
        <v>3</v>
      </c>
      <c r="D156" s="5"/>
      <c r="E156" s="5"/>
      <c r="F156" s="5"/>
      <c r="G156" s="5"/>
      <c r="H156" s="5"/>
      <c r="I156" s="5"/>
      <c r="J156" s="5"/>
      <c r="K156" s="5"/>
      <c r="N156" s="1">
        <f>SUM(Q156:BA156)</f>
        <v>0</v>
      </c>
      <c r="Q156" s="1">
        <f t="shared" ref="Q156:BA156" si="140">SUM(Q157:Q158)</f>
        <v>0</v>
      </c>
      <c r="R156" s="1">
        <f t="shared" si="140"/>
        <v>0</v>
      </c>
      <c r="S156" s="1">
        <f t="shared" si="140"/>
        <v>0</v>
      </c>
      <c r="T156" s="1">
        <f t="shared" si="140"/>
        <v>0</v>
      </c>
      <c r="U156" s="1">
        <f t="shared" si="140"/>
        <v>0</v>
      </c>
      <c r="V156" s="1">
        <f t="shared" si="140"/>
        <v>0</v>
      </c>
      <c r="W156" s="1">
        <f t="shared" si="140"/>
        <v>0</v>
      </c>
      <c r="X156" s="1">
        <f t="shared" si="140"/>
        <v>0</v>
      </c>
      <c r="Y156" s="1">
        <f t="shared" si="140"/>
        <v>0</v>
      </c>
      <c r="Z156" s="1">
        <f t="shared" si="140"/>
        <v>0</v>
      </c>
      <c r="AA156" s="1">
        <f t="shared" si="140"/>
        <v>0</v>
      </c>
      <c r="AB156" s="1">
        <f t="shared" si="140"/>
        <v>0</v>
      </c>
      <c r="AC156" s="1">
        <f t="shared" si="140"/>
        <v>0</v>
      </c>
      <c r="AD156" s="1">
        <f t="shared" si="140"/>
        <v>0</v>
      </c>
      <c r="AE156" s="1">
        <f t="shared" si="140"/>
        <v>0</v>
      </c>
      <c r="AF156" s="1">
        <f t="shared" si="140"/>
        <v>0</v>
      </c>
      <c r="AG156" s="1">
        <f t="shared" si="140"/>
        <v>0</v>
      </c>
      <c r="AH156" s="1">
        <f t="shared" si="140"/>
        <v>0</v>
      </c>
      <c r="AI156" s="1">
        <f t="shared" si="140"/>
        <v>0</v>
      </c>
      <c r="AJ156" s="1">
        <f t="shared" si="140"/>
        <v>0</v>
      </c>
      <c r="AK156" s="1">
        <f t="shared" si="140"/>
        <v>0</v>
      </c>
      <c r="AL156" s="1">
        <f t="shared" si="140"/>
        <v>0</v>
      </c>
      <c r="AM156" s="1">
        <f t="shared" si="140"/>
        <v>0</v>
      </c>
      <c r="AN156" s="1">
        <f t="shared" si="140"/>
        <v>0</v>
      </c>
      <c r="AO156" s="1">
        <f t="shared" si="140"/>
        <v>0</v>
      </c>
      <c r="AP156" s="1">
        <f t="shared" si="140"/>
        <v>0</v>
      </c>
      <c r="AQ156" s="1">
        <f t="shared" si="140"/>
        <v>0</v>
      </c>
      <c r="AR156" s="1">
        <f t="shared" si="140"/>
        <v>0</v>
      </c>
      <c r="AS156" s="1">
        <f t="shared" si="140"/>
        <v>0</v>
      </c>
      <c r="AT156" s="1">
        <f t="shared" si="140"/>
        <v>0</v>
      </c>
      <c r="AU156" s="1">
        <f t="shared" si="140"/>
        <v>0</v>
      </c>
      <c r="AV156" s="1">
        <f t="shared" si="140"/>
        <v>0</v>
      </c>
      <c r="AW156" s="1">
        <f t="shared" si="140"/>
        <v>0</v>
      </c>
      <c r="AX156" s="1">
        <f t="shared" si="140"/>
        <v>0</v>
      </c>
      <c r="AY156" s="1">
        <f t="shared" si="140"/>
        <v>0</v>
      </c>
      <c r="AZ156" s="1">
        <f t="shared" si="140"/>
        <v>0</v>
      </c>
      <c r="BA156" s="1">
        <f t="shared" si="140"/>
        <v>0</v>
      </c>
    </row>
    <row r="157" spans="1:54" ht="15.75" customHeight="1" x14ac:dyDescent="0.35">
      <c r="B157" s="5"/>
      <c r="C157" s="5"/>
      <c r="D157" s="5" t="s">
        <v>6</v>
      </c>
      <c r="E157" s="5"/>
      <c r="F157" s="5"/>
      <c r="G157" s="5"/>
      <c r="H157" s="5"/>
      <c r="I157" s="5"/>
      <c r="J157" s="5"/>
      <c r="K157" s="5"/>
      <c r="N157" s="1">
        <f>SUM(Q157:BA157)</f>
        <v>0</v>
      </c>
      <c r="Q157" s="1">
        <f t="shared" ref="Q157:BA157" si="141">Q73*VAT</f>
        <v>0</v>
      </c>
      <c r="R157" s="1">
        <f t="shared" si="141"/>
        <v>0</v>
      </c>
      <c r="S157" s="1">
        <f t="shared" si="141"/>
        <v>0</v>
      </c>
      <c r="T157" s="1">
        <f t="shared" si="141"/>
        <v>0</v>
      </c>
      <c r="U157" s="1">
        <f t="shared" si="141"/>
        <v>0</v>
      </c>
      <c r="V157" s="1">
        <f t="shared" si="141"/>
        <v>0</v>
      </c>
      <c r="W157" s="1">
        <f t="shared" si="141"/>
        <v>0</v>
      </c>
      <c r="X157" s="1">
        <f t="shared" si="141"/>
        <v>0</v>
      </c>
      <c r="Y157" s="1">
        <f t="shared" si="141"/>
        <v>0</v>
      </c>
      <c r="Z157" s="1">
        <f t="shared" si="141"/>
        <v>0</v>
      </c>
      <c r="AA157" s="1">
        <f t="shared" si="141"/>
        <v>0</v>
      </c>
      <c r="AB157" s="1">
        <f t="shared" si="141"/>
        <v>0</v>
      </c>
      <c r="AC157" s="1">
        <f t="shared" si="141"/>
        <v>0</v>
      </c>
      <c r="AD157" s="1">
        <f t="shared" si="141"/>
        <v>0</v>
      </c>
      <c r="AE157" s="1">
        <f t="shared" si="141"/>
        <v>0</v>
      </c>
      <c r="AF157" s="1">
        <f t="shared" si="141"/>
        <v>0</v>
      </c>
      <c r="AG157" s="1">
        <f t="shared" si="141"/>
        <v>0</v>
      </c>
      <c r="AH157" s="1">
        <f t="shared" si="141"/>
        <v>0</v>
      </c>
      <c r="AI157" s="1">
        <f t="shared" si="141"/>
        <v>0</v>
      </c>
      <c r="AJ157" s="1">
        <f t="shared" si="141"/>
        <v>0</v>
      </c>
      <c r="AK157" s="1">
        <f t="shared" si="141"/>
        <v>0</v>
      </c>
      <c r="AL157" s="1">
        <f t="shared" si="141"/>
        <v>0</v>
      </c>
      <c r="AM157" s="1">
        <f t="shared" si="141"/>
        <v>0</v>
      </c>
      <c r="AN157" s="1">
        <f t="shared" si="141"/>
        <v>0</v>
      </c>
      <c r="AO157" s="1">
        <f t="shared" si="141"/>
        <v>0</v>
      </c>
      <c r="AP157" s="1">
        <f t="shared" si="141"/>
        <v>0</v>
      </c>
      <c r="AQ157" s="1">
        <f t="shared" si="141"/>
        <v>0</v>
      </c>
      <c r="AR157" s="1">
        <f t="shared" si="141"/>
        <v>0</v>
      </c>
      <c r="AS157" s="1">
        <f t="shared" si="141"/>
        <v>0</v>
      </c>
      <c r="AT157" s="1">
        <f t="shared" si="141"/>
        <v>0</v>
      </c>
      <c r="AU157" s="1">
        <f t="shared" si="141"/>
        <v>0</v>
      </c>
      <c r="AV157" s="1">
        <f t="shared" si="141"/>
        <v>0</v>
      </c>
      <c r="AW157" s="1">
        <f t="shared" si="141"/>
        <v>0</v>
      </c>
      <c r="AX157" s="1">
        <f t="shared" si="141"/>
        <v>0</v>
      </c>
      <c r="AY157" s="1">
        <f t="shared" si="141"/>
        <v>0</v>
      </c>
      <c r="AZ157" s="1">
        <f t="shared" si="141"/>
        <v>0</v>
      </c>
      <c r="BA157" s="1">
        <f t="shared" si="141"/>
        <v>0</v>
      </c>
    </row>
    <row r="158" spans="1:54" ht="15.75" customHeight="1" x14ac:dyDescent="0.35">
      <c r="B158" s="5"/>
      <c r="C158" s="5"/>
      <c r="D158" s="5" t="s">
        <v>142</v>
      </c>
      <c r="E158" s="5"/>
      <c r="F158" s="5"/>
      <c r="G158" s="5"/>
      <c r="H158" s="5"/>
      <c r="I158" s="5"/>
      <c r="J158" s="5"/>
      <c r="K158" s="5"/>
      <c r="N158" s="1">
        <f>SUM(Q158:BA158)</f>
        <v>0</v>
      </c>
      <c r="Q158" s="1">
        <f t="shared" ref="Q158:BA158" si="142">Q74*VAT</f>
        <v>0</v>
      </c>
      <c r="R158" s="1">
        <f t="shared" si="142"/>
        <v>0</v>
      </c>
      <c r="S158" s="1">
        <f t="shared" si="142"/>
        <v>0</v>
      </c>
      <c r="T158" s="1">
        <f t="shared" si="142"/>
        <v>0</v>
      </c>
      <c r="U158" s="1">
        <f t="shared" si="142"/>
        <v>0</v>
      </c>
      <c r="V158" s="1">
        <f t="shared" si="142"/>
        <v>0</v>
      </c>
      <c r="W158" s="1">
        <f t="shared" si="142"/>
        <v>0</v>
      </c>
      <c r="X158" s="1">
        <f t="shared" si="142"/>
        <v>0</v>
      </c>
      <c r="Y158" s="1">
        <f t="shared" si="142"/>
        <v>0</v>
      </c>
      <c r="Z158" s="1">
        <f t="shared" si="142"/>
        <v>0</v>
      </c>
      <c r="AA158" s="1">
        <f t="shared" si="142"/>
        <v>0</v>
      </c>
      <c r="AB158" s="1">
        <f t="shared" si="142"/>
        <v>0</v>
      </c>
      <c r="AC158" s="1">
        <f t="shared" si="142"/>
        <v>0</v>
      </c>
      <c r="AD158" s="1">
        <f t="shared" si="142"/>
        <v>0</v>
      </c>
      <c r="AE158" s="1">
        <f t="shared" si="142"/>
        <v>0</v>
      </c>
      <c r="AF158" s="1">
        <f t="shared" si="142"/>
        <v>0</v>
      </c>
      <c r="AG158" s="1">
        <f t="shared" si="142"/>
        <v>0</v>
      </c>
      <c r="AH158" s="1">
        <f t="shared" si="142"/>
        <v>0</v>
      </c>
      <c r="AI158" s="1">
        <f t="shared" si="142"/>
        <v>0</v>
      </c>
      <c r="AJ158" s="1">
        <f t="shared" si="142"/>
        <v>0</v>
      </c>
      <c r="AK158" s="1">
        <f t="shared" si="142"/>
        <v>0</v>
      </c>
      <c r="AL158" s="1">
        <f t="shared" si="142"/>
        <v>0</v>
      </c>
      <c r="AM158" s="1">
        <f t="shared" si="142"/>
        <v>0</v>
      </c>
      <c r="AN158" s="1">
        <f t="shared" si="142"/>
        <v>0</v>
      </c>
      <c r="AO158" s="1">
        <f t="shared" si="142"/>
        <v>0</v>
      </c>
      <c r="AP158" s="1">
        <f t="shared" si="142"/>
        <v>0</v>
      </c>
      <c r="AQ158" s="1">
        <f t="shared" si="142"/>
        <v>0</v>
      </c>
      <c r="AR158" s="1">
        <f t="shared" si="142"/>
        <v>0</v>
      </c>
      <c r="AS158" s="1">
        <f t="shared" si="142"/>
        <v>0</v>
      </c>
      <c r="AT158" s="1">
        <f t="shared" si="142"/>
        <v>0</v>
      </c>
      <c r="AU158" s="1">
        <f t="shared" si="142"/>
        <v>0</v>
      </c>
      <c r="AV158" s="1">
        <f t="shared" si="142"/>
        <v>0</v>
      </c>
      <c r="AW158" s="1">
        <f t="shared" si="142"/>
        <v>0</v>
      </c>
      <c r="AX158" s="1">
        <f t="shared" si="142"/>
        <v>0</v>
      </c>
      <c r="AY158" s="1">
        <f t="shared" si="142"/>
        <v>0</v>
      </c>
      <c r="AZ158" s="1">
        <f t="shared" si="142"/>
        <v>0</v>
      </c>
      <c r="BA158" s="1">
        <f t="shared" si="142"/>
        <v>0</v>
      </c>
    </row>
    <row r="159" spans="1:54" ht="15.75" customHeight="1" x14ac:dyDescent="0.35">
      <c r="B159" s="5"/>
      <c r="C159" s="5"/>
      <c r="D159" s="5"/>
      <c r="E159" s="5"/>
      <c r="F159" s="5"/>
      <c r="G159" s="5"/>
      <c r="H159" s="5"/>
      <c r="I159" s="5"/>
      <c r="J159" s="5"/>
      <c r="K159" s="5"/>
    </row>
    <row r="160" spans="1:54" ht="15.75" customHeight="1" x14ac:dyDescent="0.35">
      <c r="B160" s="9" t="s">
        <v>33</v>
      </c>
      <c r="C160" s="9"/>
      <c r="D160" s="9"/>
      <c r="E160" s="9"/>
      <c r="F160" s="9"/>
      <c r="G160" s="9"/>
      <c r="H160" s="9"/>
      <c r="I160" s="9"/>
      <c r="J160" s="9"/>
      <c r="K160" s="9"/>
      <c r="L160" s="8"/>
      <c r="M160" s="8"/>
      <c r="N160" s="10">
        <f t="shared" ref="N160:N165" si="143">SUM(Q160:BA160)</f>
        <v>0</v>
      </c>
      <c r="O160" s="8"/>
      <c r="P160" s="8"/>
      <c r="Q160" s="10">
        <f t="shared" ref="Q160:BA160" si="144">SUM(Q161:Q165)</f>
        <v>0</v>
      </c>
      <c r="R160" s="10">
        <f t="shared" si="144"/>
        <v>0</v>
      </c>
      <c r="S160" s="10">
        <f t="shared" si="144"/>
        <v>0</v>
      </c>
      <c r="T160" s="10">
        <f t="shared" si="144"/>
        <v>0</v>
      </c>
      <c r="U160" s="10">
        <f t="shared" si="144"/>
        <v>0</v>
      </c>
      <c r="V160" s="10">
        <f t="shared" si="144"/>
        <v>0</v>
      </c>
      <c r="W160" s="10">
        <f t="shared" si="144"/>
        <v>0</v>
      </c>
      <c r="X160" s="10">
        <f t="shared" si="144"/>
        <v>0</v>
      </c>
      <c r="Y160" s="10">
        <f t="shared" si="144"/>
        <v>0</v>
      </c>
      <c r="Z160" s="10">
        <f t="shared" si="144"/>
        <v>0</v>
      </c>
      <c r="AA160" s="10">
        <f t="shared" si="144"/>
        <v>0</v>
      </c>
      <c r="AB160" s="10">
        <f t="shared" si="144"/>
        <v>0</v>
      </c>
      <c r="AC160" s="10">
        <f t="shared" si="144"/>
        <v>0</v>
      </c>
      <c r="AD160" s="10">
        <f t="shared" si="144"/>
        <v>0</v>
      </c>
      <c r="AE160" s="10">
        <f t="shared" si="144"/>
        <v>0</v>
      </c>
      <c r="AF160" s="10">
        <f t="shared" si="144"/>
        <v>0</v>
      </c>
      <c r="AG160" s="10">
        <f t="shared" si="144"/>
        <v>0</v>
      </c>
      <c r="AH160" s="10">
        <f t="shared" si="144"/>
        <v>0</v>
      </c>
      <c r="AI160" s="10">
        <f t="shared" si="144"/>
        <v>0</v>
      </c>
      <c r="AJ160" s="10">
        <f t="shared" si="144"/>
        <v>0</v>
      </c>
      <c r="AK160" s="10">
        <f t="shared" si="144"/>
        <v>0</v>
      </c>
      <c r="AL160" s="10">
        <f t="shared" si="144"/>
        <v>0</v>
      </c>
      <c r="AM160" s="10">
        <f t="shared" si="144"/>
        <v>0</v>
      </c>
      <c r="AN160" s="10">
        <f t="shared" si="144"/>
        <v>0</v>
      </c>
      <c r="AO160" s="10">
        <f t="shared" si="144"/>
        <v>0</v>
      </c>
      <c r="AP160" s="10">
        <f t="shared" si="144"/>
        <v>0</v>
      </c>
      <c r="AQ160" s="10">
        <f t="shared" si="144"/>
        <v>0</v>
      </c>
      <c r="AR160" s="10">
        <f t="shared" si="144"/>
        <v>0</v>
      </c>
      <c r="AS160" s="10">
        <f t="shared" si="144"/>
        <v>0</v>
      </c>
      <c r="AT160" s="10">
        <f t="shared" si="144"/>
        <v>0</v>
      </c>
      <c r="AU160" s="10">
        <f t="shared" si="144"/>
        <v>0</v>
      </c>
      <c r="AV160" s="10">
        <f t="shared" si="144"/>
        <v>0</v>
      </c>
      <c r="AW160" s="10">
        <f t="shared" si="144"/>
        <v>0</v>
      </c>
      <c r="AX160" s="10">
        <f t="shared" si="144"/>
        <v>0</v>
      </c>
      <c r="AY160" s="10">
        <f t="shared" si="144"/>
        <v>0</v>
      </c>
      <c r="AZ160" s="10">
        <f t="shared" si="144"/>
        <v>0</v>
      </c>
      <c r="BA160" s="10">
        <f t="shared" si="144"/>
        <v>0</v>
      </c>
    </row>
    <row r="161" spans="1:54" ht="15.75" customHeight="1" x14ac:dyDescent="0.35">
      <c r="B161" s="5"/>
      <c r="C161" s="5" t="s">
        <v>99</v>
      </c>
      <c r="D161" s="5"/>
      <c r="E161" s="5"/>
      <c r="F161" s="5"/>
      <c r="G161" s="5"/>
      <c r="H161" s="5"/>
      <c r="I161" s="5"/>
      <c r="J161" s="5"/>
      <c r="K161" s="5"/>
      <c r="N161" s="11">
        <f t="shared" si="143"/>
        <v>0</v>
      </c>
      <c r="Q161" s="11">
        <f>-Q176*Założenia!$K$175</f>
        <v>0</v>
      </c>
      <c r="R161" s="11">
        <f>-R176*Założenia!$K$175</f>
        <v>0</v>
      </c>
      <c r="S161" s="11">
        <f>-S176*Założenia!$K$175</f>
        <v>0</v>
      </c>
      <c r="T161" s="11">
        <f>-T176*Założenia!$K$175</f>
        <v>0</v>
      </c>
      <c r="U161" s="11">
        <f>-U176*Założenia!$K$175</f>
        <v>0</v>
      </c>
      <c r="V161" s="11">
        <f>-V176*Założenia!$K$175</f>
        <v>0</v>
      </c>
      <c r="W161" s="11">
        <f>-W176*Założenia!$K$175</f>
        <v>0</v>
      </c>
      <c r="X161" s="11">
        <f>-X176*Założenia!$K$175</f>
        <v>0</v>
      </c>
      <c r="Y161" s="11">
        <f>-Y176*Założenia!$K$175</f>
        <v>0</v>
      </c>
      <c r="Z161" s="11">
        <f>-Z176*Założenia!$K$175</f>
        <v>0</v>
      </c>
      <c r="AA161" s="11">
        <f>-AA176*Założenia!$K$175</f>
        <v>0</v>
      </c>
      <c r="AB161" s="11">
        <f>-AB176*Założenia!$K$175</f>
        <v>0</v>
      </c>
      <c r="AC161" s="11">
        <f>-AC176*Założenia!$K$175</f>
        <v>0</v>
      </c>
      <c r="AD161" s="11">
        <f>-AD176*Założenia!$K$175</f>
        <v>0</v>
      </c>
      <c r="AE161" s="11">
        <f>-AE176*Założenia!$K$175</f>
        <v>0</v>
      </c>
      <c r="AF161" s="11">
        <f>-AF176*Założenia!$K$175</f>
        <v>0</v>
      </c>
      <c r="AG161" s="11">
        <f>-AG176*Założenia!$K$175</f>
        <v>0</v>
      </c>
      <c r="AH161" s="11">
        <f>-AH176*Założenia!$K$175</f>
        <v>0</v>
      </c>
      <c r="AI161" s="11">
        <f>-AI176*Założenia!$K$175</f>
        <v>0</v>
      </c>
      <c r="AJ161" s="11">
        <f>-AJ176*Założenia!$K$175</f>
        <v>0</v>
      </c>
      <c r="AK161" s="11">
        <f>-AK176*Założenia!$K$175</f>
        <v>0</v>
      </c>
      <c r="AL161" s="11">
        <f>-AL176*Założenia!$K$175</f>
        <v>0</v>
      </c>
      <c r="AM161" s="11">
        <f>-AM176*Założenia!$K$175</f>
        <v>0</v>
      </c>
      <c r="AN161" s="11">
        <f>-AN176*Założenia!$K$175</f>
        <v>0</v>
      </c>
      <c r="AO161" s="11">
        <f>-AO176*Założenia!$K$175</f>
        <v>0</v>
      </c>
      <c r="AP161" s="11">
        <f>-AP176*Założenia!$K$175</f>
        <v>0</v>
      </c>
      <c r="AQ161" s="11">
        <f>-AQ176*Założenia!$K$175</f>
        <v>0</v>
      </c>
      <c r="AR161" s="11">
        <f>-AR176*Założenia!$K$175</f>
        <v>0</v>
      </c>
      <c r="AS161" s="11">
        <f>-AS176*Założenia!$K$175</f>
        <v>0</v>
      </c>
      <c r="AT161" s="11">
        <f>-AT176*Założenia!$K$175</f>
        <v>0</v>
      </c>
      <c r="AU161" s="11">
        <f>-AU176*Założenia!$K$175</f>
        <v>0</v>
      </c>
      <c r="AV161" s="11">
        <f>-AV176*Założenia!$K$175</f>
        <v>0</v>
      </c>
      <c r="AW161" s="11">
        <f>-AW176*Założenia!$K$175</f>
        <v>0</v>
      </c>
      <c r="AX161" s="11">
        <f>-AX176*Założenia!$K$175</f>
        <v>0</v>
      </c>
      <c r="AY161" s="11">
        <f>-AY176*Założenia!$K$175</f>
        <v>0</v>
      </c>
      <c r="AZ161" s="11">
        <f>-AZ176*Założenia!$K$175</f>
        <v>0</v>
      </c>
      <c r="BA161" s="11">
        <f>-BA176*Założenia!$K$175</f>
        <v>0</v>
      </c>
    </row>
    <row r="162" spans="1:54" ht="15.75" customHeight="1" x14ac:dyDescent="0.35">
      <c r="B162" s="5"/>
      <c r="C162" s="5" t="s">
        <v>100</v>
      </c>
      <c r="D162" s="5"/>
      <c r="E162" s="5"/>
      <c r="F162" s="5"/>
      <c r="G162" s="5"/>
      <c r="H162" s="5"/>
      <c r="I162" s="5"/>
      <c r="J162" s="5"/>
      <c r="K162" s="5"/>
      <c r="N162" s="1">
        <f t="shared" si="143"/>
        <v>0</v>
      </c>
      <c r="Q162" s="1">
        <f>-Q177*Założenia!$K$175</f>
        <v>0</v>
      </c>
      <c r="R162" s="1">
        <f>-R177*Założenia!$K$175</f>
        <v>0</v>
      </c>
      <c r="S162" s="1">
        <f>-S177*Założenia!$K$175</f>
        <v>0</v>
      </c>
      <c r="T162" s="1">
        <f>-T177*Założenia!$K$175</f>
        <v>0</v>
      </c>
      <c r="U162" s="1">
        <f>-U177*Założenia!$K$175</f>
        <v>0</v>
      </c>
      <c r="V162" s="1">
        <f>-V177*Założenia!$K$175</f>
        <v>0</v>
      </c>
      <c r="W162" s="1">
        <f>-W177*Założenia!$K$175</f>
        <v>0</v>
      </c>
      <c r="X162" s="1">
        <f>-X177*Założenia!$K$175</f>
        <v>0</v>
      </c>
      <c r="Y162" s="1">
        <f>-Y177*Założenia!$K$175</f>
        <v>0</v>
      </c>
      <c r="Z162" s="1">
        <f>-Z177*Założenia!$K$175</f>
        <v>0</v>
      </c>
      <c r="AA162" s="1">
        <f>-AA177*Założenia!$K$175</f>
        <v>0</v>
      </c>
      <c r="AB162" s="1">
        <f>-AB177*Założenia!$K$175</f>
        <v>0</v>
      </c>
      <c r="AC162" s="1">
        <f>-AC177*Założenia!$K$175</f>
        <v>0</v>
      </c>
      <c r="AD162" s="1">
        <f>-AD177*Założenia!$K$175</f>
        <v>0</v>
      </c>
      <c r="AE162" s="1">
        <f>-AE177*Założenia!$K$175</f>
        <v>0</v>
      </c>
      <c r="AF162" s="1">
        <f>-AF177*Założenia!$K$175</f>
        <v>0</v>
      </c>
      <c r="AG162" s="1">
        <f>-AG177*Założenia!$K$175</f>
        <v>0</v>
      </c>
      <c r="AH162" s="1">
        <f>-AH177*Założenia!$K$175</f>
        <v>0</v>
      </c>
      <c r="AI162" s="1">
        <f>-AI177*Założenia!$K$175</f>
        <v>0</v>
      </c>
      <c r="AJ162" s="1">
        <f>-AJ177*Założenia!$K$175</f>
        <v>0</v>
      </c>
      <c r="AK162" s="1">
        <f>-AK177*Założenia!$K$175</f>
        <v>0</v>
      </c>
      <c r="AL162" s="1">
        <f>-AL177*Założenia!$K$175</f>
        <v>0</v>
      </c>
      <c r="AM162" s="1">
        <f>-AM177*Założenia!$K$175</f>
        <v>0</v>
      </c>
      <c r="AN162" s="1">
        <f>-AN177*Założenia!$K$175</f>
        <v>0</v>
      </c>
      <c r="AO162" s="1">
        <f>-AO177*Założenia!$K$175</f>
        <v>0</v>
      </c>
      <c r="AP162" s="1">
        <f>-AP177*Założenia!$K$175</f>
        <v>0</v>
      </c>
      <c r="AQ162" s="1">
        <f>-AQ177*Założenia!$K$175</f>
        <v>0</v>
      </c>
      <c r="AR162" s="1">
        <f>-AR177*Założenia!$K$175</f>
        <v>0</v>
      </c>
      <c r="AS162" s="1">
        <f>-AS177*Założenia!$K$175</f>
        <v>0</v>
      </c>
      <c r="AT162" s="1">
        <f>-AT177*Założenia!$K$175</f>
        <v>0</v>
      </c>
      <c r="AU162" s="1">
        <f>-AU177*Założenia!$K$175</f>
        <v>0</v>
      </c>
      <c r="AV162" s="1">
        <f>-AV177*Założenia!$K$175</f>
        <v>0</v>
      </c>
      <c r="AW162" s="1">
        <f>-AW177*Założenia!$K$175</f>
        <v>0</v>
      </c>
      <c r="AX162" s="1">
        <f>-AX177*Założenia!$K$175</f>
        <v>0</v>
      </c>
      <c r="AY162" s="1">
        <f>-AY177*Założenia!$K$175</f>
        <v>0</v>
      </c>
      <c r="AZ162" s="1">
        <f>-AZ177*Założenia!$K$175</f>
        <v>0</v>
      </c>
      <c r="BA162" s="1">
        <f>-BA177*Założenia!$K$175</f>
        <v>0</v>
      </c>
    </row>
    <row r="163" spans="1:54" ht="15.75" customHeight="1" x14ac:dyDescent="0.35">
      <c r="B163" s="5"/>
      <c r="C163" s="5" t="s">
        <v>66</v>
      </c>
      <c r="D163" s="5"/>
      <c r="E163" s="5"/>
      <c r="F163" s="5"/>
      <c r="G163" s="5"/>
      <c r="H163" s="5"/>
      <c r="I163" s="5"/>
      <c r="J163" s="5"/>
      <c r="K163" s="5"/>
      <c r="N163" s="1">
        <f t="shared" si="143"/>
        <v>0</v>
      </c>
      <c r="Q163" s="1">
        <f>-Q178*Założenia!$K$175</f>
        <v>0</v>
      </c>
      <c r="R163" s="1">
        <f>-R178*Założenia!$K$175</f>
        <v>0</v>
      </c>
      <c r="S163" s="1">
        <f>-S178*Założenia!$K$175</f>
        <v>0</v>
      </c>
      <c r="T163" s="1">
        <f>-T178*Założenia!$K$175</f>
        <v>0</v>
      </c>
      <c r="U163" s="1">
        <f>-U178*Założenia!$K$175</f>
        <v>0</v>
      </c>
      <c r="V163" s="1">
        <f>-V178*Założenia!$K$175</f>
        <v>0</v>
      </c>
      <c r="W163" s="1">
        <f>-W178*Założenia!$K$175</f>
        <v>0</v>
      </c>
      <c r="X163" s="1">
        <f>-X178*Założenia!$K$175</f>
        <v>0</v>
      </c>
      <c r="Y163" s="1">
        <f>-Y178*Założenia!$K$175</f>
        <v>0</v>
      </c>
      <c r="Z163" s="1">
        <f>-Z178*Założenia!$K$175</f>
        <v>0</v>
      </c>
      <c r="AA163" s="1">
        <f>-AA178*Założenia!$K$175</f>
        <v>0</v>
      </c>
      <c r="AB163" s="1">
        <f>-AB178*Założenia!$K$175</f>
        <v>0</v>
      </c>
      <c r="AC163" s="1">
        <f>-AC178*Założenia!$K$175</f>
        <v>0</v>
      </c>
      <c r="AD163" s="1">
        <f>-AD178*Założenia!$K$175</f>
        <v>0</v>
      </c>
      <c r="AE163" s="1">
        <f>-AE178*Założenia!$K$175</f>
        <v>0</v>
      </c>
      <c r="AF163" s="1">
        <f>-AF178*Założenia!$K$175</f>
        <v>0</v>
      </c>
      <c r="AG163" s="1">
        <f>-AG178*Założenia!$K$175</f>
        <v>0</v>
      </c>
      <c r="AH163" s="1">
        <f>-AH178*Założenia!$K$175</f>
        <v>0</v>
      </c>
      <c r="AI163" s="1">
        <f>-AI178*Założenia!$K$175</f>
        <v>0</v>
      </c>
      <c r="AJ163" s="1">
        <f>-AJ178*Założenia!$K$175</f>
        <v>0</v>
      </c>
      <c r="AK163" s="1">
        <f>-AK178*Założenia!$K$175</f>
        <v>0</v>
      </c>
      <c r="AL163" s="1">
        <f>-AL178*Założenia!$K$175</f>
        <v>0</v>
      </c>
      <c r="AM163" s="1">
        <f>-AM178*Założenia!$K$175</f>
        <v>0</v>
      </c>
      <c r="AN163" s="1">
        <f>-AN178*Założenia!$K$175</f>
        <v>0</v>
      </c>
      <c r="AO163" s="1">
        <f>-AO178*Założenia!$K$175</f>
        <v>0</v>
      </c>
      <c r="AP163" s="1">
        <f>-AP178*Założenia!$K$175</f>
        <v>0</v>
      </c>
      <c r="AQ163" s="1">
        <f>-AQ178*Założenia!$K$175</f>
        <v>0</v>
      </c>
      <c r="AR163" s="1">
        <f>-AR178*Założenia!$K$175</f>
        <v>0</v>
      </c>
      <c r="AS163" s="1">
        <f>-AS178*Założenia!$K$175</f>
        <v>0</v>
      </c>
      <c r="AT163" s="1">
        <f>-AT178*Założenia!$K$175</f>
        <v>0</v>
      </c>
      <c r="AU163" s="1">
        <f>-AU178*Założenia!$K$175</f>
        <v>0</v>
      </c>
      <c r="AV163" s="1">
        <f>-AV178*Założenia!$K$175</f>
        <v>0</v>
      </c>
      <c r="AW163" s="1">
        <f>-AW178*Założenia!$K$175</f>
        <v>0</v>
      </c>
      <c r="AX163" s="1">
        <f>-AX178*Założenia!$K$175</f>
        <v>0</v>
      </c>
      <c r="AY163" s="1">
        <f>-AY178*Założenia!$K$175</f>
        <v>0</v>
      </c>
      <c r="AZ163" s="1">
        <f>-AZ178*Założenia!$K$175</f>
        <v>0</v>
      </c>
      <c r="BA163" s="1">
        <f>-BA178*Założenia!$K$175</f>
        <v>0</v>
      </c>
    </row>
    <row r="164" spans="1:54" ht="15.75" customHeight="1" x14ac:dyDescent="0.35">
      <c r="B164" s="5"/>
      <c r="C164" s="5" t="s">
        <v>142</v>
      </c>
      <c r="D164" s="5"/>
      <c r="E164" s="5"/>
      <c r="F164" s="5"/>
      <c r="G164" s="5"/>
      <c r="H164" s="5"/>
      <c r="I164" s="5"/>
      <c r="J164" s="5"/>
      <c r="K164" s="5"/>
      <c r="N164" s="1">
        <f t="shared" si="143"/>
        <v>0</v>
      </c>
      <c r="Q164" s="1">
        <f t="shared" ref="Q164:BA164" si="145">-Q74*VAT</f>
        <v>0</v>
      </c>
      <c r="R164" s="1">
        <f t="shared" si="145"/>
        <v>0</v>
      </c>
      <c r="S164" s="1">
        <f t="shared" si="145"/>
        <v>0</v>
      </c>
      <c r="T164" s="1">
        <f t="shared" si="145"/>
        <v>0</v>
      </c>
      <c r="U164" s="1">
        <f t="shared" si="145"/>
        <v>0</v>
      </c>
      <c r="V164" s="1">
        <f t="shared" si="145"/>
        <v>0</v>
      </c>
      <c r="W164" s="1">
        <f t="shared" si="145"/>
        <v>0</v>
      </c>
      <c r="X164" s="1">
        <f t="shared" si="145"/>
        <v>0</v>
      </c>
      <c r="Y164" s="1">
        <f t="shared" si="145"/>
        <v>0</v>
      </c>
      <c r="Z164" s="1">
        <f t="shared" si="145"/>
        <v>0</v>
      </c>
      <c r="AA164" s="1">
        <f t="shared" si="145"/>
        <v>0</v>
      </c>
      <c r="AB164" s="1">
        <f t="shared" si="145"/>
        <v>0</v>
      </c>
      <c r="AC164" s="1">
        <f t="shared" si="145"/>
        <v>0</v>
      </c>
      <c r="AD164" s="1">
        <f t="shared" si="145"/>
        <v>0</v>
      </c>
      <c r="AE164" s="1">
        <f t="shared" si="145"/>
        <v>0</v>
      </c>
      <c r="AF164" s="1">
        <f t="shared" si="145"/>
        <v>0</v>
      </c>
      <c r="AG164" s="1">
        <f t="shared" si="145"/>
        <v>0</v>
      </c>
      <c r="AH164" s="1">
        <f t="shared" si="145"/>
        <v>0</v>
      </c>
      <c r="AI164" s="1">
        <f t="shared" si="145"/>
        <v>0</v>
      </c>
      <c r="AJ164" s="1">
        <f t="shared" si="145"/>
        <v>0</v>
      </c>
      <c r="AK164" s="1">
        <f t="shared" si="145"/>
        <v>0</v>
      </c>
      <c r="AL164" s="1">
        <f t="shared" si="145"/>
        <v>0</v>
      </c>
      <c r="AM164" s="1">
        <f t="shared" si="145"/>
        <v>0</v>
      </c>
      <c r="AN164" s="1">
        <f t="shared" si="145"/>
        <v>0</v>
      </c>
      <c r="AO164" s="1">
        <f t="shared" si="145"/>
        <v>0</v>
      </c>
      <c r="AP164" s="1">
        <f t="shared" si="145"/>
        <v>0</v>
      </c>
      <c r="AQ164" s="1">
        <f t="shared" si="145"/>
        <v>0</v>
      </c>
      <c r="AR164" s="1">
        <f t="shared" si="145"/>
        <v>0</v>
      </c>
      <c r="AS164" s="1">
        <f t="shared" si="145"/>
        <v>0</v>
      </c>
      <c r="AT164" s="1">
        <f t="shared" si="145"/>
        <v>0</v>
      </c>
      <c r="AU164" s="1">
        <f t="shared" si="145"/>
        <v>0</v>
      </c>
      <c r="AV164" s="1">
        <f t="shared" si="145"/>
        <v>0</v>
      </c>
      <c r="AW164" s="1">
        <f t="shared" si="145"/>
        <v>0</v>
      </c>
      <c r="AX164" s="1">
        <f t="shared" si="145"/>
        <v>0</v>
      </c>
      <c r="AY164" s="1">
        <f t="shared" si="145"/>
        <v>0</v>
      </c>
      <c r="AZ164" s="1">
        <f t="shared" si="145"/>
        <v>0</v>
      </c>
      <c r="BA164" s="1">
        <f t="shared" si="145"/>
        <v>0</v>
      </c>
    </row>
    <row r="165" spans="1:54" x14ac:dyDescent="0.35">
      <c r="B165" s="5"/>
      <c r="C165" s="5" t="s">
        <v>6</v>
      </c>
      <c r="D165" s="5"/>
      <c r="E165" s="5"/>
      <c r="F165" s="5"/>
      <c r="G165" s="5"/>
      <c r="H165" s="5"/>
      <c r="I165" s="5"/>
      <c r="J165" s="5"/>
      <c r="K165" s="5"/>
      <c r="N165" s="1">
        <f t="shared" si="143"/>
        <v>0</v>
      </c>
      <c r="Q165" s="1">
        <f t="shared" ref="Q165:BA165" si="146">-Q73*VAT</f>
        <v>0</v>
      </c>
      <c r="R165" s="1">
        <f t="shared" si="146"/>
        <v>0</v>
      </c>
      <c r="S165" s="1">
        <f t="shared" si="146"/>
        <v>0</v>
      </c>
      <c r="T165" s="1">
        <f t="shared" si="146"/>
        <v>0</v>
      </c>
      <c r="U165" s="1">
        <f t="shared" si="146"/>
        <v>0</v>
      </c>
      <c r="V165" s="1">
        <f t="shared" si="146"/>
        <v>0</v>
      </c>
      <c r="W165" s="1">
        <f t="shared" si="146"/>
        <v>0</v>
      </c>
      <c r="X165" s="1">
        <f t="shared" si="146"/>
        <v>0</v>
      </c>
      <c r="Y165" s="1">
        <f t="shared" si="146"/>
        <v>0</v>
      </c>
      <c r="Z165" s="1">
        <f t="shared" si="146"/>
        <v>0</v>
      </c>
      <c r="AA165" s="1">
        <f t="shared" si="146"/>
        <v>0</v>
      </c>
      <c r="AB165" s="1">
        <f t="shared" si="146"/>
        <v>0</v>
      </c>
      <c r="AC165" s="1">
        <f t="shared" si="146"/>
        <v>0</v>
      </c>
      <c r="AD165" s="1">
        <f t="shared" si="146"/>
        <v>0</v>
      </c>
      <c r="AE165" s="1">
        <f t="shared" si="146"/>
        <v>0</v>
      </c>
      <c r="AF165" s="1">
        <f t="shared" si="146"/>
        <v>0</v>
      </c>
      <c r="AG165" s="1">
        <f t="shared" si="146"/>
        <v>0</v>
      </c>
      <c r="AH165" s="1">
        <f t="shared" si="146"/>
        <v>0</v>
      </c>
      <c r="AI165" s="1">
        <f t="shared" si="146"/>
        <v>0</v>
      </c>
      <c r="AJ165" s="1">
        <f t="shared" si="146"/>
        <v>0</v>
      </c>
      <c r="AK165" s="1">
        <f t="shared" si="146"/>
        <v>0</v>
      </c>
      <c r="AL165" s="1">
        <f t="shared" si="146"/>
        <v>0</v>
      </c>
      <c r="AM165" s="1">
        <f t="shared" si="146"/>
        <v>0</v>
      </c>
      <c r="AN165" s="1">
        <f t="shared" si="146"/>
        <v>0</v>
      </c>
      <c r="AO165" s="1">
        <f t="shared" si="146"/>
        <v>0</v>
      </c>
      <c r="AP165" s="1">
        <f t="shared" si="146"/>
        <v>0</v>
      </c>
      <c r="AQ165" s="1">
        <f t="shared" si="146"/>
        <v>0</v>
      </c>
      <c r="AR165" s="1">
        <f t="shared" si="146"/>
        <v>0</v>
      </c>
      <c r="AS165" s="1">
        <f t="shared" si="146"/>
        <v>0</v>
      </c>
      <c r="AT165" s="1">
        <f t="shared" si="146"/>
        <v>0</v>
      </c>
      <c r="AU165" s="1">
        <f t="shared" si="146"/>
        <v>0</v>
      </c>
      <c r="AV165" s="1">
        <f t="shared" si="146"/>
        <v>0</v>
      </c>
      <c r="AW165" s="1">
        <f t="shared" si="146"/>
        <v>0</v>
      </c>
      <c r="AX165" s="1">
        <f t="shared" si="146"/>
        <v>0</v>
      </c>
      <c r="AY165" s="1">
        <f t="shared" si="146"/>
        <v>0</v>
      </c>
      <c r="AZ165" s="1">
        <f t="shared" si="146"/>
        <v>0</v>
      </c>
      <c r="BA165" s="1">
        <f t="shared" si="146"/>
        <v>0</v>
      </c>
    </row>
    <row r="166" spans="1:54" ht="15.75" customHeight="1" x14ac:dyDescent="0.35">
      <c r="B166" s="5"/>
      <c r="C166" s="5"/>
      <c r="D166" s="5"/>
      <c r="E166" s="5"/>
      <c r="F166" s="5"/>
      <c r="G166" s="5"/>
      <c r="H166" s="5"/>
      <c r="I166" s="5"/>
      <c r="J166" s="5"/>
      <c r="K166" s="5"/>
    </row>
    <row r="167" spans="1:54" ht="15.75" customHeight="1" x14ac:dyDescent="0.35">
      <c r="B167" s="9" t="s">
        <v>140</v>
      </c>
      <c r="C167" s="9"/>
      <c r="D167" s="9"/>
      <c r="E167" s="9"/>
      <c r="F167" s="9"/>
      <c r="G167" s="9"/>
      <c r="H167" s="9"/>
      <c r="I167" s="9"/>
      <c r="J167" s="9"/>
      <c r="K167" s="9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</row>
    <row r="168" spans="1:54" ht="15.75" customHeight="1" x14ac:dyDescent="0.35">
      <c r="B168" s="5"/>
      <c r="C168" s="5" t="s">
        <v>132</v>
      </c>
      <c r="D168" s="5"/>
      <c r="E168" s="5"/>
      <c r="F168" s="5"/>
      <c r="G168" s="5"/>
      <c r="H168" s="5"/>
      <c r="I168" s="5"/>
      <c r="J168" s="5"/>
      <c r="K168" s="5"/>
      <c r="N168" s="11">
        <f>SUM(Q168:BA168)</f>
        <v>0</v>
      </c>
      <c r="Q168" s="11">
        <f t="shared" ref="Q168:Y168" si="147">SUM(Q169:Q170)</f>
        <v>0</v>
      </c>
      <c r="R168" s="11">
        <f t="shared" si="147"/>
        <v>0</v>
      </c>
      <c r="S168" s="11">
        <f t="shared" si="147"/>
        <v>0</v>
      </c>
      <c r="T168" s="11">
        <f t="shared" si="147"/>
        <v>0</v>
      </c>
      <c r="U168" s="11">
        <f t="shared" si="147"/>
        <v>0</v>
      </c>
      <c r="V168" s="11">
        <f t="shared" si="147"/>
        <v>0</v>
      </c>
      <c r="W168" s="11">
        <f t="shared" si="147"/>
        <v>0</v>
      </c>
      <c r="X168" s="11">
        <f t="shared" si="147"/>
        <v>0</v>
      </c>
      <c r="Y168" s="11">
        <f t="shared" si="147"/>
        <v>0</v>
      </c>
      <c r="Z168" s="11">
        <f>SUM(Z169:Z170)</f>
        <v>0</v>
      </c>
      <c r="AA168" s="11">
        <f t="shared" ref="AA168:BA168" si="148">SUM(AA169:AA170)</f>
        <v>0</v>
      </c>
      <c r="AB168" s="11">
        <f t="shared" si="148"/>
        <v>0</v>
      </c>
      <c r="AC168" s="11">
        <f t="shared" si="148"/>
        <v>0</v>
      </c>
      <c r="AD168" s="11">
        <f t="shared" si="148"/>
        <v>0</v>
      </c>
      <c r="AE168" s="11">
        <f t="shared" si="148"/>
        <v>0</v>
      </c>
      <c r="AF168" s="11">
        <f t="shared" si="148"/>
        <v>0</v>
      </c>
      <c r="AG168" s="11">
        <f t="shared" si="148"/>
        <v>0</v>
      </c>
      <c r="AH168" s="11">
        <f t="shared" si="148"/>
        <v>0</v>
      </c>
      <c r="AI168" s="11">
        <f t="shared" si="148"/>
        <v>0</v>
      </c>
      <c r="AJ168" s="11">
        <f t="shared" si="148"/>
        <v>0</v>
      </c>
      <c r="AK168" s="11">
        <f t="shared" si="148"/>
        <v>0</v>
      </c>
      <c r="AL168" s="11">
        <f t="shared" si="148"/>
        <v>0</v>
      </c>
      <c r="AM168" s="11">
        <f t="shared" si="148"/>
        <v>0</v>
      </c>
      <c r="AN168" s="11">
        <f t="shared" si="148"/>
        <v>0</v>
      </c>
      <c r="AO168" s="11">
        <f t="shared" si="148"/>
        <v>0</v>
      </c>
      <c r="AP168" s="11">
        <f t="shared" si="148"/>
        <v>0</v>
      </c>
      <c r="AQ168" s="11">
        <f t="shared" si="148"/>
        <v>0</v>
      </c>
      <c r="AR168" s="11">
        <f t="shared" si="148"/>
        <v>0</v>
      </c>
      <c r="AS168" s="11">
        <f t="shared" si="148"/>
        <v>0</v>
      </c>
      <c r="AT168" s="11">
        <f t="shared" si="148"/>
        <v>0</v>
      </c>
      <c r="AU168" s="11">
        <f t="shared" si="148"/>
        <v>0</v>
      </c>
      <c r="AV168" s="11">
        <f t="shared" si="148"/>
        <v>0</v>
      </c>
      <c r="AW168" s="11">
        <f t="shared" si="148"/>
        <v>0</v>
      </c>
      <c r="AX168" s="11">
        <f t="shared" si="148"/>
        <v>0</v>
      </c>
      <c r="AY168" s="11">
        <f t="shared" si="148"/>
        <v>0</v>
      </c>
      <c r="AZ168" s="11">
        <f t="shared" si="148"/>
        <v>0</v>
      </c>
      <c r="BA168" s="11">
        <f t="shared" si="148"/>
        <v>0</v>
      </c>
    </row>
    <row r="169" spans="1:54" ht="15.75" customHeight="1" x14ac:dyDescent="0.35">
      <c r="B169" s="5"/>
      <c r="C169" s="5"/>
      <c r="D169" s="5" t="s">
        <v>138</v>
      </c>
      <c r="E169" s="5"/>
      <c r="F169" s="5"/>
      <c r="G169" s="5"/>
      <c r="H169" s="5"/>
      <c r="I169" s="5"/>
      <c r="J169" s="5"/>
      <c r="K169" s="5"/>
      <c r="N169" s="1">
        <f>SUM(Q169:BA169)</f>
        <v>0</v>
      </c>
      <c r="Q169" s="1">
        <f>Q$155*(Założenia!$K$172="tak")*Założenia!$K$173</f>
        <v>0</v>
      </c>
      <c r="R169" s="1">
        <f>R$155*(Założenia!$K$172="tak")*Założenia!$K$173</f>
        <v>0</v>
      </c>
      <c r="S169" s="1">
        <f>S$155*(Założenia!$K$172="tak")*Założenia!$K$173</f>
        <v>0</v>
      </c>
      <c r="T169" s="1">
        <f>T$155*(Założenia!$K$172="tak")*Założenia!$K$173</f>
        <v>0</v>
      </c>
      <c r="U169" s="1">
        <f>U$155*(Założenia!$K$172="tak")*Założenia!$K$173</f>
        <v>0</v>
      </c>
      <c r="V169" s="1">
        <f>V$155*(Założenia!$K$172="tak")*Założenia!$K$173</f>
        <v>0</v>
      </c>
      <c r="W169" s="1">
        <f>W$155*(Założenia!$K$172="tak")*Założenia!$K$173</f>
        <v>0</v>
      </c>
      <c r="X169" s="1">
        <f>X$155*(Założenia!$K$172="tak")*Założenia!$K$173</f>
        <v>0</v>
      </c>
      <c r="Y169" s="1">
        <f>Y$155*(Założenia!$K$172="tak")*Założenia!$K$173</f>
        <v>0</v>
      </c>
      <c r="Z169" s="1">
        <f>Z$155*(Założenia!$K$172="tak")*Założenia!$K$173</f>
        <v>0</v>
      </c>
      <c r="AA169" s="1">
        <f>AA$155*(Założenia!$K$172="tak")*Założenia!$K$173</f>
        <v>0</v>
      </c>
      <c r="AB169" s="1">
        <f>AB$155*(Założenia!$K$172="tak")*Założenia!$K$173</f>
        <v>0</v>
      </c>
      <c r="AC169" s="1">
        <f>AC$155*(Założenia!$K$172="tak")*Założenia!$K$173</f>
        <v>0</v>
      </c>
      <c r="AD169" s="1">
        <f>AD$155*(Założenia!$K$172="tak")*Założenia!$K$173</f>
        <v>0</v>
      </c>
      <c r="AE169" s="1">
        <f>AE$155*(Założenia!$K$172="tak")*Założenia!$K$173</f>
        <v>0</v>
      </c>
      <c r="AF169" s="1">
        <f>AF$155*(Założenia!$K$172="tak")*Założenia!$K$173</f>
        <v>0</v>
      </c>
      <c r="AG169" s="1">
        <f>AG$155*(Założenia!$K$172="tak")*Założenia!$K$173</f>
        <v>0</v>
      </c>
      <c r="AH169" s="1">
        <f>AH$155*(Założenia!$K$172="tak")*Założenia!$K$173</f>
        <v>0</v>
      </c>
      <c r="AI169" s="1">
        <f>AI$155*(Założenia!$K$172="tak")*Założenia!$K$173</f>
        <v>0</v>
      </c>
      <c r="AJ169" s="1">
        <f>AJ$155*(Założenia!$K$172="tak")*Założenia!$K$173</f>
        <v>0</v>
      </c>
      <c r="AK169" s="1">
        <f>AK$155*(Założenia!$K$172="tak")*Założenia!$K$173</f>
        <v>0</v>
      </c>
      <c r="AL169" s="1">
        <f>AL$155*(Założenia!$K$172="tak")*Założenia!$K$173</f>
        <v>0</v>
      </c>
      <c r="AM169" s="1">
        <f>AM$155*(Założenia!$K$172="tak")*Założenia!$K$173</f>
        <v>0</v>
      </c>
      <c r="AN169" s="1">
        <f>AN$155*(Założenia!$K$172="tak")*Założenia!$K$173</f>
        <v>0</v>
      </c>
      <c r="AO169" s="1">
        <f>AO$155*(Założenia!$K$172="tak")*Założenia!$K$173</f>
        <v>0</v>
      </c>
      <c r="AP169" s="1">
        <f>AP$155*(Założenia!$K$172="tak")*Założenia!$K$173</f>
        <v>0</v>
      </c>
      <c r="AQ169" s="1">
        <f>AQ$155*(Założenia!$K$172="tak")*Założenia!$K$173</f>
        <v>0</v>
      </c>
      <c r="AR169" s="1">
        <f>AR$155*(Założenia!$K$172="tak")*Założenia!$K$173</f>
        <v>0</v>
      </c>
      <c r="AS169" s="1">
        <f>AS$155*(Założenia!$K$172="tak")*Założenia!$K$173</f>
        <v>0</v>
      </c>
      <c r="AT169" s="1">
        <f>AT$155*(Założenia!$K$172="tak")*Założenia!$K$173</f>
        <v>0</v>
      </c>
      <c r="AU169" s="1">
        <f>AU$155*(Założenia!$K$172="tak")*Założenia!$K$173</f>
        <v>0</v>
      </c>
      <c r="AV169" s="1">
        <f>AV$155*(Założenia!$K$172="tak")*Założenia!$K$173</f>
        <v>0</v>
      </c>
      <c r="AW169" s="1">
        <f>AW$155*(Założenia!$K$172="tak")*Założenia!$K$173</f>
        <v>0</v>
      </c>
      <c r="AX169" s="1">
        <f>AX$155*(Założenia!$K$172="tak")*Założenia!$K$173</f>
        <v>0</v>
      </c>
      <c r="AY169" s="1">
        <f>AY$155*(Założenia!$K$172="tak")*Założenia!$K$173</f>
        <v>0</v>
      </c>
      <c r="AZ169" s="1">
        <f>AZ$155*(Założenia!$K$172="tak")*Założenia!$K$173</f>
        <v>0</v>
      </c>
      <c r="BA169" s="1">
        <f>BA$155*(Założenia!$K$172="tak")*Założenia!$K$173</f>
        <v>0</v>
      </c>
    </row>
    <row r="170" spans="1:54" ht="15.75" customHeight="1" x14ac:dyDescent="0.35">
      <c r="B170" s="5"/>
      <c r="C170" s="5"/>
      <c r="D170" s="5" t="s">
        <v>139</v>
      </c>
      <c r="E170" s="5"/>
      <c r="F170" s="5"/>
      <c r="G170" s="5"/>
      <c r="H170" s="5"/>
      <c r="I170" s="5"/>
      <c r="J170" s="5"/>
      <c r="K170" s="5"/>
      <c r="N170" s="1">
        <f>SUM(Q170:BA170)</f>
        <v>0</v>
      </c>
      <c r="Q170" s="1">
        <f>SUM(Q$155-Q$169)*(Założenia!$K$179="Podmiot Publiczny")</f>
        <v>0</v>
      </c>
      <c r="R170" s="1">
        <f>SUM(R$155-R$169)*(Założenia!$K$179="Podmiot Publiczny")</f>
        <v>0</v>
      </c>
      <c r="S170" s="1">
        <f>SUM(S$155-S$169)*(Założenia!$K$179="Podmiot Publiczny")</f>
        <v>0</v>
      </c>
      <c r="T170" s="1">
        <f>SUM(T$155-T$169)*(Założenia!$K$179="Podmiot Publiczny")</f>
        <v>0</v>
      </c>
      <c r="U170" s="1">
        <f>SUM(U$155-U$169)*(Założenia!$K$179="Podmiot Publiczny")</f>
        <v>0</v>
      </c>
      <c r="V170" s="1">
        <f>SUM(V$155-V$169)*(Założenia!$K$179="Podmiot Publiczny")</f>
        <v>0</v>
      </c>
      <c r="W170" s="1">
        <f>SUM(W$155-W$169)*(Założenia!$K$179="Podmiot Publiczny")</f>
        <v>0</v>
      </c>
      <c r="X170" s="1">
        <f>SUM(X$155-X$169)*(Założenia!$K$179="Podmiot Publiczny")</f>
        <v>0</v>
      </c>
      <c r="Y170" s="1">
        <f>SUM(Y$155-Y$169)*(Założenia!$K$179="Podmiot Publiczny")</f>
        <v>0</v>
      </c>
      <c r="Z170" s="1">
        <f>SUM(Z$155-Z$169)*(Założenia!$K$179="Podmiot Publiczny")</f>
        <v>0</v>
      </c>
      <c r="AA170" s="1">
        <f>SUM(AA$155-AA$169)*(Założenia!$K$179="Podmiot Publiczny")</f>
        <v>0</v>
      </c>
      <c r="AB170" s="1">
        <f>SUM(AB$155-AB$169)*(Założenia!$K$179="Podmiot Publiczny")</f>
        <v>0</v>
      </c>
      <c r="AC170" s="1">
        <f>SUM(AC$155-AC$169)*(Założenia!$K$179="Podmiot Publiczny")</f>
        <v>0</v>
      </c>
      <c r="AD170" s="1">
        <f>SUM(AD$155-AD$169)*(Założenia!$K$179="Podmiot Publiczny")</f>
        <v>0</v>
      </c>
      <c r="AE170" s="1">
        <f>SUM(AE$155-AE$169)*(Założenia!$K$179="Podmiot Publiczny")</f>
        <v>0</v>
      </c>
      <c r="AF170" s="1">
        <f>SUM(AF$155-AF$169)*(Założenia!$K$179="Podmiot Publiczny")</f>
        <v>0</v>
      </c>
      <c r="AG170" s="1">
        <f>SUM(AG$155-AG$169)*(Założenia!$K$179="Podmiot Publiczny")</f>
        <v>0</v>
      </c>
      <c r="AH170" s="1">
        <f>SUM(AH$155-AH$169)*(Założenia!$K$179="Podmiot Publiczny")</f>
        <v>0</v>
      </c>
      <c r="AI170" s="1">
        <f>SUM(AI$155-AI$169)*(Założenia!$K$179="Podmiot Publiczny")</f>
        <v>0</v>
      </c>
      <c r="AJ170" s="1">
        <f>SUM(AJ$155-AJ$169)*(Założenia!$K$179="Podmiot Publiczny")</f>
        <v>0</v>
      </c>
      <c r="AK170" s="1">
        <f>SUM(AK$155-AK$169)*(Założenia!$K$179="Podmiot Publiczny")</f>
        <v>0</v>
      </c>
      <c r="AL170" s="1">
        <f>SUM(AL$155-AL$169)*(Założenia!$K$179="Podmiot Publiczny")</f>
        <v>0</v>
      </c>
      <c r="AM170" s="1">
        <f>SUM(AM$155-AM$169)*(Założenia!$K$179="Podmiot Publiczny")</f>
        <v>0</v>
      </c>
      <c r="AN170" s="1">
        <f>SUM(AN$155-AN$169)*(Założenia!$K$179="Podmiot Publiczny")</f>
        <v>0</v>
      </c>
      <c r="AO170" s="1">
        <f>SUM(AO$155-AO$169)*(Założenia!$K$179="Podmiot Publiczny")</f>
        <v>0</v>
      </c>
      <c r="AP170" s="1">
        <f>SUM(AP$155-AP$169)*(Założenia!$K$179="Podmiot Publiczny")</f>
        <v>0</v>
      </c>
      <c r="AQ170" s="1">
        <f>SUM(AQ$155-AQ$169)*(Założenia!$K$179="Podmiot Publiczny")</f>
        <v>0</v>
      </c>
      <c r="AR170" s="1">
        <f>SUM(AR$155-AR$169)*(Założenia!$K$179="Podmiot Publiczny")</f>
        <v>0</v>
      </c>
      <c r="AS170" s="1">
        <f>SUM(AS$155-AS$169)*(Założenia!$K$179="Podmiot Publiczny")</f>
        <v>0</v>
      </c>
      <c r="AT170" s="1">
        <f>SUM(AT$155-AT$169)*(Założenia!$K$179="Podmiot Publiczny")</f>
        <v>0</v>
      </c>
      <c r="AU170" s="1">
        <f>SUM(AU$155-AU$169)*(Założenia!$K$179="Podmiot Publiczny")</f>
        <v>0</v>
      </c>
      <c r="AV170" s="1">
        <f>SUM(AV$155-AV$169)*(Założenia!$K$179="Podmiot Publiczny")</f>
        <v>0</v>
      </c>
      <c r="AW170" s="1">
        <f>SUM(AW$155-AW$169)*(Założenia!$K$179="Podmiot Publiczny")</f>
        <v>0</v>
      </c>
      <c r="AX170" s="1">
        <f>SUM(AX$155-AX$169)*(Założenia!$K$179="Podmiot Publiczny")</f>
        <v>0</v>
      </c>
      <c r="AY170" s="1">
        <f>SUM(AY$155-AY$169)*(Założenia!$K$179="Podmiot Publiczny")</f>
        <v>0</v>
      </c>
      <c r="AZ170" s="1">
        <f>SUM(AZ$155-AZ$169)*(Założenia!$K$179="Podmiot Publiczny")</f>
        <v>0</v>
      </c>
      <c r="BA170" s="1">
        <f>SUM(BA$155-BA$169)*(Założenia!$K$179="Podmiot Publiczny")</f>
        <v>0</v>
      </c>
    </row>
    <row r="171" spans="1:54" ht="15.75" customHeight="1" x14ac:dyDescent="0.35">
      <c r="B171" s="5"/>
      <c r="C171" s="5" t="s">
        <v>103</v>
      </c>
      <c r="D171" s="5"/>
      <c r="E171" s="5"/>
      <c r="F171" s="5"/>
      <c r="G171" s="5"/>
      <c r="H171" s="5"/>
      <c r="I171" s="5"/>
      <c r="J171" s="5"/>
      <c r="K171" s="5"/>
      <c r="N171" s="1">
        <f>SUM(Q171:BA171)</f>
        <v>0</v>
      </c>
      <c r="Q171" s="1">
        <f t="shared" ref="Q171:BA171" si="149">Q155-Q168</f>
        <v>0</v>
      </c>
      <c r="R171" s="1">
        <f t="shared" si="149"/>
        <v>0</v>
      </c>
      <c r="S171" s="1">
        <f t="shared" si="149"/>
        <v>0</v>
      </c>
      <c r="T171" s="1">
        <f t="shared" si="149"/>
        <v>0</v>
      </c>
      <c r="U171" s="1">
        <f t="shared" si="149"/>
        <v>0</v>
      </c>
      <c r="V171" s="1">
        <f t="shared" si="149"/>
        <v>0</v>
      </c>
      <c r="W171" s="1">
        <f t="shared" si="149"/>
        <v>0</v>
      </c>
      <c r="X171" s="1">
        <f t="shared" si="149"/>
        <v>0</v>
      </c>
      <c r="Y171" s="1">
        <f t="shared" si="149"/>
        <v>0</v>
      </c>
      <c r="Z171" s="1">
        <f t="shared" si="149"/>
        <v>0</v>
      </c>
      <c r="AA171" s="1">
        <f t="shared" si="149"/>
        <v>0</v>
      </c>
      <c r="AB171" s="1">
        <f t="shared" si="149"/>
        <v>0</v>
      </c>
      <c r="AC171" s="1">
        <f t="shared" si="149"/>
        <v>0</v>
      </c>
      <c r="AD171" s="1">
        <f t="shared" si="149"/>
        <v>0</v>
      </c>
      <c r="AE171" s="1">
        <f t="shared" si="149"/>
        <v>0</v>
      </c>
      <c r="AF171" s="1">
        <f t="shared" si="149"/>
        <v>0</v>
      </c>
      <c r="AG171" s="1">
        <f t="shared" si="149"/>
        <v>0</v>
      </c>
      <c r="AH171" s="1">
        <f t="shared" si="149"/>
        <v>0</v>
      </c>
      <c r="AI171" s="1">
        <f t="shared" si="149"/>
        <v>0</v>
      </c>
      <c r="AJ171" s="1">
        <f t="shared" si="149"/>
        <v>0</v>
      </c>
      <c r="AK171" s="1">
        <f t="shared" si="149"/>
        <v>0</v>
      </c>
      <c r="AL171" s="1">
        <f t="shared" si="149"/>
        <v>0</v>
      </c>
      <c r="AM171" s="1">
        <f t="shared" si="149"/>
        <v>0</v>
      </c>
      <c r="AN171" s="1">
        <f t="shared" si="149"/>
        <v>0</v>
      </c>
      <c r="AO171" s="1">
        <f t="shared" si="149"/>
        <v>0</v>
      </c>
      <c r="AP171" s="1">
        <f t="shared" si="149"/>
        <v>0</v>
      </c>
      <c r="AQ171" s="1">
        <f t="shared" si="149"/>
        <v>0</v>
      </c>
      <c r="AR171" s="1">
        <f t="shared" si="149"/>
        <v>0</v>
      </c>
      <c r="AS171" s="1">
        <f t="shared" si="149"/>
        <v>0</v>
      </c>
      <c r="AT171" s="1">
        <f t="shared" si="149"/>
        <v>0</v>
      </c>
      <c r="AU171" s="1">
        <f t="shared" si="149"/>
        <v>0</v>
      </c>
      <c r="AV171" s="1">
        <f t="shared" si="149"/>
        <v>0</v>
      </c>
      <c r="AW171" s="1">
        <f t="shared" si="149"/>
        <v>0</v>
      </c>
      <c r="AX171" s="1">
        <f t="shared" si="149"/>
        <v>0</v>
      </c>
      <c r="AY171" s="1">
        <f t="shared" si="149"/>
        <v>0</v>
      </c>
      <c r="AZ171" s="1">
        <f t="shared" si="149"/>
        <v>0</v>
      </c>
      <c r="BA171" s="1">
        <f t="shared" si="149"/>
        <v>0</v>
      </c>
    </row>
    <row r="172" spans="1:54" ht="15.75" customHeight="1" x14ac:dyDescent="0.35">
      <c r="B172" s="5"/>
      <c r="C172" s="5"/>
      <c r="D172" s="5"/>
      <c r="E172" s="5"/>
      <c r="F172" s="5"/>
      <c r="G172" s="5"/>
      <c r="H172" s="5"/>
      <c r="I172" s="5"/>
      <c r="J172" s="5"/>
      <c r="K172" s="5"/>
    </row>
    <row r="173" spans="1:54" ht="15.75" customHeight="1" thickBot="1" x14ac:dyDescent="0.4">
      <c r="A173" s="44" t="s">
        <v>92</v>
      </c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5"/>
    </row>
    <row r="174" spans="1:54" ht="15.75" customHeight="1" thickTop="1" x14ac:dyDescent="0.35">
      <c r="B174" s="5"/>
      <c r="C174" s="5"/>
      <c r="D174" s="5"/>
      <c r="E174" s="5"/>
      <c r="F174" s="5"/>
      <c r="G174" s="5"/>
      <c r="H174" s="5"/>
      <c r="I174" s="5"/>
      <c r="J174" s="5"/>
      <c r="K174" s="5"/>
    </row>
    <row r="175" spans="1:54" ht="15.75" customHeight="1" x14ac:dyDescent="0.35">
      <c r="B175" s="9" t="s">
        <v>143</v>
      </c>
      <c r="C175" s="9"/>
      <c r="D175" s="9"/>
      <c r="E175" s="9"/>
      <c r="F175" s="9"/>
      <c r="G175" s="9"/>
      <c r="H175" s="9"/>
      <c r="I175" s="9"/>
      <c r="J175" s="9"/>
      <c r="K175" s="9"/>
      <c r="L175" s="8"/>
      <c r="M175" s="8"/>
      <c r="N175" s="10">
        <f>SUM(Q175:BA175)</f>
        <v>0</v>
      </c>
      <c r="O175" s="8"/>
      <c r="P175" s="8"/>
      <c r="Q175" s="10">
        <f>SUM(Q176:Q178)</f>
        <v>0</v>
      </c>
      <c r="R175" s="10">
        <f t="shared" ref="R175:BA175" si="150">SUM(R176:R178)</f>
        <v>0</v>
      </c>
      <c r="S175" s="10">
        <f t="shared" si="150"/>
        <v>0</v>
      </c>
      <c r="T175" s="10">
        <f t="shared" si="150"/>
        <v>0</v>
      </c>
      <c r="U175" s="10">
        <f t="shared" si="150"/>
        <v>0</v>
      </c>
      <c r="V175" s="10">
        <f t="shared" si="150"/>
        <v>0</v>
      </c>
      <c r="W175" s="10">
        <f t="shared" si="150"/>
        <v>0</v>
      </c>
      <c r="X175" s="10">
        <f t="shared" si="150"/>
        <v>0</v>
      </c>
      <c r="Y175" s="10">
        <f t="shared" si="150"/>
        <v>0</v>
      </c>
      <c r="Z175" s="10">
        <f t="shared" si="150"/>
        <v>0</v>
      </c>
      <c r="AA175" s="10">
        <f t="shared" si="150"/>
        <v>0</v>
      </c>
      <c r="AB175" s="10">
        <f t="shared" si="150"/>
        <v>0</v>
      </c>
      <c r="AC175" s="10">
        <f t="shared" si="150"/>
        <v>0</v>
      </c>
      <c r="AD175" s="10">
        <f t="shared" si="150"/>
        <v>0</v>
      </c>
      <c r="AE175" s="10">
        <f t="shared" si="150"/>
        <v>0</v>
      </c>
      <c r="AF175" s="10">
        <f t="shared" si="150"/>
        <v>0</v>
      </c>
      <c r="AG175" s="10">
        <f t="shared" si="150"/>
        <v>0</v>
      </c>
      <c r="AH175" s="10">
        <f t="shared" si="150"/>
        <v>0</v>
      </c>
      <c r="AI175" s="10">
        <f t="shared" si="150"/>
        <v>0</v>
      </c>
      <c r="AJ175" s="10">
        <f t="shared" si="150"/>
        <v>0</v>
      </c>
      <c r="AK175" s="10">
        <f t="shared" si="150"/>
        <v>0</v>
      </c>
      <c r="AL175" s="10">
        <f t="shared" si="150"/>
        <v>0</v>
      </c>
      <c r="AM175" s="10">
        <f t="shared" si="150"/>
        <v>0</v>
      </c>
      <c r="AN175" s="10">
        <f t="shared" si="150"/>
        <v>0</v>
      </c>
      <c r="AO175" s="10">
        <f t="shared" si="150"/>
        <v>0</v>
      </c>
      <c r="AP175" s="10">
        <f t="shared" si="150"/>
        <v>0</v>
      </c>
      <c r="AQ175" s="10">
        <f t="shared" si="150"/>
        <v>0</v>
      </c>
      <c r="AR175" s="10">
        <f t="shared" si="150"/>
        <v>0</v>
      </c>
      <c r="AS175" s="10">
        <f t="shared" si="150"/>
        <v>0</v>
      </c>
      <c r="AT175" s="10">
        <f t="shared" si="150"/>
        <v>0</v>
      </c>
      <c r="AU175" s="10">
        <f t="shared" si="150"/>
        <v>0</v>
      </c>
      <c r="AV175" s="10">
        <f t="shared" si="150"/>
        <v>0</v>
      </c>
      <c r="AW175" s="10">
        <f t="shared" si="150"/>
        <v>0</v>
      </c>
      <c r="AX175" s="10">
        <f t="shared" si="150"/>
        <v>0</v>
      </c>
      <c r="AY175" s="10">
        <f t="shared" si="150"/>
        <v>0</v>
      </c>
      <c r="AZ175" s="10">
        <f t="shared" si="150"/>
        <v>0</v>
      </c>
      <c r="BA175" s="10">
        <f t="shared" si="150"/>
        <v>0</v>
      </c>
    </row>
    <row r="176" spans="1:54" ht="15.75" customHeight="1" x14ac:dyDescent="0.35">
      <c r="B176" s="5"/>
      <c r="C176" s="5" t="s">
        <v>99</v>
      </c>
      <c r="D176" s="5"/>
      <c r="E176" s="5"/>
      <c r="F176" s="5"/>
      <c r="G176" s="5"/>
      <c r="H176" s="5"/>
      <c r="I176" s="5"/>
      <c r="J176" s="5"/>
      <c r="K176" s="5"/>
      <c r="N176" s="11">
        <f>SUM(Q176:BA176)</f>
        <v>0</v>
      </c>
      <c r="Q176" s="11">
        <f>IFERROR(Założenia!$K$34/SUM(OPt.w1)*OPt.w1*IF(Założenia!$K$38="tak",'zakładka techniczna'!Q$10,1),0)</f>
        <v>0</v>
      </c>
      <c r="R176" s="11">
        <f>IFERROR(Założenia!$K$34/SUM(OPt.w1)*OPt.w1*IF(Założenia!$K$38="tak",'zakładka techniczna'!R$10,1),0)</f>
        <v>0</v>
      </c>
      <c r="S176" s="11">
        <f>IFERROR(Założenia!$K$34/SUM(OPt.w1)*OPt.w1*IF(Założenia!$K$38="tak",'zakładka techniczna'!S$10,1),0)</f>
        <v>0</v>
      </c>
      <c r="T176" s="11">
        <f>IFERROR(Założenia!$K$34/SUM(OPt.w1)*OPt.w1*IF(Założenia!$K$38="tak",'zakładka techniczna'!T$10,1),0)</f>
        <v>0</v>
      </c>
      <c r="U176" s="11">
        <f>IFERROR(Założenia!$K$34/SUM(OPt.w1)*OPt.w1*IF(Założenia!$K$38="tak",'zakładka techniczna'!U$10,1),0)</f>
        <v>0</v>
      </c>
      <c r="V176" s="11">
        <f>IFERROR(Założenia!$K$34/SUM(OPt.w1)*OPt.w1*IF(Założenia!$K$38="tak",'zakładka techniczna'!V$10,1),0)</f>
        <v>0</v>
      </c>
      <c r="W176" s="11">
        <f>IFERROR(Założenia!$K$34/SUM(OPt.w1)*OPt.w1*IF(Założenia!$K$38="tak",'zakładka techniczna'!W$10,1),0)</f>
        <v>0</v>
      </c>
      <c r="X176" s="11">
        <f>IFERROR(Założenia!$K$34/SUM(OPt.w1)*OPt.w1*IF(Założenia!$K$38="tak",'zakładka techniczna'!X$10,1),0)</f>
        <v>0</v>
      </c>
      <c r="Y176" s="11">
        <f>IFERROR(Założenia!$K$34/SUM(OPt.w1)*OPt.w1*IF(Założenia!$K$38="tak",'zakładka techniczna'!Y$10,1),0)</f>
        <v>0</v>
      </c>
      <c r="Z176" s="11">
        <f>IFERROR(Założenia!$K$34/SUM(OPt.w1)*OPt.w1*IF(Założenia!$K$38="tak",'zakładka techniczna'!Z$10,1),0)</f>
        <v>0</v>
      </c>
      <c r="AA176" s="11">
        <f>IFERROR(Założenia!$K$34/SUM(OPt.w1)*OPt.w1*IF(Założenia!$K$38="tak",'zakładka techniczna'!AA$10,1),0)</f>
        <v>0</v>
      </c>
      <c r="AB176" s="11">
        <f>IFERROR(Założenia!$K$34/SUM(OPt.w1)*OPt.w1*IF(Założenia!$K$38="tak",'zakładka techniczna'!AB$10,1),0)</f>
        <v>0</v>
      </c>
      <c r="AC176" s="11">
        <f>IFERROR(Założenia!$K$34/SUM(OPt.w1)*OPt.w1*IF(Założenia!$K$38="tak",'zakładka techniczna'!AC$10,1),0)</f>
        <v>0</v>
      </c>
      <c r="AD176" s="11">
        <f>IFERROR(Założenia!$K$34/SUM(OPt.w1)*OPt.w1*IF(Założenia!$K$38="tak",'zakładka techniczna'!AD$10,1),0)</f>
        <v>0</v>
      </c>
      <c r="AE176" s="11">
        <f>IFERROR(Założenia!$K$34/SUM(OPt.w1)*OPt.w1*IF(Założenia!$K$38="tak",'zakładka techniczna'!AE$10,1),0)</f>
        <v>0</v>
      </c>
      <c r="AF176" s="11">
        <f>IFERROR(Założenia!$K$34/SUM(OPt.w1)*OPt.w1*IF(Założenia!$K$38="tak",'zakładka techniczna'!AF$10,1),0)</f>
        <v>0</v>
      </c>
      <c r="AG176" s="11">
        <f>IFERROR(Założenia!$K$34/SUM(OPt.w1)*OPt.w1*IF(Założenia!$K$38="tak",'zakładka techniczna'!AG$10,1),0)</f>
        <v>0</v>
      </c>
      <c r="AH176" s="11">
        <f>IFERROR(Założenia!$K$34/SUM(OPt.w1)*OPt.w1*IF(Założenia!$K$38="tak",'zakładka techniczna'!AH$10,1),0)</f>
        <v>0</v>
      </c>
      <c r="AI176" s="11">
        <f>IFERROR(Założenia!$K$34/SUM(OPt.w1)*OPt.w1*IF(Założenia!$K$38="tak",'zakładka techniczna'!AI$10,1),0)</f>
        <v>0</v>
      </c>
      <c r="AJ176" s="11">
        <f>IFERROR(Założenia!$K$34/SUM(OPt.w1)*OPt.w1*IF(Założenia!$K$38="tak",'zakładka techniczna'!AJ$10,1),0)</f>
        <v>0</v>
      </c>
      <c r="AK176" s="11">
        <f>IFERROR(Założenia!$K$34/SUM(OPt.w1)*OPt.w1*IF(Założenia!$K$38="tak",'zakładka techniczna'!AK$10,1),0)</f>
        <v>0</v>
      </c>
      <c r="AL176" s="11">
        <f>IFERROR(Założenia!$K$34/SUM(OPt.w1)*OPt.w1*IF(Założenia!$K$38="tak",'zakładka techniczna'!AL$10,1),0)</f>
        <v>0</v>
      </c>
      <c r="AM176" s="11">
        <f>IFERROR(Założenia!$K$34/SUM(OPt.w1)*OPt.w1*IF(Założenia!$K$38="tak",'zakładka techniczna'!AM$10,1),0)</f>
        <v>0</v>
      </c>
      <c r="AN176" s="11">
        <f>IFERROR(Założenia!$K$34/SUM(OPt.w1)*OPt.w1*IF(Założenia!$K$38="tak",'zakładka techniczna'!AN$10,1),0)</f>
        <v>0</v>
      </c>
      <c r="AO176" s="11">
        <f>IFERROR(Założenia!$K$34/SUM(OPt.w1)*OPt.w1*IF(Założenia!$K$38="tak",'zakładka techniczna'!AO$10,1),0)</f>
        <v>0</v>
      </c>
      <c r="AP176" s="11">
        <f>IFERROR(Założenia!$K$34/SUM(OPt.w1)*OPt.w1*IF(Założenia!$K$38="tak",'zakładka techniczna'!AP$10,1),0)</f>
        <v>0</v>
      </c>
      <c r="AQ176" s="11">
        <f>IFERROR(Założenia!$K$34/SUM(OPt.w1)*OPt.w1*IF(Założenia!$K$38="tak",'zakładka techniczna'!AQ$10,1),0)</f>
        <v>0</v>
      </c>
      <c r="AR176" s="11">
        <f>IFERROR(Założenia!$K$34/SUM(OPt.w1)*OPt.w1*IF(Założenia!$K$38="tak",'zakładka techniczna'!AR$10,1),0)</f>
        <v>0</v>
      </c>
      <c r="AS176" s="11">
        <f>IFERROR(Założenia!$K$34/SUM(OPt.w1)*OPt.w1*IF(Założenia!$K$38="tak",'zakładka techniczna'!AS$10,1),0)</f>
        <v>0</v>
      </c>
      <c r="AT176" s="11">
        <f>IFERROR(Założenia!$K$34/SUM(OPt.w1)*OPt.w1*IF(Założenia!$K$38="tak",'zakładka techniczna'!AT$10,1),0)</f>
        <v>0</v>
      </c>
      <c r="AU176" s="11">
        <f>IFERROR(Założenia!$K$34/SUM(OPt.w1)*OPt.w1*IF(Założenia!$K$38="tak",'zakładka techniczna'!AU$10,1),0)</f>
        <v>0</v>
      </c>
      <c r="AV176" s="11">
        <f>IFERROR(Założenia!$K$34/SUM(OPt.w1)*OPt.w1*IF(Założenia!$K$38="tak",'zakładka techniczna'!AV$10,1),0)</f>
        <v>0</v>
      </c>
      <c r="AW176" s="11">
        <f>IFERROR(Założenia!$K$34/SUM(OPt.w1)*OPt.w1*IF(Założenia!$K$38="tak",'zakładka techniczna'!AW$10,1),0)</f>
        <v>0</v>
      </c>
      <c r="AX176" s="11">
        <f>IFERROR(Założenia!$K$34/SUM(OPt.w1)*OPt.w1*IF(Założenia!$K$38="tak",'zakładka techniczna'!AX$10,1),0)</f>
        <v>0</v>
      </c>
      <c r="AY176" s="11">
        <f>IFERROR(Założenia!$K$34/SUM(OPt.w1)*OPt.w1*IF(Założenia!$K$38="tak",'zakładka techniczna'!AY$10,1),0)</f>
        <v>0</v>
      </c>
      <c r="AZ176" s="11">
        <f>IFERROR(Założenia!$K$34/SUM(OPt.w1)*OPt.w1*IF(Założenia!$K$38="tak",'zakładka techniczna'!AZ$10,1),0)</f>
        <v>0</v>
      </c>
      <c r="BA176" s="11">
        <f>IFERROR(Założenia!$K$34/SUM(OPt.w1)*OPt.w1*IF(Założenia!$K$38="tak",'zakładka techniczna'!BA$10,1),0)</f>
        <v>0</v>
      </c>
    </row>
    <row r="177" spans="1:54" ht="15.75" customHeight="1" x14ac:dyDescent="0.35">
      <c r="B177" s="5"/>
      <c r="C177" s="5" t="s">
        <v>100</v>
      </c>
      <c r="D177" s="5"/>
      <c r="E177" s="5"/>
      <c r="F177" s="5"/>
      <c r="G177" s="5"/>
      <c r="H177" s="5"/>
      <c r="I177" s="5"/>
      <c r="J177" s="5"/>
      <c r="K177" s="5"/>
      <c r="N177" s="1">
        <f>SUM(Q177:BA177)</f>
        <v>0</v>
      </c>
      <c r="Q177" s="1">
        <f>IFERROR(Założenia!$K$35/SUM(OBt.w1)*OBt.w1*IF(Założenia!$K$38="tak",'zakładka techniczna'!Q$10,1),0)</f>
        <v>0</v>
      </c>
      <c r="R177" s="1">
        <f>IFERROR(Założenia!$K$35/SUM(OBt.w1)*OBt.w1*IF(Założenia!$K$38="tak",'zakładka techniczna'!R$10,1),0)</f>
        <v>0</v>
      </c>
      <c r="S177" s="1">
        <f>IFERROR(Założenia!$K$35/SUM(OBt.w1)*OBt.w1*IF(Założenia!$K$38="tak",'zakładka techniczna'!S$10,1),0)</f>
        <v>0</v>
      </c>
      <c r="T177" s="1">
        <f>IFERROR(Założenia!$K$35/SUM(OBt.w1)*OBt.w1*IF(Założenia!$K$38="tak",'zakładka techniczna'!T$10,1),0)</f>
        <v>0</v>
      </c>
      <c r="U177" s="1">
        <f>IFERROR(Założenia!$K$35/SUM(OBt.w1)*OBt.w1*IF(Założenia!$K$38="tak",'zakładka techniczna'!U$10,1),0)</f>
        <v>0</v>
      </c>
      <c r="V177" s="1">
        <f>IFERROR(Założenia!$K$35/SUM(OBt.w1)*OBt.w1*IF(Założenia!$K$38="tak",'zakładka techniczna'!V$10,1),0)</f>
        <v>0</v>
      </c>
      <c r="W177" s="1">
        <f>IFERROR(Założenia!$K$35/SUM(OBt.w1)*OBt.w1*IF(Założenia!$K$38="tak",'zakładka techniczna'!W$10,1),0)</f>
        <v>0</v>
      </c>
      <c r="X177" s="1">
        <f>IFERROR(Założenia!$K$35/SUM(OBt.w1)*OBt.w1*IF(Założenia!$K$38="tak",'zakładka techniczna'!X$10,1),0)</f>
        <v>0</v>
      </c>
      <c r="Y177" s="1">
        <f>IFERROR(Założenia!$K$35/SUM(OBt.w1)*OBt.w1*IF(Założenia!$K$38="tak",'zakładka techniczna'!Y$10,1),0)</f>
        <v>0</v>
      </c>
      <c r="Z177" s="1">
        <f>IFERROR(Założenia!$K$35/SUM(OBt.w1)*OBt.w1*IF(Założenia!$K$38="tak",'zakładka techniczna'!Z$10,1),0)</f>
        <v>0</v>
      </c>
      <c r="AA177" s="1">
        <f>IFERROR(Założenia!$K$35/SUM(OBt.w1)*OBt.w1*IF(Założenia!$K$38="tak",'zakładka techniczna'!AA$10,1),0)</f>
        <v>0</v>
      </c>
      <c r="AB177" s="1">
        <f>IFERROR(Założenia!$K$35/SUM(OBt.w1)*OBt.w1*IF(Założenia!$K$38="tak",'zakładka techniczna'!AB$10,1),0)</f>
        <v>0</v>
      </c>
      <c r="AC177" s="1">
        <f>IFERROR(Założenia!$K$35/SUM(OBt.w1)*OBt.w1*IF(Założenia!$K$38="tak",'zakładka techniczna'!AC$10,1),0)</f>
        <v>0</v>
      </c>
      <c r="AD177" s="1">
        <f>IFERROR(Założenia!$K$35/SUM(OBt.w1)*OBt.w1*IF(Założenia!$K$38="tak",'zakładka techniczna'!AD$10,1),0)</f>
        <v>0</v>
      </c>
      <c r="AE177" s="1">
        <f>IFERROR(Założenia!$K$35/SUM(OBt.w1)*OBt.w1*IF(Założenia!$K$38="tak",'zakładka techniczna'!AE$10,1),0)</f>
        <v>0</v>
      </c>
      <c r="AF177" s="1">
        <f>IFERROR(Założenia!$K$35/SUM(OBt.w1)*OBt.w1*IF(Założenia!$K$38="tak",'zakładka techniczna'!AF$10,1),0)</f>
        <v>0</v>
      </c>
      <c r="AG177" s="1">
        <f>IFERROR(Założenia!$K$35/SUM(OBt.w1)*OBt.w1*IF(Założenia!$K$38="tak",'zakładka techniczna'!AG$10,1),0)</f>
        <v>0</v>
      </c>
      <c r="AH177" s="1">
        <f>IFERROR(Założenia!$K$35/SUM(OBt.w1)*OBt.w1*IF(Założenia!$K$38="tak",'zakładka techniczna'!AH$10,1),0)</f>
        <v>0</v>
      </c>
      <c r="AI177" s="1">
        <f>IFERROR(Założenia!$K$35/SUM(OBt.w1)*OBt.w1*IF(Założenia!$K$38="tak",'zakładka techniczna'!AI$10,1),0)</f>
        <v>0</v>
      </c>
      <c r="AJ177" s="1">
        <f>IFERROR(Założenia!$K$35/SUM(OBt.w1)*OBt.w1*IF(Założenia!$K$38="tak",'zakładka techniczna'!AJ$10,1),0)</f>
        <v>0</v>
      </c>
      <c r="AK177" s="1">
        <f>IFERROR(Założenia!$K$35/SUM(OBt.w1)*OBt.w1*IF(Założenia!$K$38="tak",'zakładka techniczna'!AK$10,1),0)</f>
        <v>0</v>
      </c>
      <c r="AL177" s="1">
        <f>IFERROR(Założenia!$K$35/SUM(OBt.w1)*OBt.w1*IF(Założenia!$K$38="tak",'zakładka techniczna'!AL$10,1),0)</f>
        <v>0</v>
      </c>
      <c r="AM177" s="1">
        <f>IFERROR(Założenia!$K$35/SUM(OBt.w1)*OBt.w1*IF(Założenia!$K$38="tak",'zakładka techniczna'!AM$10,1),0)</f>
        <v>0</v>
      </c>
      <c r="AN177" s="1">
        <f>IFERROR(Założenia!$K$35/SUM(OBt.w1)*OBt.w1*IF(Założenia!$K$38="tak",'zakładka techniczna'!AN$10,1),0)</f>
        <v>0</v>
      </c>
      <c r="AO177" s="1">
        <f>IFERROR(Założenia!$K$35/SUM(OBt.w1)*OBt.w1*IF(Założenia!$K$38="tak",'zakładka techniczna'!AO$10,1),0)</f>
        <v>0</v>
      </c>
      <c r="AP177" s="1">
        <f>IFERROR(Założenia!$K$35/SUM(OBt.w1)*OBt.w1*IF(Założenia!$K$38="tak",'zakładka techniczna'!AP$10,1),0)</f>
        <v>0</v>
      </c>
      <c r="AQ177" s="1">
        <f>IFERROR(Założenia!$K$35/SUM(OBt.w1)*OBt.w1*IF(Założenia!$K$38="tak",'zakładka techniczna'!AQ$10,1),0)</f>
        <v>0</v>
      </c>
      <c r="AR177" s="1">
        <f>IFERROR(Założenia!$K$35/SUM(OBt.w1)*OBt.w1*IF(Założenia!$K$38="tak",'zakładka techniczna'!AR$10,1),0)</f>
        <v>0</v>
      </c>
      <c r="AS177" s="1">
        <f>IFERROR(Założenia!$K$35/SUM(OBt.w1)*OBt.w1*IF(Założenia!$K$38="tak",'zakładka techniczna'!AS$10,1),0)</f>
        <v>0</v>
      </c>
      <c r="AT177" s="1">
        <f>IFERROR(Założenia!$K$35/SUM(OBt.w1)*OBt.w1*IF(Założenia!$K$38="tak",'zakładka techniczna'!AT$10,1),0)</f>
        <v>0</v>
      </c>
      <c r="AU177" s="1">
        <f>IFERROR(Założenia!$K$35/SUM(OBt.w1)*OBt.w1*IF(Założenia!$K$38="tak",'zakładka techniczna'!AU$10,1),0)</f>
        <v>0</v>
      </c>
      <c r="AV177" s="1">
        <f>IFERROR(Założenia!$K$35/SUM(OBt.w1)*OBt.w1*IF(Założenia!$K$38="tak",'zakładka techniczna'!AV$10,1),0)</f>
        <v>0</v>
      </c>
      <c r="AW177" s="1">
        <f>IFERROR(Założenia!$K$35/SUM(OBt.w1)*OBt.w1*IF(Założenia!$K$38="tak",'zakładka techniczna'!AW$10,1),0)</f>
        <v>0</v>
      </c>
      <c r="AX177" s="1">
        <f>IFERROR(Założenia!$K$35/SUM(OBt.w1)*OBt.w1*IF(Założenia!$K$38="tak",'zakładka techniczna'!AX$10,1),0)</f>
        <v>0</v>
      </c>
      <c r="AY177" s="1">
        <f>IFERROR(Założenia!$K$35/SUM(OBt.w1)*OBt.w1*IF(Założenia!$K$38="tak",'zakładka techniczna'!AY$10,1),0)</f>
        <v>0</v>
      </c>
      <c r="AZ177" s="1">
        <f>IFERROR(Założenia!$K$35/SUM(OBt.w1)*OBt.w1*IF(Założenia!$K$38="tak",'zakładka techniczna'!AZ$10,1),0)</f>
        <v>0</v>
      </c>
      <c r="BA177" s="1">
        <f>IFERROR(Założenia!$K$35/SUM(OBt.w1)*OBt.w1*IF(Założenia!$K$38="tak",'zakładka techniczna'!BA$10,1),0)</f>
        <v>0</v>
      </c>
    </row>
    <row r="178" spans="1:54" ht="15.75" customHeight="1" x14ac:dyDescent="0.35">
      <c r="B178" s="5"/>
      <c r="C178" s="5" t="s">
        <v>66</v>
      </c>
      <c r="D178" s="5"/>
      <c r="E178" s="5"/>
      <c r="F178" s="5"/>
      <c r="G178" s="5"/>
      <c r="H178" s="5"/>
      <c r="I178" s="5"/>
      <c r="J178" s="5"/>
      <c r="K178" s="5"/>
      <c r="N178" s="1">
        <f>SUM(Q178:BA178)</f>
        <v>0</v>
      </c>
      <c r="Q178" s="1">
        <f>IFERROR(Założenia!$K$36/SUM(OPt.w1,OBt.w1)*(OPt.w1+OBt.w1)*IF(Założenia!$K$38="tak",'zakładka techniczna'!Q$10,1),0)</f>
        <v>0</v>
      </c>
      <c r="R178" s="1">
        <f>IFERROR(Założenia!$K$36/SUM(OPt.w1,OBt.w1)*(OPt.w1+OBt.w1)*IF(Założenia!$K$38="tak",'zakładka techniczna'!R$10,1),0)</f>
        <v>0</v>
      </c>
      <c r="S178" s="1">
        <f>IFERROR(Założenia!$K$36/SUM(OPt.w1,OBt.w1)*(OPt.w1+OBt.w1)*IF(Założenia!$K$38="tak",'zakładka techniczna'!S$10,1),0)</f>
        <v>0</v>
      </c>
      <c r="T178" s="1">
        <f>IFERROR(Założenia!$K$36/SUM(OPt.w1,OBt.w1)*(OPt.w1+OBt.w1)*IF(Założenia!$K$38="tak",'zakładka techniczna'!T$10,1),0)</f>
        <v>0</v>
      </c>
      <c r="U178" s="1">
        <f>IFERROR(Założenia!$K$36/SUM(OPt.w1,OBt.w1)*(OPt.w1+OBt.w1)*IF(Założenia!$K$38="tak",'zakładka techniczna'!U$10,1),0)</f>
        <v>0</v>
      </c>
      <c r="V178" s="1">
        <f>IFERROR(Założenia!$K$36/SUM(OPt.w1,OBt.w1)*(OPt.w1+OBt.w1)*IF(Założenia!$K$38="tak",'zakładka techniczna'!V$10,1),0)</f>
        <v>0</v>
      </c>
      <c r="W178" s="1">
        <f>IFERROR(Założenia!$K$36/SUM(OPt.w1,OBt.w1)*(OPt.w1+OBt.w1)*IF(Założenia!$K$38="tak",'zakładka techniczna'!W$10,1),0)</f>
        <v>0</v>
      </c>
      <c r="X178" s="1">
        <f>IFERROR(Założenia!$K$36/SUM(OPt.w1,OBt.w1)*(OPt.w1+OBt.w1)*IF(Założenia!$K$38="tak",'zakładka techniczna'!X$10,1),0)</f>
        <v>0</v>
      </c>
      <c r="Y178" s="1">
        <f>IFERROR(Założenia!$K$36/SUM(OPt.w1,OBt.w1)*(OPt.w1+OBt.w1)*IF(Założenia!$K$38="tak",'zakładka techniczna'!Y$10,1),0)</f>
        <v>0</v>
      </c>
      <c r="Z178" s="1">
        <f>IFERROR(Założenia!$K$36/SUM(OPt.w1,OBt.w1)*(OPt.w1+OBt.w1)*IF(Założenia!$K$38="tak",'zakładka techniczna'!Z$10,1),0)</f>
        <v>0</v>
      </c>
      <c r="AA178" s="1">
        <f>IFERROR(Założenia!$K$36/SUM(OPt.w1,OBt.w1)*(OPt.w1+OBt.w1)*IF(Założenia!$K$38="tak",'zakładka techniczna'!AA$10,1),0)</f>
        <v>0</v>
      </c>
      <c r="AB178" s="1">
        <f>IFERROR(Założenia!$K$36/SUM(OPt.w1,OBt.w1)*(OPt.w1+OBt.w1)*IF(Założenia!$K$38="tak",'zakładka techniczna'!AB$10,1),0)</f>
        <v>0</v>
      </c>
      <c r="AC178" s="1">
        <f>IFERROR(Założenia!$K$36/SUM(OPt.w1,OBt.w1)*(OPt.w1+OBt.w1)*IF(Założenia!$K$38="tak",'zakładka techniczna'!AC$10,1),0)</f>
        <v>0</v>
      </c>
      <c r="AD178" s="1">
        <f>IFERROR(Założenia!$K$36/SUM(OPt.w1,OBt.w1)*(OPt.w1+OBt.w1)*IF(Założenia!$K$38="tak",'zakładka techniczna'!AD$10,1),0)</f>
        <v>0</v>
      </c>
      <c r="AE178" s="1">
        <f>IFERROR(Założenia!$K$36/SUM(OPt.w1,OBt.w1)*(OPt.w1+OBt.w1)*IF(Założenia!$K$38="tak",'zakładka techniczna'!AE$10,1),0)</f>
        <v>0</v>
      </c>
      <c r="AF178" s="1">
        <f>IFERROR(Założenia!$K$36/SUM(OPt.w1,OBt.w1)*(OPt.w1+OBt.w1)*IF(Założenia!$K$38="tak",'zakładka techniczna'!AF$10,1),0)</f>
        <v>0</v>
      </c>
      <c r="AG178" s="1">
        <f>IFERROR(Założenia!$K$36/SUM(OPt.w1,OBt.w1)*(OPt.w1+OBt.w1)*IF(Założenia!$K$38="tak",'zakładka techniczna'!AG$10,1),0)</f>
        <v>0</v>
      </c>
      <c r="AH178" s="1">
        <f>IFERROR(Założenia!$K$36/SUM(OPt.w1,OBt.w1)*(OPt.w1+OBt.w1)*IF(Założenia!$K$38="tak",'zakładka techniczna'!AH$10,1),0)</f>
        <v>0</v>
      </c>
      <c r="AI178" s="1">
        <f>IFERROR(Założenia!$K$36/SUM(OPt.w1,OBt.w1)*(OPt.w1+OBt.w1)*IF(Założenia!$K$38="tak",'zakładka techniczna'!AI$10,1),0)</f>
        <v>0</v>
      </c>
      <c r="AJ178" s="1">
        <f>IFERROR(Założenia!$K$36/SUM(OPt.w1,OBt.w1)*(OPt.w1+OBt.w1)*IF(Założenia!$K$38="tak",'zakładka techniczna'!AJ$10,1),0)</f>
        <v>0</v>
      </c>
      <c r="AK178" s="1">
        <f>IFERROR(Założenia!$K$36/SUM(OPt.w1,OBt.w1)*(OPt.w1+OBt.w1)*IF(Założenia!$K$38="tak",'zakładka techniczna'!AK$10,1),0)</f>
        <v>0</v>
      </c>
      <c r="AL178" s="1">
        <f>IFERROR(Założenia!$K$36/SUM(OPt.w1,OBt.w1)*(OPt.w1+OBt.w1)*IF(Założenia!$K$38="tak",'zakładka techniczna'!AL$10,1),0)</f>
        <v>0</v>
      </c>
      <c r="AM178" s="1">
        <f>IFERROR(Założenia!$K$36/SUM(OPt.w1,OBt.w1)*(OPt.w1+OBt.w1)*IF(Założenia!$K$38="tak",'zakładka techniczna'!AM$10,1),0)</f>
        <v>0</v>
      </c>
      <c r="AN178" s="1">
        <f>IFERROR(Założenia!$K$36/SUM(OPt.w1,OBt.w1)*(OPt.w1+OBt.w1)*IF(Założenia!$K$38="tak",'zakładka techniczna'!AN$10,1),0)</f>
        <v>0</v>
      </c>
      <c r="AO178" s="1">
        <f>IFERROR(Założenia!$K$36/SUM(OPt.w1,OBt.w1)*(OPt.w1+OBt.w1)*IF(Założenia!$K$38="tak",'zakładka techniczna'!AO$10,1),0)</f>
        <v>0</v>
      </c>
      <c r="AP178" s="1">
        <f>IFERROR(Założenia!$K$36/SUM(OPt.w1,OBt.w1)*(OPt.w1+OBt.w1)*IF(Założenia!$K$38="tak",'zakładka techniczna'!AP$10,1),0)</f>
        <v>0</v>
      </c>
      <c r="AQ178" s="1">
        <f>IFERROR(Założenia!$K$36/SUM(OPt.w1,OBt.w1)*(OPt.w1+OBt.w1)*IF(Założenia!$K$38="tak",'zakładka techniczna'!AQ$10,1),0)</f>
        <v>0</v>
      </c>
      <c r="AR178" s="1">
        <f>IFERROR(Założenia!$K$36/SUM(OPt.w1,OBt.w1)*(OPt.w1+OBt.w1)*IF(Założenia!$K$38="tak",'zakładka techniczna'!AR$10,1),0)</f>
        <v>0</v>
      </c>
      <c r="AS178" s="1">
        <f>IFERROR(Założenia!$K$36/SUM(OPt.w1,OBt.w1)*(OPt.w1+OBt.w1)*IF(Założenia!$K$38="tak",'zakładka techniczna'!AS$10,1),0)</f>
        <v>0</v>
      </c>
      <c r="AT178" s="1">
        <f>IFERROR(Założenia!$K$36/SUM(OPt.w1,OBt.w1)*(OPt.w1+OBt.w1)*IF(Założenia!$K$38="tak",'zakładka techniczna'!AT$10,1),0)</f>
        <v>0</v>
      </c>
      <c r="AU178" s="1">
        <f>IFERROR(Założenia!$K$36/SUM(OPt.w1,OBt.w1)*(OPt.w1+OBt.w1)*IF(Założenia!$K$38="tak",'zakładka techniczna'!AU$10,1),0)</f>
        <v>0</v>
      </c>
      <c r="AV178" s="1">
        <f>IFERROR(Założenia!$K$36/SUM(OPt.w1,OBt.w1)*(OPt.w1+OBt.w1)*IF(Założenia!$K$38="tak",'zakładka techniczna'!AV$10,1),0)</f>
        <v>0</v>
      </c>
      <c r="AW178" s="1">
        <f>IFERROR(Założenia!$K$36/SUM(OPt.w1,OBt.w1)*(OPt.w1+OBt.w1)*IF(Założenia!$K$38="tak",'zakładka techniczna'!AW$10,1),0)</f>
        <v>0</v>
      </c>
      <c r="AX178" s="1">
        <f>IFERROR(Założenia!$K$36/SUM(OPt.w1,OBt.w1)*(OPt.w1+OBt.w1)*IF(Założenia!$K$38="tak",'zakładka techniczna'!AX$10,1),0)</f>
        <v>0</v>
      </c>
      <c r="AY178" s="1">
        <f>IFERROR(Założenia!$K$36/SUM(OPt.w1,OBt.w1)*(OPt.w1+OBt.w1)*IF(Założenia!$K$38="tak",'zakładka techniczna'!AY$10,1),0)</f>
        <v>0</v>
      </c>
      <c r="AZ178" s="1">
        <f>IFERROR(Założenia!$K$36/SUM(OPt.w1,OBt.w1)*(OPt.w1+OBt.w1)*IF(Założenia!$K$38="tak",'zakładka techniczna'!AZ$10,1),0)</f>
        <v>0</v>
      </c>
      <c r="BA178" s="1">
        <f>IFERROR(Założenia!$K$36/SUM(OPt.w1,OBt.w1)*(OPt.w1+OBt.w1)*IF(Założenia!$K$38="tak",'zakładka techniczna'!BA$10,1),0)</f>
        <v>0</v>
      </c>
    </row>
    <row r="179" spans="1:54" ht="15.75" customHeight="1" x14ac:dyDescent="0.35">
      <c r="B179" s="5"/>
      <c r="C179" s="5"/>
      <c r="D179" s="5"/>
      <c r="E179" s="5"/>
      <c r="F179" s="5"/>
      <c r="G179" s="5"/>
      <c r="H179" s="5"/>
      <c r="I179" s="5"/>
      <c r="J179" s="5"/>
      <c r="K179" s="5"/>
    </row>
    <row r="180" spans="1:54" ht="15.75" customHeight="1" x14ac:dyDescent="0.35">
      <c r="B180" s="9" t="s">
        <v>29</v>
      </c>
      <c r="C180" s="9"/>
      <c r="D180" s="9"/>
      <c r="E180" s="9"/>
      <c r="F180" s="9"/>
      <c r="G180" s="9"/>
      <c r="H180" s="9"/>
      <c r="I180" s="9"/>
      <c r="J180" s="9"/>
      <c r="K180" s="9"/>
      <c r="L180" s="8"/>
      <c r="M180" s="8"/>
      <c r="N180" s="10">
        <f>SUM(Q180:BA180)</f>
        <v>0</v>
      </c>
      <c r="O180" s="8"/>
      <c r="P180" s="8"/>
      <c r="Q180" s="10">
        <f t="shared" ref="Q180:BA180" si="151">SUM(Q181:Q183)</f>
        <v>0</v>
      </c>
      <c r="R180" s="10">
        <f t="shared" si="151"/>
        <v>0</v>
      </c>
      <c r="S180" s="10">
        <f t="shared" si="151"/>
        <v>0</v>
      </c>
      <c r="T180" s="10">
        <f t="shared" si="151"/>
        <v>0</v>
      </c>
      <c r="U180" s="10">
        <f t="shared" si="151"/>
        <v>0</v>
      </c>
      <c r="V180" s="10">
        <f t="shared" si="151"/>
        <v>0</v>
      </c>
      <c r="W180" s="10">
        <f t="shared" si="151"/>
        <v>0</v>
      </c>
      <c r="X180" s="10">
        <f t="shared" si="151"/>
        <v>0</v>
      </c>
      <c r="Y180" s="10">
        <f t="shared" si="151"/>
        <v>0</v>
      </c>
      <c r="Z180" s="10">
        <f t="shared" si="151"/>
        <v>0</v>
      </c>
      <c r="AA180" s="10">
        <f t="shared" si="151"/>
        <v>0</v>
      </c>
      <c r="AB180" s="10">
        <f t="shared" si="151"/>
        <v>0</v>
      </c>
      <c r="AC180" s="10">
        <f t="shared" si="151"/>
        <v>0</v>
      </c>
      <c r="AD180" s="10">
        <f t="shared" si="151"/>
        <v>0</v>
      </c>
      <c r="AE180" s="10">
        <f t="shared" si="151"/>
        <v>0</v>
      </c>
      <c r="AF180" s="10">
        <f t="shared" si="151"/>
        <v>0</v>
      </c>
      <c r="AG180" s="10">
        <f t="shared" si="151"/>
        <v>0</v>
      </c>
      <c r="AH180" s="10">
        <f t="shared" si="151"/>
        <v>0</v>
      </c>
      <c r="AI180" s="10">
        <f t="shared" si="151"/>
        <v>0</v>
      </c>
      <c r="AJ180" s="10">
        <f t="shared" si="151"/>
        <v>0</v>
      </c>
      <c r="AK180" s="10">
        <f t="shared" si="151"/>
        <v>0</v>
      </c>
      <c r="AL180" s="10">
        <f t="shared" si="151"/>
        <v>0</v>
      </c>
      <c r="AM180" s="10">
        <f t="shared" si="151"/>
        <v>0</v>
      </c>
      <c r="AN180" s="10">
        <f t="shared" si="151"/>
        <v>0</v>
      </c>
      <c r="AO180" s="10">
        <f t="shared" si="151"/>
        <v>0</v>
      </c>
      <c r="AP180" s="10">
        <f t="shared" si="151"/>
        <v>0</v>
      </c>
      <c r="AQ180" s="10">
        <f t="shared" si="151"/>
        <v>0</v>
      </c>
      <c r="AR180" s="10">
        <f t="shared" si="151"/>
        <v>0</v>
      </c>
      <c r="AS180" s="10">
        <f t="shared" si="151"/>
        <v>0</v>
      </c>
      <c r="AT180" s="10">
        <f t="shared" si="151"/>
        <v>0</v>
      </c>
      <c r="AU180" s="10">
        <f t="shared" si="151"/>
        <v>0</v>
      </c>
      <c r="AV180" s="10">
        <f t="shared" si="151"/>
        <v>0</v>
      </c>
      <c r="AW180" s="10">
        <f t="shared" si="151"/>
        <v>0</v>
      </c>
      <c r="AX180" s="10">
        <f t="shared" si="151"/>
        <v>0</v>
      </c>
      <c r="AY180" s="10">
        <f t="shared" si="151"/>
        <v>0</v>
      </c>
      <c r="AZ180" s="10">
        <f t="shared" si="151"/>
        <v>0</v>
      </c>
      <c r="BA180" s="10">
        <f t="shared" si="151"/>
        <v>0</v>
      </c>
    </row>
    <row r="181" spans="1:54" ht="15.75" customHeight="1" x14ac:dyDescent="0.35">
      <c r="B181" s="5"/>
      <c r="C181" s="5" t="s">
        <v>104</v>
      </c>
      <c r="D181" s="5"/>
      <c r="E181" s="5"/>
      <c r="F181" s="5"/>
      <c r="G181" s="5"/>
      <c r="H181" s="5"/>
      <c r="I181" s="5"/>
      <c r="J181" s="5"/>
      <c r="K181" s="5"/>
      <c r="N181" s="1">
        <f>SUM(Q181:BA181)</f>
        <v>0</v>
      </c>
      <c r="Q181" s="1">
        <f>MIN(Q175,SUM($Q$175:$BA$175)*'zakładka techniczna'!$N$18-SUM($P$181:P181))</f>
        <v>0</v>
      </c>
      <c r="R181" s="1">
        <f>MIN(R175,SUM($Q$175:$BA$175)*'zakładka techniczna'!$N$18-SUM($Q$181:Q181))</f>
        <v>0</v>
      </c>
      <c r="S181" s="1">
        <f>MIN(S175,SUM($Q$175:$BA$175)*'zakładka techniczna'!$N$18-SUM($Q$181:R181))</f>
        <v>0</v>
      </c>
      <c r="T181" s="1">
        <f>MIN(T175,SUM($Q$175:$BA$175)*'zakładka techniczna'!$N$18-SUM($Q$181:S181))</f>
        <v>0</v>
      </c>
      <c r="U181" s="1">
        <f>MIN(U175,SUM($Q$175:$BA$175)*'zakładka techniczna'!$N$18-SUM($Q$181:T181))</f>
        <v>0</v>
      </c>
      <c r="V181" s="1">
        <f>MIN(V175,SUM($Q$175:$BA$175)*'zakładka techniczna'!$N$18-SUM($Q$181:U181))</f>
        <v>0</v>
      </c>
      <c r="W181" s="1">
        <f>MIN(W175,SUM($Q$175:$BA$175)*'zakładka techniczna'!$N$18-SUM($Q$181:V181))</f>
        <v>0</v>
      </c>
      <c r="X181" s="1">
        <f>MIN(X175,SUM($Q$175:$BA$175)*'zakładka techniczna'!$N$18-SUM($Q$181:W181))</f>
        <v>0</v>
      </c>
      <c r="Y181" s="1">
        <f>MIN(Y175,SUM($Q$175:$BA$175)*'zakładka techniczna'!$N$18-SUM($Q$181:X181))</f>
        <v>0</v>
      </c>
      <c r="Z181" s="1">
        <f>MIN(Z175,SUM($Q$175:$BA$175)*'zakładka techniczna'!$N$18-SUM($Q$181:Y181))</f>
        <v>0</v>
      </c>
      <c r="AA181" s="1">
        <f>MIN(AA175,SUM($Q$175:$BA$175)*'zakładka techniczna'!$N$18-SUM($Q$181:Z181))</f>
        <v>0</v>
      </c>
      <c r="AB181" s="1">
        <f>MIN(AB175,SUM($Q$175:$BA$175)*'zakładka techniczna'!$N$18-SUM($Q$181:AA181))</f>
        <v>0</v>
      </c>
      <c r="AC181" s="1">
        <f>MIN(AC175,SUM($Q$175:$BA$175)*'zakładka techniczna'!$N$18-SUM($Q$181:AB181))</f>
        <v>0</v>
      </c>
      <c r="AD181" s="1">
        <f>MIN(AD175,SUM($Q$175:$BA$175)*'zakładka techniczna'!$N$18-SUM($Q$181:AC181))</f>
        <v>0</v>
      </c>
      <c r="AE181" s="1">
        <f>MIN(AE175,SUM($Q$175:$BA$175)*'zakładka techniczna'!$N$18-SUM($Q$181:AD181))</f>
        <v>0</v>
      </c>
      <c r="AF181" s="1">
        <f>MIN(AF175,SUM($Q$175:$BA$175)*'zakładka techniczna'!$N$18-SUM($Q$181:AE181))</f>
        <v>0</v>
      </c>
      <c r="AG181" s="1">
        <f>MIN(AG175,SUM($Q$175:$BA$175)*'zakładka techniczna'!$N$18-SUM($Q$181:AF181))</f>
        <v>0</v>
      </c>
      <c r="AH181" s="1">
        <f>MIN(AH175,SUM($Q$175:$BA$175)*'zakładka techniczna'!$N$18-SUM($Q$181:AG181))</f>
        <v>0</v>
      </c>
      <c r="AI181" s="1">
        <f>MIN(AI175,SUM($Q$175:$BA$175)*'zakładka techniczna'!$N$18-SUM($Q$181:AH181))</f>
        <v>0</v>
      </c>
      <c r="AJ181" s="1">
        <f>MIN(AJ175,SUM($Q$175:$BA$175)*'zakładka techniczna'!$N$18-SUM($Q$181:AI181))</f>
        <v>0</v>
      </c>
      <c r="AK181" s="1">
        <f>MIN(AK175,SUM($Q$175:$BA$175)*'zakładka techniczna'!$N$18-SUM($Q$181:AJ181))</f>
        <v>0</v>
      </c>
      <c r="AL181" s="1">
        <f>MIN(AL175,SUM($Q$175:$BA$175)*'zakładka techniczna'!$N$18-SUM($Q$181:AK181))</f>
        <v>0</v>
      </c>
      <c r="AM181" s="1">
        <f>MIN(AM175,SUM($Q$175:$BA$175)*'zakładka techniczna'!$N$18-SUM($Q$181:AL181))</f>
        <v>0</v>
      </c>
      <c r="AN181" s="1">
        <f>MIN(AN175,SUM($Q$175:$BA$175)*'zakładka techniczna'!$N$18-SUM($Q$181:AM181))</f>
        <v>0</v>
      </c>
      <c r="AO181" s="1">
        <f>MIN(AO175,SUM($Q$175:$BA$175)*'zakładka techniczna'!$N$18-SUM($Q$181:AN181))</f>
        <v>0</v>
      </c>
      <c r="AP181" s="1">
        <f>MIN(AP175,SUM($Q$175:$BA$175)*'zakładka techniczna'!$N$18-SUM($Q$181:AO181))</f>
        <v>0</v>
      </c>
      <c r="AQ181" s="1">
        <f>MIN(AQ175,SUM($Q$175:$BA$175)*'zakładka techniczna'!$N$18-SUM($Q$181:AP181))</f>
        <v>0</v>
      </c>
      <c r="AR181" s="1">
        <f>MIN(AR175,SUM($Q$175:$BA$175)*'zakładka techniczna'!$N$18-SUM($Q$181:AQ181))</f>
        <v>0</v>
      </c>
      <c r="AS181" s="1">
        <f>MIN(AS175,SUM($Q$175:$BA$175)*'zakładka techniczna'!$N$18-SUM($Q$181:AR181))</f>
        <v>0</v>
      </c>
      <c r="AT181" s="1">
        <f>MIN(AT175,SUM($Q$175:$BA$175)*'zakładka techniczna'!$N$18-SUM($Q$181:AS181))</f>
        <v>0</v>
      </c>
      <c r="AU181" s="1">
        <f>MIN(AU175,SUM($Q$175:$BA$175)*'zakładka techniczna'!$N$18-SUM($Q$181:AT181))</f>
        <v>0</v>
      </c>
      <c r="AV181" s="1">
        <f>MIN(AV175,SUM($Q$175:$BA$175)*'zakładka techniczna'!$N$18-SUM($Q$181:AU181))</f>
        <v>0</v>
      </c>
      <c r="AW181" s="1">
        <f>MIN(AW175,SUM($Q$175:$BA$175)*'zakładka techniczna'!$N$18-SUM($Q$181:AV181))</f>
        <v>0</v>
      </c>
      <c r="AX181" s="1">
        <f>MIN(AX175,SUM($Q$175:$BA$175)*'zakładka techniczna'!$N$18-SUM($Q$181:AW181))</f>
        <v>0</v>
      </c>
      <c r="AY181" s="1">
        <f>MIN(AY175,SUM($Q$175:$BA$175)*'zakładka techniczna'!$N$18-SUM($Q$181:AX181))</f>
        <v>0</v>
      </c>
      <c r="AZ181" s="1">
        <f>MIN(AZ175,SUM($Q$175:$BA$175)*'zakładka techniczna'!$N$18-SUM($Q$181:AY181))</f>
        <v>0</v>
      </c>
      <c r="BA181" s="1">
        <f>MIN(BA175,SUM($Q$175:$BA$175)*'zakładka techniczna'!$N$18-SUM($Q$181:AZ181))</f>
        <v>0</v>
      </c>
    </row>
    <row r="182" spans="1:54" ht="15.75" customHeight="1" x14ac:dyDescent="0.35">
      <c r="B182" s="5"/>
      <c r="C182" s="5" t="s">
        <v>117</v>
      </c>
      <c r="D182" s="5"/>
      <c r="E182" s="5"/>
      <c r="F182" s="5"/>
      <c r="G182" s="5"/>
      <c r="H182" s="5"/>
      <c r="I182" s="5"/>
      <c r="J182" s="5"/>
      <c r="K182" s="5"/>
      <c r="N182" s="1">
        <f>SUM(Q182:BA182)</f>
        <v>0</v>
      </c>
      <c r="Q182" s="1">
        <f>MIN(Q175-Q181,SUM($Q$175:$BA$175)*'zakładka techniczna'!$N$19-SUM($P$182:P182))</f>
        <v>0</v>
      </c>
      <c r="R182" s="1">
        <f>MIN(R175-R181,SUM($Q$175:$BA$175)*'zakładka techniczna'!$N$19-SUM($P$182:Q182))</f>
        <v>0</v>
      </c>
      <c r="S182" s="1">
        <f>MIN(S175-S181,SUM($Q$175:$BA$175)*'zakładka techniczna'!$N$19-SUM($P$182:R182))</f>
        <v>0</v>
      </c>
      <c r="T182" s="1">
        <f>MIN(T175-T181,SUM($Q$175:$BA$175)*'zakładka techniczna'!$N$19-SUM($P$182:S182))</f>
        <v>0</v>
      </c>
      <c r="U182" s="1">
        <f>MIN(U175-U181,SUM($Q$175:$BA$175)*'zakładka techniczna'!$N$19-SUM($P$182:T182))</f>
        <v>0</v>
      </c>
      <c r="V182" s="1">
        <f>MIN(V175-V181,SUM($Q$175:$BA$175)*'zakładka techniczna'!$N$19-SUM($P$182:U182))</f>
        <v>0</v>
      </c>
      <c r="W182" s="1">
        <f>MIN(W175-W181,SUM($Q$175:$BA$175)*'zakładka techniczna'!$N$19-SUM($P$182:V182))</f>
        <v>0</v>
      </c>
      <c r="X182" s="1">
        <f>MIN(X175-X181,SUM($Q$175:$BA$175)*'zakładka techniczna'!$N$19-SUM($P$182:W182))</f>
        <v>0</v>
      </c>
      <c r="Y182" s="1">
        <f>MIN(Y175-Y181,SUM($Q$175:$BA$175)*'zakładka techniczna'!$N$19-SUM($P$182:X182))</f>
        <v>0</v>
      </c>
      <c r="Z182" s="1">
        <f>MIN(Z175-Z181,SUM($Q$175:$BA$175)*'zakładka techniczna'!$N$19-SUM($P$182:Y182))</f>
        <v>0</v>
      </c>
      <c r="AA182" s="1">
        <f>MIN(AA175-AA181,SUM($Q$175:$BA$175)*'zakładka techniczna'!$N$19-SUM($P$182:Z182))</f>
        <v>0</v>
      </c>
      <c r="AB182" s="1">
        <f>MIN(AB175-AB181,SUM($Q$175:$BA$175)*'zakładka techniczna'!$N$19-SUM($P$182:AA182))</f>
        <v>0</v>
      </c>
      <c r="AC182" s="1">
        <f>MIN(AC175-AC181,SUM($Q$175:$BA$175)*'zakładka techniczna'!$N$19-SUM($P$182:AB182))</f>
        <v>0</v>
      </c>
      <c r="AD182" s="1">
        <f>MIN(AD175-AD181,SUM($Q$175:$BA$175)*'zakładka techniczna'!$N$19-SUM($P$182:AC182))</f>
        <v>0</v>
      </c>
      <c r="AE182" s="1">
        <f>MIN(AE175-AE181,SUM($Q$175:$BA$175)*'zakładka techniczna'!$N$19-SUM($P$182:AD182))</f>
        <v>0</v>
      </c>
      <c r="AF182" s="1">
        <f>MIN(AF175-AF181,SUM($Q$175:$BA$175)*'zakładka techniczna'!$N$19-SUM($P$182:AE182))</f>
        <v>0</v>
      </c>
      <c r="AG182" s="1">
        <f>MIN(AG175-AG181,SUM($Q$175:$BA$175)*'zakładka techniczna'!$N$19-SUM($P$182:AF182))</f>
        <v>0</v>
      </c>
      <c r="AH182" s="1">
        <f>MIN(AH175-AH181,SUM($Q$175:$BA$175)*'zakładka techniczna'!$N$19-SUM($P$182:AG182))</f>
        <v>0</v>
      </c>
      <c r="AI182" s="1">
        <f>MIN(AI175-AI181,SUM($Q$175:$BA$175)*'zakładka techniczna'!$N$19-SUM($P$182:AH182))</f>
        <v>0</v>
      </c>
      <c r="AJ182" s="1">
        <f>MIN(AJ175-AJ181,SUM($Q$175:$BA$175)*'zakładka techniczna'!$N$19-SUM($P$182:AI182))</f>
        <v>0</v>
      </c>
      <c r="AK182" s="1">
        <f>MIN(AK175-AK181,SUM($Q$175:$BA$175)*'zakładka techniczna'!$N$19-SUM($P$182:AJ182))</f>
        <v>0</v>
      </c>
      <c r="AL182" s="1">
        <f>MIN(AL175-AL181,SUM($Q$175:$BA$175)*'zakładka techniczna'!$N$19-SUM($P$182:AK182))</f>
        <v>0</v>
      </c>
      <c r="AM182" s="1">
        <f>MIN(AM175-AM181,SUM($Q$175:$BA$175)*'zakładka techniczna'!$N$19-SUM($P$182:AL182))</f>
        <v>0</v>
      </c>
      <c r="AN182" s="1">
        <f>MIN(AN175-AN181,SUM($Q$175:$BA$175)*'zakładka techniczna'!$N$19-SUM($P$182:AM182))</f>
        <v>0</v>
      </c>
      <c r="AO182" s="1">
        <f>MIN(AO175-AO181,SUM($Q$175:$BA$175)*'zakładka techniczna'!$N$19-SUM($P$182:AN182))</f>
        <v>0</v>
      </c>
      <c r="AP182" s="1">
        <f>MIN(AP175-AP181,SUM($Q$175:$BA$175)*'zakładka techniczna'!$N$19-SUM($P$182:AO182))</f>
        <v>0</v>
      </c>
      <c r="AQ182" s="1">
        <f>MIN(AQ175-AQ181,SUM($Q$175:$BA$175)*'zakładka techniczna'!$N$19-SUM($P$182:AP182))</f>
        <v>0</v>
      </c>
      <c r="AR182" s="1">
        <f>MIN(AR175-AR181,SUM($Q$175:$BA$175)*'zakładka techniczna'!$N$19-SUM($P$182:AQ182))</f>
        <v>0</v>
      </c>
      <c r="AS182" s="1">
        <f>MIN(AS175-AS181,SUM($Q$175:$BA$175)*'zakładka techniczna'!$N$19-SUM($P$182:AR182))</f>
        <v>0</v>
      </c>
      <c r="AT182" s="1">
        <f>MIN(AT175-AT181,SUM($Q$175:$BA$175)*'zakładka techniczna'!$N$19-SUM($P$182:AS182))</f>
        <v>0</v>
      </c>
      <c r="AU182" s="1">
        <f>MIN(AU175-AU181,SUM($Q$175:$BA$175)*'zakładka techniczna'!$N$19-SUM($P$182:AT182))</f>
        <v>0</v>
      </c>
      <c r="AV182" s="1">
        <f>MIN(AV175-AV181,SUM($Q$175:$BA$175)*'zakładka techniczna'!$N$19-SUM($P$182:AU182))</f>
        <v>0</v>
      </c>
      <c r="AW182" s="1">
        <f>MIN(AW175-AW181,SUM($Q$175:$BA$175)*'zakładka techniczna'!$N$19-SUM($P$182:AV182))</f>
        <v>0</v>
      </c>
      <c r="AX182" s="1">
        <f>MIN(AX175-AX181,SUM($Q$175:$BA$175)*'zakładka techniczna'!$N$19-SUM($P$182:AW182))</f>
        <v>0</v>
      </c>
      <c r="AY182" s="1">
        <f>MIN(AY175-AY181,SUM($Q$175:$BA$175)*'zakładka techniczna'!$N$19-SUM($P$182:AX182))</f>
        <v>0</v>
      </c>
      <c r="AZ182" s="1">
        <f>MIN(AZ175-AZ181,SUM($Q$175:$BA$175)*'zakładka techniczna'!$N$19-SUM($P$182:AY182))</f>
        <v>0</v>
      </c>
      <c r="BA182" s="1">
        <f>MIN(BA175-BA181,SUM($Q$175:$BA$175)*'zakładka techniczna'!$N$19-SUM($P$182:AZ182))</f>
        <v>0</v>
      </c>
    </row>
    <row r="183" spans="1:54" ht="15.75" customHeight="1" x14ac:dyDescent="0.35">
      <c r="B183" s="5"/>
      <c r="C183" s="5" t="s">
        <v>118</v>
      </c>
      <c r="D183" s="5"/>
      <c r="E183" s="5"/>
      <c r="F183" s="5"/>
      <c r="G183" s="5"/>
      <c r="H183" s="5"/>
      <c r="I183" s="5"/>
      <c r="J183" s="5"/>
      <c r="K183" s="5"/>
      <c r="M183" s="19"/>
      <c r="N183" s="1">
        <f>SUM(Q183:BA183)</f>
        <v>0</v>
      </c>
      <c r="Q183" s="1">
        <f>MIN(Q175-Q181-Q182,SUM($Q$175:$BA$175)*'zakładka techniczna'!$N$20-SUM($P$183:P183))</f>
        <v>0</v>
      </c>
      <c r="R183" s="1">
        <f>MIN(R175-R181-R182,SUM($Q$175:$BA$175)*'zakładka techniczna'!$N$20-SUM($P$183:Q183))</f>
        <v>0</v>
      </c>
      <c r="S183" s="1">
        <f>MIN(S175-S181-S182,SUM($Q$175:$BA$175)*'zakładka techniczna'!$N$20-SUM($P$183:R183))</f>
        <v>0</v>
      </c>
      <c r="T183" s="1">
        <f>MIN(T175-T181-T182,SUM($Q$175:$BA$175)*'zakładka techniczna'!$N$20-SUM($P$183:S183))</f>
        <v>0</v>
      </c>
      <c r="U183" s="1">
        <f>MIN(U175-U181-U182,SUM($Q$175:$BA$175)*'zakładka techniczna'!$N$20-SUM($P$183:T183))</f>
        <v>0</v>
      </c>
      <c r="V183" s="1">
        <f>MIN(V175-V181-V182,SUM($Q$175:$BA$175)*'zakładka techniczna'!$N$20-SUM($P$183:U183))</f>
        <v>0</v>
      </c>
      <c r="W183" s="1">
        <f>MIN(W175-W181-W182,SUM($Q$175:$BA$175)*'zakładka techniczna'!$N$20-SUM($P$183:V183))</f>
        <v>0</v>
      </c>
      <c r="X183" s="1">
        <f>MIN(X175-X181-X182,SUM($Q$175:$BA$175)*'zakładka techniczna'!$N$20-SUM($P$183:W183))</f>
        <v>0</v>
      </c>
      <c r="Y183" s="1">
        <f>MIN(Y175-Y181-Y182,SUM($Q$175:$BA$175)*'zakładka techniczna'!$N$20-SUM($P$183:X183))</f>
        <v>0</v>
      </c>
      <c r="Z183" s="1">
        <f>MIN(Z175-Z181-Z182,SUM($Q$175:$BA$175)*'zakładka techniczna'!$N$20-SUM($P$183:Y183))</f>
        <v>0</v>
      </c>
      <c r="AA183" s="1">
        <f>MIN(AA175-AA181-AA182,SUM($Q$175:$BA$175)*'zakładka techniczna'!$N$20-SUM($P$183:Z183))</f>
        <v>0</v>
      </c>
      <c r="AB183" s="1">
        <f>MIN(AB175-AB181-AB182,SUM($Q$175:$BA$175)*'zakładka techniczna'!$N$20-SUM($P$183:AA183))</f>
        <v>0</v>
      </c>
      <c r="AC183" s="1">
        <f>MIN(AC175-AC181-AC182,SUM($Q$175:$BA$175)*'zakładka techniczna'!$N$20-SUM($P$183:AB183))</f>
        <v>0</v>
      </c>
      <c r="AD183" s="1">
        <f>MIN(AD175-AD181-AD182,SUM($Q$175:$BA$175)*'zakładka techniczna'!$N$20-SUM($P$183:AC183))</f>
        <v>0</v>
      </c>
      <c r="AE183" s="1">
        <f>MIN(AE175-AE181-AE182,SUM($Q$175:$BA$175)*'zakładka techniczna'!$N$20-SUM($P$183:AD183))</f>
        <v>0</v>
      </c>
      <c r="AF183" s="1">
        <f>MIN(AF175-AF181-AF182,SUM($Q$175:$BA$175)*'zakładka techniczna'!$N$20-SUM($P$183:AE183))</f>
        <v>0</v>
      </c>
      <c r="AG183" s="1">
        <f>MIN(AG175-AG181-AG182,SUM($Q$175:$BA$175)*'zakładka techniczna'!$N$20-SUM($P$183:AF183))</f>
        <v>0</v>
      </c>
      <c r="AH183" s="1">
        <f>MIN(AH175-AH181-AH182,SUM($Q$175:$BA$175)*'zakładka techniczna'!$N$20-SUM($P$183:AG183))</f>
        <v>0</v>
      </c>
      <c r="AI183" s="1">
        <f>MIN(AI175-AI181-AI182,SUM($Q$175:$BA$175)*'zakładka techniczna'!$N$20-SUM($P$183:AH183))</f>
        <v>0</v>
      </c>
      <c r="AJ183" s="1">
        <f>MIN(AJ175-AJ181-AJ182,SUM($Q$175:$BA$175)*'zakładka techniczna'!$N$20-SUM($P$183:AI183))</f>
        <v>0</v>
      </c>
      <c r="AK183" s="1">
        <f>MIN(AK175-AK181-AK182,SUM($Q$175:$BA$175)*'zakładka techniczna'!$N$20-SUM($P$183:AJ183))</f>
        <v>0</v>
      </c>
      <c r="AL183" s="1">
        <f>MIN(AL175-AL181-AL182,SUM($Q$175:$BA$175)*'zakładka techniczna'!$N$20-SUM($P$183:AK183))</f>
        <v>0</v>
      </c>
      <c r="AM183" s="1">
        <f>MIN(AM175-AM181-AM182,SUM($Q$175:$BA$175)*'zakładka techniczna'!$N$20-SUM($P$183:AL183))</f>
        <v>0</v>
      </c>
      <c r="AN183" s="1">
        <f>MIN(AN175-AN181-AN182,SUM($Q$175:$BA$175)*'zakładka techniczna'!$N$20-SUM($P$183:AM183))</f>
        <v>0</v>
      </c>
      <c r="AO183" s="1">
        <f>MIN(AO175-AO181-AO182,SUM($Q$175:$BA$175)*'zakładka techniczna'!$N$20-SUM($P$183:AN183))</f>
        <v>0</v>
      </c>
      <c r="AP183" s="1">
        <f>MIN(AP175-AP181-AP182,SUM($Q$175:$BA$175)*'zakładka techniczna'!$N$20-SUM($P$183:AO183))</f>
        <v>0</v>
      </c>
      <c r="AQ183" s="1">
        <f>MIN(AQ175-AQ181-AQ182,SUM($Q$175:$BA$175)*'zakładka techniczna'!$N$20-SUM($P$183:AP183))</f>
        <v>0</v>
      </c>
      <c r="AR183" s="1">
        <f>MIN(AR175-AR181-AR182,SUM($Q$175:$BA$175)*'zakładka techniczna'!$N$20-SUM($P$183:AQ183))</f>
        <v>0</v>
      </c>
      <c r="AS183" s="1">
        <f>MIN(AS175-AS181-AS182,SUM($Q$175:$BA$175)*'zakładka techniczna'!$N$20-SUM($P$183:AR183))</f>
        <v>0</v>
      </c>
      <c r="AT183" s="1">
        <f>MIN(AT175-AT181-AT182,SUM($Q$175:$BA$175)*'zakładka techniczna'!$N$20-SUM($P$183:AS183))</f>
        <v>0</v>
      </c>
      <c r="AU183" s="1">
        <f>MIN(AU175-AU181-AU182,SUM($Q$175:$BA$175)*'zakładka techniczna'!$N$20-SUM($P$183:AT183))</f>
        <v>0</v>
      </c>
      <c r="AV183" s="1">
        <f>MIN(AV175-AV181-AV182,SUM($Q$175:$BA$175)*'zakładka techniczna'!$N$20-SUM($P$183:AU183))</f>
        <v>0</v>
      </c>
      <c r="AW183" s="1">
        <f>MIN(AW175-AW181-AW182,SUM($Q$175:$BA$175)*'zakładka techniczna'!$N$20-SUM($P$183:AV183))</f>
        <v>0</v>
      </c>
      <c r="AX183" s="1">
        <f>MIN(AX175-AX181-AX182,SUM($Q$175:$BA$175)*'zakładka techniczna'!$N$20-SUM($P$183:AW183))</f>
        <v>0</v>
      </c>
      <c r="AY183" s="1">
        <f>MIN(AY175-AY181-AY182,SUM($Q$175:$BA$175)*'zakładka techniczna'!$N$20-SUM($P$183:AX183))</f>
        <v>0</v>
      </c>
      <c r="AZ183" s="1">
        <f>MIN(AZ175-AZ181-AZ182,SUM($Q$175:$BA$175)*'zakładka techniczna'!$N$20-SUM($P$183:AY183))</f>
        <v>0</v>
      </c>
      <c r="BA183" s="1">
        <f>MIN(BA175-BA181-BA182,SUM($Q$175:$BA$175)*'zakładka techniczna'!$N$20-SUM($P$183:AZ183))</f>
        <v>0</v>
      </c>
    </row>
    <row r="184" spans="1:54" ht="15.75" customHeight="1" x14ac:dyDescent="0.35">
      <c r="B184" s="5"/>
      <c r="C184" s="5"/>
      <c r="D184" s="5"/>
      <c r="E184" s="5"/>
      <c r="F184" s="5"/>
      <c r="G184" s="5"/>
      <c r="H184" s="5"/>
      <c r="I184" s="5"/>
      <c r="J184" s="5"/>
      <c r="K184" s="5"/>
    </row>
    <row r="185" spans="1:54" ht="15.75" customHeight="1" thickBot="1" x14ac:dyDescent="0.4">
      <c r="A185" s="44" t="s">
        <v>87</v>
      </c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5"/>
    </row>
    <row r="186" spans="1:54" ht="15" thickTop="1" x14ac:dyDescent="0.35"/>
    <row r="187" spans="1:54" ht="15.75" customHeight="1" x14ac:dyDescent="0.35">
      <c r="C187" s="5" t="s">
        <v>26</v>
      </c>
      <c r="D187" s="5"/>
      <c r="E187" s="5"/>
      <c r="F187" s="5"/>
      <c r="G187" s="5"/>
      <c r="H187" s="5"/>
      <c r="I187" s="5"/>
      <c r="J187" s="5"/>
      <c r="K187" s="5"/>
      <c r="Q187" s="13">
        <v>0</v>
      </c>
      <c r="R187" s="1">
        <f t="shared" ref="R187:BA187" si="152">Q201</f>
        <v>0</v>
      </c>
      <c r="S187" s="1">
        <f t="shared" si="152"/>
        <v>0</v>
      </c>
      <c r="T187" s="1">
        <f t="shared" si="152"/>
        <v>0</v>
      </c>
      <c r="U187" s="1">
        <f t="shared" si="152"/>
        <v>0</v>
      </c>
      <c r="V187" s="1">
        <f t="shared" si="152"/>
        <v>0</v>
      </c>
      <c r="W187" s="1">
        <f t="shared" si="152"/>
        <v>0</v>
      </c>
      <c r="X187" s="1">
        <f t="shared" si="152"/>
        <v>0</v>
      </c>
      <c r="Y187" s="1">
        <f t="shared" si="152"/>
        <v>0</v>
      </c>
      <c r="Z187" s="1">
        <f t="shared" si="152"/>
        <v>0</v>
      </c>
      <c r="AA187" s="1">
        <f t="shared" si="152"/>
        <v>0</v>
      </c>
      <c r="AB187" s="1">
        <f t="shared" si="152"/>
        <v>0</v>
      </c>
      <c r="AC187" s="1">
        <f t="shared" si="152"/>
        <v>0</v>
      </c>
      <c r="AD187" s="1">
        <f t="shared" si="152"/>
        <v>0</v>
      </c>
      <c r="AE187" s="1">
        <f t="shared" si="152"/>
        <v>0</v>
      </c>
      <c r="AF187" s="1">
        <f t="shared" si="152"/>
        <v>0</v>
      </c>
      <c r="AG187" s="1">
        <f t="shared" si="152"/>
        <v>0</v>
      </c>
      <c r="AH187" s="1">
        <f t="shared" si="152"/>
        <v>0</v>
      </c>
      <c r="AI187" s="1">
        <f t="shared" si="152"/>
        <v>0</v>
      </c>
      <c r="AJ187" s="1">
        <f t="shared" si="152"/>
        <v>0</v>
      </c>
      <c r="AK187" s="1">
        <f t="shared" si="152"/>
        <v>0</v>
      </c>
      <c r="AL187" s="1">
        <f t="shared" si="152"/>
        <v>0</v>
      </c>
      <c r="AM187" s="1">
        <f t="shared" si="152"/>
        <v>0</v>
      </c>
      <c r="AN187" s="1">
        <f t="shared" si="152"/>
        <v>0</v>
      </c>
      <c r="AO187" s="1">
        <f t="shared" si="152"/>
        <v>0</v>
      </c>
      <c r="AP187" s="1">
        <f t="shared" si="152"/>
        <v>0</v>
      </c>
      <c r="AQ187" s="1">
        <f t="shared" si="152"/>
        <v>0</v>
      </c>
      <c r="AR187" s="1">
        <f t="shared" si="152"/>
        <v>0</v>
      </c>
      <c r="AS187" s="1">
        <f t="shared" si="152"/>
        <v>0</v>
      </c>
      <c r="AT187" s="1">
        <f t="shared" si="152"/>
        <v>0</v>
      </c>
      <c r="AU187" s="1">
        <f t="shared" si="152"/>
        <v>0</v>
      </c>
      <c r="AV187" s="1">
        <f t="shared" si="152"/>
        <v>0</v>
      </c>
      <c r="AW187" s="1">
        <f t="shared" si="152"/>
        <v>0</v>
      </c>
      <c r="AX187" s="1">
        <f t="shared" si="152"/>
        <v>0</v>
      </c>
      <c r="AY187" s="1">
        <f t="shared" si="152"/>
        <v>0</v>
      </c>
      <c r="AZ187" s="1">
        <f t="shared" si="152"/>
        <v>0</v>
      </c>
      <c r="BA187" s="1">
        <f t="shared" si="152"/>
        <v>0</v>
      </c>
    </row>
    <row r="188" spans="1:54" ht="15.75" customHeight="1" x14ac:dyDescent="0.35">
      <c r="C188" s="5" t="s">
        <v>16</v>
      </c>
      <c r="D188" s="5"/>
      <c r="E188" s="5"/>
      <c r="F188" s="5"/>
      <c r="G188" s="5"/>
      <c r="H188" s="5"/>
      <c r="I188" s="5"/>
      <c r="J188" s="5"/>
      <c r="K188" s="5"/>
      <c r="N188" s="1">
        <f>SUM(Q188:BA188)</f>
        <v>0</v>
      </c>
      <c r="Q188" s="1">
        <f t="shared" ref="Q188:BA188" si="153">Q35</f>
        <v>0</v>
      </c>
      <c r="R188" s="1">
        <f t="shared" si="153"/>
        <v>0</v>
      </c>
      <c r="S188" s="1">
        <f t="shared" si="153"/>
        <v>0</v>
      </c>
      <c r="T188" s="1">
        <f t="shared" si="153"/>
        <v>0</v>
      </c>
      <c r="U188" s="1">
        <f t="shared" si="153"/>
        <v>0</v>
      </c>
      <c r="V188" s="1">
        <f t="shared" si="153"/>
        <v>0</v>
      </c>
      <c r="W188" s="1">
        <f t="shared" si="153"/>
        <v>0</v>
      </c>
      <c r="X188" s="1">
        <f t="shared" si="153"/>
        <v>0</v>
      </c>
      <c r="Y188" s="1">
        <f t="shared" si="153"/>
        <v>0</v>
      </c>
      <c r="Z188" s="1">
        <f t="shared" si="153"/>
        <v>0</v>
      </c>
      <c r="AA188" s="1">
        <f t="shared" si="153"/>
        <v>0</v>
      </c>
      <c r="AB188" s="1">
        <f t="shared" si="153"/>
        <v>0</v>
      </c>
      <c r="AC188" s="1">
        <f t="shared" si="153"/>
        <v>0</v>
      </c>
      <c r="AD188" s="1">
        <f t="shared" si="153"/>
        <v>0</v>
      </c>
      <c r="AE188" s="1">
        <f t="shared" si="153"/>
        <v>0</v>
      </c>
      <c r="AF188" s="1">
        <f t="shared" si="153"/>
        <v>0</v>
      </c>
      <c r="AG188" s="1">
        <f t="shared" si="153"/>
        <v>0</v>
      </c>
      <c r="AH188" s="1">
        <f t="shared" si="153"/>
        <v>0</v>
      </c>
      <c r="AI188" s="1">
        <f t="shared" si="153"/>
        <v>0</v>
      </c>
      <c r="AJ188" s="1">
        <f t="shared" si="153"/>
        <v>0</v>
      </c>
      <c r="AK188" s="1">
        <f t="shared" si="153"/>
        <v>0</v>
      </c>
      <c r="AL188" s="1">
        <f t="shared" si="153"/>
        <v>0</v>
      </c>
      <c r="AM188" s="1">
        <f t="shared" si="153"/>
        <v>0</v>
      </c>
      <c r="AN188" s="1">
        <f t="shared" si="153"/>
        <v>0</v>
      </c>
      <c r="AO188" s="1">
        <f t="shared" si="153"/>
        <v>0</v>
      </c>
      <c r="AP188" s="1">
        <f t="shared" si="153"/>
        <v>0</v>
      </c>
      <c r="AQ188" s="1">
        <f t="shared" si="153"/>
        <v>0</v>
      </c>
      <c r="AR188" s="1">
        <f t="shared" si="153"/>
        <v>0</v>
      </c>
      <c r="AS188" s="1">
        <f t="shared" si="153"/>
        <v>0</v>
      </c>
      <c r="AT188" s="1">
        <f t="shared" si="153"/>
        <v>0</v>
      </c>
      <c r="AU188" s="1">
        <f t="shared" si="153"/>
        <v>0</v>
      </c>
      <c r="AV188" s="1">
        <f t="shared" si="153"/>
        <v>0</v>
      </c>
      <c r="AW188" s="1">
        <f t="shared" si="153"/>
        <v>0</v>
      </c>
      <c r="AX188" s="1">
        <f t="shared" si="153"/>
        <v>0</v>
      </c>
      <c r="AY188" s="1">
        <f t="shared" si="153"/>
        <v>0</v>
      </c>
      <c r="AZ188" s="1">
        <f t="shared" si="153"/>
        <v>0</v>
      </c>
      <c r="BA188" s="1">
        <f t="shared" si="153"/>
        <v>0</v>
      </c>
    </row>
    <row r="189" spans="1:54" ht="15.75" customHeight="1" x14ac:dyDescent="0.35">
      <c r="C189" s="5" t="s">
        <v>104</v>
      </c>
      <c r="D189" s="5"/>
      <c r="E189" s="5"/>
      <c r="F189" s="5"/>
      <c r="G189" s="5"/>
      <c r="H189" s="5"/>
      <c r="I189" s="5"/>
      <c r="J189" s="5"/>
      <c r="K189" s="5"/>
      <c r="N189" s="1">
        <f>SUM(Q189:BA189)</f>
        <v>0</v>
      </c>
      <c r="Q189" s="1">
        <f t="shared" ref="Q189:BA189" si="154">Q47</f>
        <v>0</v>
      </c>
      <c r="R189" s="1">
        <f t="shared" si="154"/>
        <v>0</v>
      </c>
      <c r="S189" s="1">
        <f t="shared" si="154"/>
        <v>0</v>
      </c>
      <c r="T189" s="1">
        <f t="shared" si="154"/>
        <v>0</v>
      </c>
      <c r="U189" s="1">
        <f t="shared" si="154"/>
        <v>0</v>
      </c>
      <c r="V189" s="1">
        <f t="shared" si="154"/>
        <v>0</v>
      </c>
      <c r="W189" s="1">
        <f t="shared" si="154"/>
        <v>0</v>
      </c>
      <c r="X189" s="1">
        <f t="shared" si="154"/>
        <v>0</v>
      </c>
      <c r="Y189" s="1">
        <f t="shared" si="154"/>
        <v>0</v>
      </c>
      <c r="Z189" s="1">
        <f t="shared" si="154"/>
        <v>0</v>
      </c>
      <c r="AA189" s="1">
        <f t="shared" si="154"/>
        <v>0</v>
      </c>
      <c r="AB189" s="1">
        <f t="shared" si="154"/>
        <v>0</v>
      </c>
      <c r="AC189" s="1">
        <f t="shared" si="154"/>
        <v>0</v>
      </c>
      <c r="AD189" s="1">
        <f t="shared" si="154"/>
        <v>0</v>
      </c>
      <c r="AE189" s="1">
        <f t="shared" si="154"/>
        <v>0</v>
      </c>
      <c r="AF189" s="1">
        <f t="shared" si="154"/>
        <v>0</v>
      </c>
      <c r="AG189" s="1">
        <f t="shared" si="154"/>
        <v>0</v>
      </c>
      <c r="AH189" s="1">
        <f t="shared" si="154"/>
        <v>0</v>
      </c>
      <c r="AI189" s="1">
        <f t="shared" si="154"/>
        <v>0</v>
      </c>
      <c r="AJ189" s="1">
        <f t="shared" si="154"/>
        <v>0</v>
      </c>
      <c r="AK189" s="1">
        <f t="shared" si="154"/>
        <v>0</v>
      </c>
      <c r="AL189" s="1">
        <f t="shared" si="154"/>
        <v>0</v>
      </c>
      <c r="AM189" s="1">
        <f t="shared" si="154"/>
        <v>0</v>
      </c>
      <c r="AN189" s="1">
        <f t="shared" si="154"/>
        <v>0</v>
      </c>
      <c r="AO189" s="1">
        <f t="shared" si="154"/>
        <v>0</v>
      </c>
      <c r="AP189" s="1">
        <f t="shared" si="154"/>
        <v>0</v>
      </c>
      <c r="AQ189" s="1">
        <f t="shared" si="154"/>
        <v>0</v>
      </c>
      <c r="AR189" s="1">
        <f t="shared" si="154"/>
        <v>0</v>
      </c>
      <c r="AS189" s="1">
        <f t="shared" si="154"/>
        <v>0</v>
      </c>
      <c r="AT189" s="1">
        <f t="shared" si="154"/>
        <v>0</v>
      </c>
      <c r="AU189" s="1">
        <f t="shared" si="154"/>
        <v>0</v>
      </c>
      <c r="AV189" s="1">
        <f t="shared" si="154"/>
        <v>0</v>
      </c>
      <c r="AW189" s="1">
        <f t="shared" si="154"/>
        <v>0</v>
      </c>
      <c r="AX189" s="1">
        <f t="shared" si="154"/>
        <v>0</v>
      </c>
      <c r="AY189" s="1">
        <f t="shared" si="154"/>
        <v>0</v>
      </c>
      <c r="AZ189" s="1">
        <f t="shared" si="154"/>
        <v>0</v>
      </c>
      <c r="BA189" s="1">
        <f t="shared" si="154"/>
        <v>0</v>
      </c>
    </row>
    <row r="190" spans="1:54" ht="15.75" customHeight="1" x14ac:dyDescent="0.35">
      <c r="C190" s="5" t="s">
        <v>94</v>
      </c>
      <c r="D190" s="5"/>
      <c r="E190" s="5"/>
      <c r="F190" s="5"/>
      <c r="G190" s="5"/>
      <c r="H190" s="5"/>
      <c r="I190" s="5"/>
      <c r="J190" s="5"/>
      <c r="K190" s="5"/>
      <c r="N190" s="1">
        <f>SUM(Q190:BA190)</f>
        <v>0</v>
      </c>
      <c r="Q190" s="1">
        <f t="shared" ref="Q190:BA190" si="155">SUM(Q121,Q128,-Q123,-Q124,Q127)</f>
        <v>0</v>
      </c>
      <c r="R190" s="1">
        <f t="shared" si="155"/>
        <v>0</v>
      </c>
      <c r="S190" s="1">
        <f t="shared" si="155"/>
        <v>0</v>
      </c>
      <c r="T190" s="1">
        <f t="shared" si="155"/>
        <v>0</v>
      </c>
      <c r="U190" s="1">
        <f t="shared" si="155"/>
        <v>0</v>
      </c>
      <c r="V190" s="1">
        <f t="shared" si="155"/>
        <v>0</v>
      </c>
      <c r="W190" s="1">
        <f t="shared" si="155"/>
        <v>0</v>
      </c>
      <c r="X190" s="1">
        <f t="shared" si="155"/>
        <v>0</v>
      </c>
      <c r="Y190" s="1">
        <f t="shared" si="155"/>
        <v>0</v>
      </c>
      <c r="Z190" s="1">
        <f t="shared" si="155"/>
        <v>0</v>
      </c>
      <c r="AA190" s="1">
        <f t="shared" si="155"/>
        <v>0</v>
      </c>
      <c r="AB190" s="1">
        <f t="shared" si="155"/>
        <v>0</v>
      </c>
      <c r="AC190" s="1">
        <f t="shared" si="155"/>
        <v>0</v>
      </c>
      <c r="AD190" s="1">
        <f t="shared" si="155"/>
        <v>0</v>
      </c>
      <c r="AE190" s="1">
        <f t="shared" si="155"/>
        <v>0</v>
      </c>
      <c r="AF190" s="1">
        <f t="shared" si="155"/>
        <v>0</v>
      </c>
      <c r="AG190" s="1">
        <f t="shared" si="155"/>
        <v>0</v>
      </c>
      <c r="AH190" s="1">
        <f t="shared" si="155"/>
        <v>0</v>
      </c>
      <c r="AI190" s="1">
        <f t="shared" si="155"/>
        <v>0</v>
      </c>
      <c r="AJ190" s="1">
        <f t="shared" si="155"/>
        <v>0</v>
      </c>
      <c r="AK190" s="1">
        <f t="shared" si="155"/>
        <v>0</v>
      </c>
      <c r="AL190" s="1">
        <f t="shared" si="155"/>
        <v>0</v>
      </c>
      <c r="AM190" s="1">
        <f t="shared" si="155"/>
        <v>0</v>
      </c>
      <c r="AN190" s="1">
        <f t="shared" si="155"/>
        <v>0</v>
      </c>
      <c r="AO190" s="1">
        <f t="shared" si="155"/>
        <v>0</v>
      </c>
      <c r="AP190" s="1">
        <f t="shared" si="155"/>
        <v>0</v>
      </c>
      <c r="AQ190" s="1">
        <f t="shared" si="155"/>
        <v>0</v>
      </c>
      <c r="AR190" s="1">
        <f t="shared" si="155"/>
        <v>0</v>
      </c>
      <c r="AS190" s="1">
        <f t="shared" si="155"/>
        <v>0</v>
      </c>
      <c r="AT190" s="1">
        <f t="shared" si="155"/>
        <v>0</v>
      </c>
      <c r="AU190" s="1">
        <f t="shared" si="155"/>
        <v>0</v>
      </c>
      <c r="AV190" s="1">
        <f t="shared" si="155"/>
        <v>0</v>
      </c>
      <c r="AW190" s="1">
        <f t="shared" si="155"/>
        <v>0</v>
      </c>
      <c r="AX190" s="1">
        <f t="shared" si="155"/>
        <v>0</v>
      </c>
      <c r="AY190" s="1">
        <f t="shared" si="155"/>
        <v>0</v>
      </c>
      <c r="AZ190" s="1">
        <f t="shared" si="155"/>
        <v>0</v>
      </c>
      <c r="BA190" s="1">
        <f t="shared" si="155"/>
        <v>0</v>
      </c>
    </row>
    <row r="191" spans="1:54" ht="15.75" customHeight="1" x14ac:dyDescent="0.35">
      <c r="C191" s="5" t="s">
        <v>123</v>
      </c>
      <c r="D191" s="5"/>
      <c r="E191" s="5"/>
      <c r="F191" s="5"/>
      <c r="G191" s="5"/>
      <c r="H191" s="5"/>
      <c r="I191" s="5"/>
      <c r="J191" s="5"/>
      <c r="K191" s="5"/>
      <c r="N191" s="1">
        <f>SUM(Q191:BA191)</f>
        <v>0</v>
      </c>
      <c r="Q191" s="26">
        <f t="shared" ref="Q191:BA191" si="156">SUM(Q138,-Q140,-Q141,Q143)</f>
        <v>0</v>
      </c>
      <c r="R191" s="26">
        <f t="shared" si="156"/>
        <v>0</v>
      </c>
      <c r="S191" s="26">
        <f t="shared" si="156"/>
        <v>0</v>
      </c>
      <c r="T191" s="26">
        <f t="shared" si="156"/>
        <v>0</v>
      </c>
      <c r="U191" s="26">
        <f t="shared" si="156"/>
        <v>0</v>
      </c>
      <c r="V191" s="26">
        <f t="shared" si="156"/>
        <v>0</v>
      </c>
      <c r="W191" s="26">
        <f t="shared" si="156"/>
        <v>0</v>
      </c>
      <c r="X191" s="26">
        <f t="shared" si="156"/>
        <v>0</v>
      </c>
      <c r="Y191" s="26">
        <f t="shared" si="156"/>
        <v>0</v>
      </c>
      <c r="Z191" s="26">
        <f t="shared" si="156"/>
        <v>0</v>
      </c>
      <c r="AA191" s="26">
        <f t="shared" si="156"/>
        <v>0</v>
      </c>
      <c r="AB191" s="26">
        <f t="shared" si="156"/>
        <v>0</v>
      </c>
      <c r="AC191" s="26">
        <f t="shared" si="156"/>
        <v>0</v>
      </c>
      <c r="AD191" s="26">
        <f t="shared" si="156"/>
        <v>0</v>
      </c>
      <c r="AE191" s="26">
        <f t="shared" si="156"/>
        <v>0</v>
      </c>
      <c r="AF191" s="26">
        <f t="shared" si="156"/>
        <v>0</v>
      </c>
      <c r="AG191" s="26">
        <f t="shared" si="156"/>
        <v>0</v>
      </c>
      <c r="AH191" s="26">
        <f t="shared" si="156"/>
        <v>0</v>
      </c>
      <c r="AI191" s="26">
        <f t="shared" si="156"/>
        <v>0</v>
      </c>
      <c r="AJ191" s="26">
        <f t="shared" si="156"/>
        <v>0</v>
      </c>
      <c r="AK191" s="26">
        <f t="shared" si="156"/>
        <v>0</v>
      </c>
      <c r="AL191" s="26">
        <f t="shared" si="156"/>
        <v>0</v>
      </c>
      <c r="AM191" s="26">
        <f t="shared" si="156"/>
        <v>0</v>
      </c>
      <c r="AN191" s="26">
        <f t="shared" si="156"/>
        <v>0</v>
      </c>
      <c r="AO191" s="26">
        <f t="shared" si="156"/>
        <v>0</v>
      </c>
      <c r="AP191" s="26">
        <f t="shared" si="156"/>
        <v>0</v>
      </c>
      <c r="AQ191" s="26">
        <f t="shared" si="156"/>
        <v>0</v>
      </c>
      <c r="AR191" s="26">
        <f t="shared" si="156"/>
        <v>0</v>
      </c>
      <c r="AS191" s="26">
        <f t="shared" si="156"/>
        <v>0</v>
      </c>
      <c r="AT191" s="26">
        <f t="shared" si="156"/>
        <v>0</v>
      </c>
      <c r="AU191" s="26">
        <f t="shared" si="156"/>
        <v>0</v>
      </c>
      <c r="AV191" s="26">
        <f t="shared" si="156"/>
        <v>0</v>
      </c>
      <c r="AW191" s="26">
        <f t="shared" si="156"/>
        <v>0</v>
      </c>
      <c r="AX191" s="26">
        <f t="shared" si="156"/>
        <v>0</v>
      </c>
      <c r="AY191" s="26">
        <f t="shared" si="156"/>
        <v>0</v>
      </c>
      <c r="AZ191" s="26">
        <f t="shared" si="156"/>
        <v>0</v>
      </c>
      <c r="BA191" s="26">
        <f t="shared" si="156"/>
        <v>0</v>
      </c>
    </row>
    <row r="192" spans="1:54" ht="15.75" customHeight="1" x14ac:dyDescent="0.35">
      <c r="B192" s="8"/>
      <c r="C192" s="9" t="s">
        <v>147</v>
      </c>
      <c r="D192" s="9"/>
      <c r="E192" s="9"/>
      <c r="F192" s="9"/>
      <c r="G192" s="9"/>
      <c r="H192" s="9"/>
      <c r="I192" s="9"/>
      <c r="J192" s="9"/>
      <c r="K192" s="9"/>
      <c r="L192" s="8"/>
      <c r="M192" s="8"/>
      <c r="N192" s="10">
        <f>SUM(Q192:BA192)</f>
        <v>0</v>
      </c>
      <c r="O192" s="8"/>
      <c r="P192" s="8"/>
      <c r="Q192" s="10">
        <f t="shared" ref="Q192:BA192" si="157">Q52</f>
        <v>0</v>
      </c>
      <c r="R192" s="10">
        <f t="shared" si="157"/>
        <v>0</v>
      </c>
      <c r="S192" s="10">
        <f t="shared" si="157"/>
        <v>0</v>
      </c>
      <c r="T192" s="10">
        <f t="shared" si="157"/>
        <v>0</v>
      </c>
      <c r="U192" s="10">
        <f t="shared" si="157"/>
        <v>0</v>
      </c>
      <c r="V192" s="10">
        <f t="shared" si="157"/>
        <v>0</v>
      </c>
      <c r="W192" s="10">
        <f t="shared" si="157"/>
        <v>0</v>
      </c>
      <c r="X192" s="10">
        <f t="shared" si="157"/>
        <v>0</v>
      </c>
      <c r="Y192" s="10">
        <f t="shared" si="157"/>
        <v>0</v>
      </c>
      <c r="Z192" s="10">
        <f t="shared" si="157"/>
        <v>0</v>
      </c>
      <c r="AA192" s="10">
        <f t="shared" si="157"/>
        <v>0</v>
      </c>
      <c r="AB192" s="10">
        <f t="shared" si="157"/>
        <v>0</v>
      </c>
      <c r="AC192" s="10">
        <f t="shared" si="157"/>
        <v>0</v>
      </c>
      <c r="AD192" s="10">
        <f t="shared" si="157"/>
        <v>0</v>
      </c>
      <c r="AE192" s="10">
        <f t="shared" si="157"/>
        <v>0</v>
      </c>
      <c r="AF192" s="10">
        <f t="shared" si="157"/>
        <v>0</v>
      </c>
      <c r="AG192" s="10">
        <f t="shared" si="157"/>
        <v>0</v>
      </c>
      <c r="AH192" s="10">
        <f t="shared" si="157"/>
        <v>0</v>
      </c>
      <c r="AI192" s="10">
        <f t="shared" si="157"/>
        <v>0</v>
      </c>
      <c r="AJ192" s="10">
        <f t="shared" si="157"/>
        <v>0</v>
      </c>
      <c r="AK192" s="10">
        <f t="shared" si="157"/>
        <v>0</v>
      </c>
      <c r="AL192" s="10">
        <f t="shared" si="157"/>
        <v>0</v>
      </c>
      <c r="AM192" s="10">
        <f t="shared" si="157"/>
        <v>0</v>
      </c>
      <c r="AN192" s="10">
        <f t="shared" si="157"/>
        <v>0</v>
      </c>
      <c r="AO192" s="10">
        <f t="shared" si="157"/>
        <v>0</v>
      </c>
      <c r="AP192" s="10">
        <f t="shared" si="157"/>
        <v>0</v>
      </c>
      <c r="AQ192" s="10">
        <f t="shared" si="157"/>
        <v>0</v>
      </c>
      <c r="AR192" s="10">
        <f t="shared" si="157"/>
        <v>0</v>
      </c>
      <c r="AS192" s="10">
        <f t="shared" si="157"/>
        <v>0</v>
      </c>
      <c r="AT192" s="10">
        <f t="shared" si="157"/>
        <v>0</v>
      </c>
      <c r="AU192" s="10">
        <f t="shared" si="157"/>
        <v>0</v>
      </c>
      <c r="AV192" s="10">
        <f t="shared" si="157"/>
        <v>0</v>
      </c>
      <c r="AW192" s="10">
        <f t="shared" si="157"/>
        <v>0</v>
      </c>
      <c r="AX192" s="10">
        <f t="shared" si="157"/>
        <v>0</v>
      </c>
      <c r="AY192" s="10">
        <f t="shared" si="157"/>
        <v>0</v>
      </c>
      <c r="AZ192" s="10">
        <f t="shared" si="157"/>
        <v>0</v>
      </c>
      <c r="BA192" s="10">
        <f t="shared" si="157"/>
        <v>0</v>
      </c>
    </row>
    <row r="193" spans="1:54" ht="15.75" customHeight="1" x14ac:dyDescent="0.35">
      <c r="B193" s="2" t="s">
        <v>54</v>
      </c>
      <c r="C193" s="5"/>
      <c r="D193" s="5"/>
      <c r="E193" s="5"/>
      <c r="F193" s="5"/>
      <c r="G193" s="5"/>
      <c r="H193" s="5"/>
      <c r="I193" s="5"/>
      <c r="J193" s="5"/>
      <c r="K193" s="5"/>
      <c r="Q193" s="1">
        <f t="shared" ref="Q193:BA193" si="158">SUM(Q187:Q192)</f>
        <v>0</v>
      </c>
      <c r="R193" s="1">
        <f t="shared" si="158"/>
        <v>0</v>
      </c>
      <c r="S193" s="1">
        <f t="shared" si="158"/>
        <v>0</v>
      </c>
      <c r="T193" s="1">
        <f t="shared" si="158"/>
        <v>0</v>
      </c>
      <c r="U193" s="1">
        <f t="shared" si="158"/>
        <v>0</v>
      </c>
      <c r="V193" s="1">
        <f t="shared" si="158"/>
        <v>0</v>
      </c>
      <c r="W193" s="1">
        <f t="shared" si="158"/>
        <v>0</v>
      </c>
      <c r="X193" s="1">
        <f t="shared" si="158"/>
        <v>0</v>
      </c>
      <c r="Y193" s="1">
        <f t="shared" si="158"/>
        <v>0</v>
      </c>
      <c r="Z193" s="1">
        <f t="shared" si="158"/>
        <v>0</v>
      </c>
      <c r="AA193" s="1">
        <f t="shared" si="158"/>
        <v>0</v>
      </c>
      <c r="AB193" s="1">
        <f t="shared" si="158"/>
        <v>0</v>
      </c>
      <c r="AC193" s="1">
        <f t="shared" si="158"/>
        <v>0</v>
      </c>
      <c r="AD193" s="1">
        <f t="shared" si="158"/>
        <v>0</v>
      </c>
      <c r="AE193" s="1">
        <f t="shared" si="158"/>
        <v>0</v>
      </c>
      <c r="AF193" s="1">
        <f t="shared" si="158"/>
        <v>0</v>
      </c>
      <c r="AG193" s="1">
        <f t="shared" si="158"/>
        <v>0</v>
      </c>
      <c r="AH193" s="1">
        <f t="shared" si="158"/>
        <v>0</v>
      </c>
      <c r="AI193" s="1">
        <f t="shared" si="158"/>
        <v>0</v>
      </c>
      <c r="AJ193" s="1">
        <f t="shared" si="158"/>
        <v>0</v>
      </c>
      <c r="AK193" s="1">
        <f t="shared" si="158"/>
        <v>0</v>
      </c>
      <c r="AL193" s="1">
        <f t="shared" si="158"/>
        <v>0</v>
      </c>
      <c r="AM193" s="1">
        <f t="shared" si="158"/>
        <v>0</v>
      </c>
      <c r="AN193" s="1">
        <f t="shared" si="158"/>
        <v>0</v>
      </c>
      <c r="AO193" s="1">
        <f t="shared" si="158"/>
        <v>0</v>
      </c>
      <c r="AP193" s="1">
        <f t="shared" si="158"/>
        <v>0</v>
      </c>
      <c r="AQ193" s="1">
        <f t="shared" si="158"/>
        <v>0</v>
      </c>
      <c r="AR193" s="1">
        <f t="shared" si="158"/>
        <v>0</v>
      </c>
      <c r="AS193" s="1">
        <f t="shared" si="158"/>
        <v>0</v>
      </c>
      <c r="AT193" s="1">
        <f t="shared" si="158"/>
        <v>0</v>
      </c>
      <c r="AU193" s="1">
        <f t="shared" si="158"/>
        <v>0</v>
      </c>
      <c r="AV193" s="1">
        <f t="shared" si="158"/>
        <v>0</v>
      </c>
      <c r="AW193" s="1">
        <f t="shared" si="158"/>
        <v>0</v>
      </c>
      <c r="AX193" s="1">
        <f t="shared" si="158"/>
        <v>0</v>
      </c>
      <c r="AY193" s="1">
        <f t="shared" si="158"/>
        <v>0</v>
      </c>
      <c r="AZ193" s="1">
        <f t="shared" si="158"/>
        <v>0</v>
      </c>
      <c r="BA193" s="1">
        <f t="shared" si="158"/>
        <v>0</v>
      </c>
    </row>
    <row r="194" spans="1:54" ht="15.75" customHeight="1" x14ac:dyDescent="0.35">
      <c r="B194" s="8"/>
      <c r="C194" s="9" t="s">
        <v>21</v>
      </c>
      <c r="D194" s="9"/>
      <c r="E194" s="9"/>
      <c r="F194" s="9"/>
      <c r="G194" s="9"/>
      <c r="H194" s="9"/>
      <c r="I194" s="9"/>
      <c r="J194" s="9"/>
      <c r="K194" s="9"/>
      <c r="L194" s="8"/>
      <c r="M194" s="8"/>
      <c r="N194" s="10">
        <f>SUM(Q194:BA194)</f>
        <v>0</v>
      </c>
      <c r="O194" s="8"/>
      <c r="P194" s="8"/>
      <c r="Q194" s="10">
        <f>-MAX(MIN(SUM($P$114:P115),Q193),0)*OEt.w1</f>
        <v>0</v>
      </c>
      <c r="R194" s="10">
        <f>-MAX(MIN(SUM($P$114:Q115),R193),0)*OEt.w1</f>
        <v>0</v>
      </c>
      <c r="S194" s="10">
        <f>-MAX(MIN(SUM($P$114:R115),S193),0)*OEt.w1</f>
        <v>0</v>
      </c>
      <c r="T194" s="10">
        <f>-MAX(MIN(SUM($P$114:S115),T193),0)*OEt.w1</f>
        <v>0</v>
      </c>
      <c r="U194" s="10">
        <f>-MAX(MIN(SUM($P$114:T115),U193),0)*OEt.w1</f>
        <v>0</v>
      </c>
      <c r="V194" s="10">
        <f>-MAX(MIN(SUM($P$114:U115),V193),0)*OEt.w1</f>
        <v>0</v>
      </c>
      <c r="W194" s="10">
        <f>-MAX(MIN(SUM($P$114:V115),W193),0)*OEt.w1</f>
        <v>0</v>
      </c>
      <c r="X194" s="10">
        <f>-MAX(MIN(SUM($P$114:W115),X193),0)*OEt.w1</f>
        <v>0</v>
      </c>
      <c r="Y194" s="10">
        <f>-MAX(MIN(SUM($P$114:X115),Y193),0)*OEt.w1</f>
        <v>0</v>
      </c>
      <c r="Z194" s="10">
        <f>-MAX(MIN(SUM($P$114:Y115),Z193),0)*OEt.w1</f>
        <v>0</v>
      </c>
      <c r="AA194" s="10">
        <f>-MAX(MIN(SUM($P$114:Z115),AA193),0)*OEt.w1</f>
        <v>0</v>
      </c>
      <c r="AB194" s="10">
        <f>-MAX(MIN(SUM($P$114:AA115),AB193),0)*OEt.w1</f>
        <v>0</v>
      </c>
      <c r="AC194" s="10">
        <f>-MAX(MIN(SUM($P$114:AB115),AC193),0)*OEt.w1</f>
        <v>0</v>
      </c>
      <c r="AD194" s="10">
        <f>-MAX(MIN(SUM($P$114:AC115),AD193),0)*OEt.w1</f>
        <v>0</v>
      </c>
      <c r="AE194" s="10">
        <f>-MAX(MIN(SUM($P$114:AD115),AE193),0)*OEt.w1</f>
        <v>0</v>
      </c>
      <c r="AF194" s="10">
        <f>-MAX(MIN(SUM($P$114:AE115),AF193),0)*OEt.w1</f>
        <v>0</v>
      </c>
      <c r="AG194" s="10">
        <f>-MAX(MIN(SUM($P$114:AF115),AG193),0)*OEt.w1</f>
        <v>0</v>
      </c>
      <c r="AH194" s="10">
        <f>-MAX(MIN(SUM($P$114:AG115),AH193),0)*OEt.w1</f>
        <v>0</v>
      </c>
      <c r="AI194" s="10">
        <f>-MAX(MIN(SUM($P$114:AH115),AI193),0)*OEt.w1</f>
        <v>0</v>
      </c>
      <c r="AJ194" s="10">
        <f>-MAX(MIN(SUM($P$114:AI115),AJ193),0)*OEt.w1</f>
        <v>0</v>
      </c>
      <c r="AK194" s="10">
        <f>-MAX(MIN(SUM($P$114:AJ115),AK193),0)*OEt.w1</f>
        <v>0</v>
      </c>
      <c r="AL194" s="10">
        <f>-MAX(MIN(SUM($P$114:AK115),AL193),0)*OEt.w1</f>
        <v>0</v>
      </c>
      <c r="AM194" s="10">
        <f>-MAX(MIN(SUM($P$114:AL115),AM193),0)*OEt.w1</f>
        <v>0</v>
      </c>
      <c r="AN194" s="10">
        <f>-MAX(MIN(SUM($P$114:AM115),AN193),0)*OEt.w1</f>
        <v>0</v>
      </c>
      <c r="AO194" s="10">
        <f>-MAX(MIN(SUM($P$114:AN115),AO193),0)*OEt.w1</f>
        <v>0</v>
      </c>
      <c r="AP194" s="10">
        <f>-MAX(MIN(SUM($P$114:AO115),AP193),0)*OEt.w1</f>
        <v>0</v>
      </c>
      <c r="AQ194" s="10">
        <f>-MAX(MIN(SUM($P$114:AP115),AQ193),0)*OEt.w1</f>
        <v>0</v>
      </c>
      <c r="AR194" s="10">
        <f>-MAX(MIN(SUM($P$114:AQ115),AR193),0)*OEt.w1</f>
        <v>0</v>
      </c>
      <c r="AS194" s="10">
        <f>-MAX(MIN(SUM($P$114:AR115),AS193),0)*OEt.w1</f>
        <v>0</v>
      </c>
      <c r="AT194" s="10">
        <f>-MAX(MIN(SUM($P$114:AS115),AT193),0)*OEt.w1</f>
        <v>0</v>
      </c>
      <c r="AU194" s="10">
        <f>-MAX(MIN(SUM($P$114:AT115),AU193),0)*OEt.w1</f>
        <v>0</v>
      </c>
      <c r="AV194" s="10">
        <f>-MAX(MIN(SUM($P$114:AU115),AV193),0)*OEt.w1</f>
        <v>0</v>
      </c>
      <c r="AW194" s="10">
        <f>-MAX(MIN(SUM($P$114:AV115),AW193),0)*OEt.w1</f>
        <v>0</v>
      </c>
      <c r="AX194" s="10">
        <f>-MAX(MIN(SUM($P$114:AW115),AX193),0)*OEt.w1</f>
        <v>0</v>
      </c>
      <c r="AY194" s="10">
        <f>-MAX(MIN(SUM($P$114:AX115),AY193),0)*OEt.w1</f>
        <v>0</v>
      </c>
      <c r="AZ194" s="10">
        <f>-MAX(MIN(SUM($P$114:AY115),AZ193),0)*OEt.w1</f>
        <v>0</v>
      </c>
      <c r="BA194" s="10">
        <f>-MAX(MIN(SUM($P$114:AZ115),BA193),0)*OEt.w1</f>
        <v>0</v>
      </c>
    </row>
    <row r="195" spans="1:54" ht="15.75" customHeight="1" x14ac:dyDescent="0.35">
      <c r="B195" s="2" t="s">
        <v>121</v>
      </c>
      <c r="C195" s="5"/>
      <c r="D195" s="5"/>
      <c r="E195" s="5"/>
      <c r="F195" s="5"/>
      <c r="G195" s="5"/>
      <c r="H195" s="5"/>
      <c r="I195" s="5"/>
      <c r="J195" s="5"/>
      <c r="K195" s="5"/>
      <c r="Q195" s="1">
        <f t="shared" ref="Q195:BA195" si="159">SUM(Q193:Q194)</f>
        <v>0</v>
      </c>
      <c r="R195" s="1">
        <f t="shared" si="159"/>
        <v>0</v>
      </c>
      <c r="S195" s="1">
        <f t="shared" si="159"/>
        <v>0</v>
      </c>
      <c r="T195" s="1">
        <f t="shared" si="159"/>
        <v>0</v>
      </c>
      <c r="U195" s="1">
        <f t="shared" si="159"/>
        <v>0</v>
      </c>
      <c r="V195" s="1">
        <f t="shared" si="159"/>
        <v>0</v>
      </c>
      <c r="W195" s="1">
        <f t="shared" si="159"/>
        <v>0</v>
      </c>
      <c r="X195" s="1">
        <f t="shared" si="159"/>
        <v>0</v>
      </c>
      <c r="Y195" s="1">
        <f t="shared" si="159"/>
        <v>0</v>
      </c>
      <c r="Z195" s="1">
        <f t="shared" si="159"/>
        <v>0</v>
      </c>
      <c r="AA195" s="1">
        <f t="shared" si="159"/>
        <v>0</v>
      </c>
      <c r="AB195" s="1">
        <f t="shared" si="159"/>
        <v>0</v>
      </c>
      <c r="AC195" s="1">
        <f t="shared" si="159"/>
        <v>0</v>
      </c>
      <c r="AD195" s="1">
        <f t="shared" si="159"/>
        <v>0</v>
      </c>
      <c r="AE195" s="1">
        <f t="shared" si="159"/>
        <v>0</v>
      </c>
      <c r="AF195" s="1">
        <f t="shared" si="159"/>
        <v>0</v>
      </c>
      <c r="AG195" s="1">
        <f t="shared" si="159"/>
        <v>0</v>
      </c>
      <c r="AH195" s="1">
        <f t="shared" si="159"/>
        <v>0</v>
      </c>
      <c r="AI195" s="1">
        <f t="shared" si="159"/>
        <v>0</v>
      </c>
      <c r="AJ195" s="1">
        <f t="shared" si="159"/>
        <v>0</v>
      </c>
      <c r="AK195" s="1">
        <f t="shared" si="159"/>
        <v>0</v>
      </c>
      <c r="AL195" s="1">
        <f t="shared" si="159"/>
        <v>0</v>
      </c>
      <c r="AM195" s="1">
        <f t="shared" si="159"/>
        <v>0</v>
      </c>
      <c r="AN195" s="1">
        <f t="shared" si="159"/>
        <v>0</v>
      </c>
      <c r="AO195" s="1">
        <f t="shared" si="159"/>
        <v>0</v>
      </c>
      <c r="AP195" s="1">
        <f t="shared" si="159"/>
        <v>0</v>
      </c>
      <c r="AQ195" s="1">
        <f t="shared" si="159"/>
        <v>0</v>
      </c>
      <c r="AR195" s="1">
        <f t="shared" si="159"/>
        <v>0</v>
      </c>
      <c r="AS195" s="1">
        <f t="shared" si="159"/>
        <v>0</v>
      </c>
      <c r="AT195" s="1">
        <f t="shared" si="159"/>
        <v>0</v>
      </c>
      <c r="AU195" s="1">
        <f t="shared" si="159"/>
        <v>0</v>
      </c>
      <c r="AV195" s="1">
        <f t="shared" si="159"/>
        <v>0</v>
      </c>
      <c r="AW195" s="1">
        <f t="shared" si="159"/>
        <v>0</v>
      </c>
      <c r="AX195" s="1">
        <f t="shared" si="159"/>
        <v>0</v>
      </c>
      <c r="AY195" s="1">
        <f t="shared" si="159"/>
        <v>0</v>
      </c>
      <c r="AZ195" s="1">
        <f t="shared" si="159"/>
        <v>0</v>
      </c>
      <c r="BA195" s="1">
        <f t="shared" si="159"/>
        <v>0</v>
      </c>
    </row>
    <row r="196" spans="1:54" ht="15.75" customHeight="1" x14ac:dyDescent="0.35">
      <c r="B196" s="8"/>
      <c r="C196" s="9" t="s">
        <v>119</v>
      </c>
      <c r="D196" s="9"/>
      <c r="E196" s="9"/>
      <c r="F196" s="9"/>
      <c r="G196" s="9"/>
      <c r="H196" s="9"/>
      <c r="I196" s="9"/>
      <c r="J196" s="9"/>
      <c r="K196" s="9"/>
      <c r="L196" s="8"/>
      <c r="M196" s="8"/>
      <c r="N196" s="10">
        <f>SUM(Q196:BA196)</f>
        <v>0</v>
      </c>
      <c r="O196" s="8"/>
      <c r="P196" s="8"/>
      <c r="Q196" s="10">
        <f t="shared" ref="Q196:BA196" si="160">MIN(MAX(-SUM(Q120,Q128),-Q195),0)</f>
        <v>0</v>
      </c>
      <c r="R196" s="10">
        <f t="shared" si="160"/>
        <v>0</v>
      </c>
      <c r="S196" s="10">
        <f t="shared" si="160"/>
        <v>0</v>
      </c>
      <c r="T196" s="10">
        <f t="shared" si="160"/>
        <v>0</v>
      </c>
      <c r="U196" s="10">
        <f t="shared" si="160"/>
        <v>0</v>
      </c>
      <c r="V196" s="10">
        <f t="shared" si="160"/>
        <v>0</v>
      </c>
      <c r="W196" s="10">
        <f t="shared" si="160"/>
        <v>0</v>
      </c>
      <c r="X196" s="10">
        <f t="shared" si="160"/>
        <v>0</v>
      </c>
      <c r="Y196" s="10">
        <f t="shared" si="160"/>
        <v>0</v>
      </c>
      <c r="Z196" s="10">
        <f t="shared" si="160"/>
        <v>0</v>
      </c>
      <c r="AA196" s="10">
        <f t="shared" si="160"/>
        <v>0</v>
      </c>
      <c r="AB196" s="10">
        <f t="shared" si="160"/>
        <v>0</v>
      </c>
      <c r="AC196" s="10">
        <f t="shared" si="160"/>
        <v>0</v>
      </c>
      <c r="AD196" s="10">
        <f t="shared" si="160"/>
        <v>0</v>
      </c>
      <c r="AE196" s="10">
        <f t="shared" si="160"/>
        <v>0</v>
      </c>
      <c r="AF196" s="10">
        <f t="shared" si="160"/>
        <v>0</v>
      </c>
      <c r="AG196" s="10">
        <f t="shared" si="160"/>
        <v>0</v>
      </c>
      <c r="AH196" s="10">
        <f t="shared" si="160"/>
        <v>0</v>
      </c>
      <c r="AI196" s="10">
        <f t="shared" si="160"/>
        <v>0</v>
      </c>
      <c r="AJ196" s="10">
        <f t="shared" si="160"/>
        <v>0</v>
      </c>
      <c r="AK196" s="10">
        <f t="shared" si="160"/>
        <v>0</v>
      </c>
      <c r="AL196" s="10">
        <f t="shared" si="160"/>
        <v>0</v>
      </c>
      <c r="AM196" s="10">
        <f t="shared" si="160"/>
        <v>0</v>
      </c>
      <c r="AN196" s="10">
        <f t="shared" si="160"/>
        <v>0</v>
      </c>
      <c r="AO196" s="10">
        <f t="shared" si="160"/>
        <v>0</v>
      </c>
      <c r="AP196" s="10">
        <f t="shared" si="160"/>
        <v>0</v>
      </c>
      <c r="AQ196" s="10">
        <f t="shared" si="160"/>
        <v>0</v>
      </c>
      <c r="AR196" s="10">
        <f t="shared" si="160"/>
        <v>0</v>
      </c>
      <c r="AS196" s="10">
        <f t="shared" si="160"/>
        <v>0</v>
      </c>
      <c r="AT196" s="10">
        <f t="shared" si="160"/>
        <v>0</v>
      </c>
      <c r="AU196" s="10">
        <f t="shared" si="160"/>
        <v>0</v>
      </c>
      <c r="AV196" s="10">
        <f t="shared" si="160"/>
        <v>0</v>
      </c>
      <c r="AW196" s="10">
        <f t="shared" si="160"/>
        <v>0</v>
      </c>
      <c r="AX196" s="10">
        <f t="shared" si="160"/>
        <v>0</v>
      </c>
      <c r="AY196" s="10">
        <f t="shared" si="160"/>
        <v>0</v>
      </c>
      <c r="AZ196" s="10">
        <f t="shared" si="160"/>
        <v>0</v>
      </c>
      <c r="BA196" s="10">
        <f t="shared" si="160"/>
        <v>0</v>
      </c>
    </row>
    <row r="197" spans="1:54" ht="15.75" customHeight="1" x14ac:dyDescent="0.35">
      <c r="B197" s="2" t="s">
        <v>122</v>
      </c>
      <c r="C197" s="5"/>
      <c r="D197" s="5"/>
      <c r="E197" s="5"/>
      <c r="F197" s="5"/>
      <c r="G197" s="5"/>
      <c r="H197" s="5"/>
      <c r="I197" s="5"/>
      <c r="J197" s="5"/>
      <c r="K197" s="5"/>
      <c r="Q197" s="1">
        <f t="shared" ref="Q197:BA199" si="161">SUM(Q195:Q196)</f>
        <v>0</v>
      </c>
      <c r="R197" s="1">
        <f t="shared" si="161"/>
        <v>0</v>
      </c>
      <c r="S197" s="1">
        <f t="shared" si="161"/>
        <v>0</v>
      </c>
      <c r="T197" s="1">
        <f t="shared" si="161"/>
        <v>0</v>
      </c>
      <c r="U197" s="1">
        <f t="shared" si="161"/>
        <v>0</v>
      </c>
      <c r="V197" s="1">
        <f t="shared" si="161"/>
        <v>0</v>
      </c>
      <c r="W197" s="1">
        <f t="shared" si="161"/>
        <v>0</v>
      </c>
      <c r="X197" s="1">
        <f t="shared" si="161"/>
        <v>0</v>
      </c>
      <c r="Y197" s="1">
        <f t="shared" si="161"/>
        <v>0</v>
      </c>
      <c r="Z197" s="1">
        <f t="shared" si="161"/>
        <v>0</v>
      </c>
      <c r="AA197" s="1">
        <f t="shared" si="161"/>
        <v>0</v>
      </c>
      <c r="AB197" s="1">
        <f t="shared" si="161"/>
        <v>0</v>
      </c>
      <c r="AC197" s="1">
        <f t="shared" si="161"/>
        <v>0</v>
      </c>
      <c r="AD197" s="1">
        <f t="shared" si="161"/>
        <v>0</v>
      </c>
      <c r="AE197" s="1">
        <f t="shared" si="161"/>
        <v>0</v>
      </c>
      <c r="AF197" s="1">
        <f t="shared" si="161"/>
        <v>0</v>
      </c>
      <c r="AG197" s="1">
        <f t="shared" si="161"/>
        <v>0</v>
      </c>
      <c r="AH197" s="1">
        <f t="shared" si="161"/>
        <v>0</v>
      </c>
      <c r="AI197" s="1">
        <f t="shared" si="161"/>
        <v>0</v>
      </c>
      <c r="AJ197" s="1">
        <f t="shared" si="161"/>
        <v>0</v>
      </c>
      <c r="AK197" s="1">
        <f t="shared" si="161"/>
        <v>0</v>
      </c>
      <c r="AL197" s="1">
        <f t="shared" si="161"/>
        <v>0</v>
      </c>
      <c r="AM197" s="1">
        <f t="shared" si="161"/>
        <v>0</v>
      </c>
      <c r="AN197" s="1">
        <f t="shared" si="161"/>
        <v>0</v>
      </c>
      <c r="AO197" s="1">
        <f t="shared" si="161"/>
        <v>0</v>
      </c>
      <c r="AP197" s="1">
        <f t="shared" si="161"/>
        <v>0</v>
      </c>
      <c r="AQ197" s="1">
        <f t="shared" si="161"/>
        <v>0</v>
      </c>
      <c r="AR197" s="1">
        <f t="shared" si="161"/>
        <v>0</v>
      </c>
      <c r="AS197" s="1">
        <f t="shared" si="161"/>
        <v>0</v>
      </c>
      <c r="AT197" s="1">
        <f t="shared" si="161"/>
        <v>0</v>
      </c>
      <c r="AU197" s="1">
        <f t="shared" si="161"/>
        <v>0</v>
      </c>
      <c r="AV197" s="1">
        <f t="shared" si="161"/>
        <v>0</v>
      </c>
      <c r="AW197" s="1">
        <f t="shared" si="161"/>
        <v>0</v>
      </c>
      <c r="AX197" s="1">
        <f t="shared" si="161"/>
        <v>0</v>
      </c>
      <c r="AY197" s="1">
        <f t="shared" si="161"/>
        <v>0</v>
      </c>
      <c r="AZ197" s="1">
        <f t="shared" si="161"/>
        <v>0</v>
      </c>
      <c r="BA197" s="1">
        <f t="shared" si="161"/>
        <v>0</v>
      </c>
    </row>
    <row r="198" spans="1:54" ht="15.75" customHeight="1" x14ac:dyDescent="0.35">
      <c r="B198" s="8"/>
      <c r="C198" s="9" t="s">
        <v>120</v>
      </c>
      <c r="D198" s="9"/>
      <c r="E198" s="9"/>
      <c r="F198" s="9"/>
      <c r="G198" s="9"/>
      <c r="H198" s="9"/>
      <c r="I198" s="9"/>
      <c r="J198" s="9"/>
      <c r="K198" s="9"/>
      <c r="L198" s="8"/>
      <c r="M198" s="8"/>
      <c r="N198" s="10">
        <f>SUM(Q198:BA198)</f>
        <v>0</v>
      </c>
      <c r="O198" s="8"/>
      <c r="P198" s="8"/>
      <c r="Q198" s="10">
        <f t="shared" ref="Q198:BA198" si="162">MIN(MAX(-SUM(Q137,Q143),-Q197),0)</f>
        <v>0</v>
      </c>
      <c r="R198" s="10">
        <f t="shared" si="162"/>
        <v>0</v>
      </c>
      <c r="S198" s="10">
        <f t="shared" si="162"/>
        <v>0</v>
      </c>
      <c r="T198" s="10">
        <f t="shared" si="162"/>
        <v>0</v>
      </c>
      <c r="U198" s="10">
        <f t="shared" si="162"/>
        <v>0</v>
      </c>
      <c r="V198" s="10">
        <f t="shared" si="162"/>
        <v>0</v>
      </c>
      <c r="W198" s="10">
        <f t="shared" si="162"/>
        <v>0</v>
      </c>
      <c r="X198" s="10">
        <f t="shared" si="162"/>
        <v>0</v>
      </c>
      <c r="Y198" s="10">
        <f t="shared" si="162"/>
        <v>0</v>
      </c>
      <c r="Z198" s="10">
        <f t="shared" si="162"/>
        <v>0</v>
      </c>
      <c r="AA198" s="10">
        <f t="shared" si="162"/>
        <v>0</v>
      </c>
      <c r="AB198" s="10">
        <f t="shared" si="162"/>
        <v>0</v>
      </c>
      <c r="AC198" s="10">
        <f t="shared" si="162"/>
        <v>0</v>
      </c>
      <c r="AD198" s="10">
        <f t="shared" si="162"/>
        <v>0</v>
      </c>
      <c r="AE198" s="10">
        <f t="shared" si="162"/>
        <v>0</v>
      </c>
      <c r="AF198" s="10">
        <f t="shared" si="162"/>
        <v>0</v>
      </c>
      <c r="AG198" s="10">
        <f t="shared" si="162"/>
        <v>0</v>
      </c>
      <c r="AH198" s="10">
        <f t="shared" si="162"/>
        <v>0</v>
      </c>
      <c r="AI198" s="10">
        <f t="shared" si="162"/>
        <v>0</v>
      </c>
      <c r="AJ198" s="10">
        <f t="shared" si="162"/>
        <v>0</v>
      </c>
      <c r="AK198" s="10">
        <f t="shared" si="162"/>
        <v>0</v>
      </c>
      <c r="AL198" s="10">
        <f t="shared" si="162"/>
        <v>0</v>
      </c>
      <c r="AM198" s="10">
        <f t="shared" si="162"/>
        <v>0</v>
      </c>
      <c r="AN198" s="10">
        <f t="shared" si="162"/>
        <v>0</v>
      </c>
      <c r="AO198" s="10">
        <f t="shared" si="162"/>
        <v>0</v>
      </c>
      <c r="AP198" s="10">
        <f t="shared" si="162"/>
        <v>0</v>
      </c>
      <c r="AQ198" s="10">
        <f t="shared" si="162"/>
        <v>0</v>
      </c>
      <c r="AR198" s="10">
        <f t="shared" si="162"/>
        <v>0</v>
      </c>
      <c r="AS198" s="10">
        <f t="shared" si="162"/>
        <v>0</v>
      </c>
      <c r="AT198" s="10">
        <f t="shared" si="162"/>
        <v>0</v>
      </c>
      <c r="AU198" s="10">
        <f t="shared" si="162"/>
        <v>0</v>
      </c>
      <c r="AV198" s="10">
        <f t="shared" si="162"/>
        <v>0</v>
      </c>
      <c r="AW198" s="10">
        <f t="shared" si="162"/>
        <v>0</v>
      </c>
      <c r="AX198" s="10">
        <f t="shared" si="162"/>
        <v>0</v>
      </c>
      <c r="AY198" s="10">
        <f t="shared" si="162"/>
        <v>0</v>
      </c>
      <c r="AZ198" s="10">
        <f t="shared" si="162"/>
        <v>0</v>
      </c>
      <c r="BA198" s="10">
        <f t="shared" si="162"/>
        <v>0</v>
      </c>
    </row>
    <row r="199" spans="1:54" ht="15.75" customHeight="1" x14ac:dyDescent="0.35">
      <c r="B199" s="2" t="s">
        <v>85</v>
      </c>
      <c r="C199" s="5"/>
      <c r="D199" s="5"/>
      <c r="E199" s="5"/>
      <c r="F199" s="5"/>
      <c r="G199" s="5"/>
      <c r="H199" s="5"/>
      <c r="I199" s="5"/>
      <c r="J199" s="5"/>
      <c r="K199" s="5"/>
      <c r="Q199" s="1">
        <f t="shared" si="161"/>
        <v>0</v>
      </c>
      <c r="R199" s="1">
        <f t="shared" si="161"/>
        <v>0</v>
      </c>
      <c r="S199" s="1">
        <f t="shared" si="161"/>
        <v>0</v>
      </c>
      <c r="T199" s="1">
        <f t="shared" si="161"/>
        <v>0</v>
      </c>
      <c r="U199" s="1">
        <f t="shared" si="161"/>
        <v>0</v>
      </c>
      <c r="V199" s="1">
        <f t="shared" si="161"/>
        <v>0</v>
      </c>
      <c r="W199" s="1">
        <f t="shared" si="161"/>
        <v>0</v>
      </c>
      <c r="X199" s="1">
        <f t="shared" si="161"/>
        <v>0</v>
      </c>
      <c r="Y199" s="1">
        <f t="shared" si="161"/>
        <v>0</v>
      </c>
      <c r="Z199" s="1">
        <f t="shared" si="161"/>
        <v>0</v>
      </c>
      <c r="AA199" s="1">
        <f t="shared" si="161"/>
        <v>0</v>
      </c>
      <c r="AB199" s="1">
        <f t="shared" si="161"/>
        <v>0</v>
      </c>
      <c r="AC199" s="1">
        <f t="shared" si="161"/>
        <v>0</v>
      </c>
      <c r="AD199" s="1">
        <f t="shared" si="161"/>
        <v>0</v>
      </c>
      <c r="AE199" s="1">
        <f t="shared" si="161"/>
        <v>0</v>
      </c>
      <c r="AF199" s="1">
        <f t="shared" si="161"/>
        <v>0</v>
      </c>
      <c r="AG199" s="1">
        <f t="shared" si="161"/>
        <v>0</v>
      </c>
      <c r="AH199" s="1">
        <f t="shared" si="161"/>
        <v>0</v>
      </c>
      <c r="AI199" s="1">
        <f t="shared" si="161"/>
        <v>0</v>
      </c>
      <c r="AJ199" s="1">
        <f t="shared" si="161"/>
        <v>0</v>
      </c>
      <c r="AK199" s="1">
        <f t="shared" si="161"/>
        <v>0</v>
      </c>
      <c r="AL199" s="1">
        <f t="shared" si="161"/>
        <v>0</v>
      </c>
      <c r="AM199" s="1">
        <f t="shared" si="161"/>
        <v>0</v>
      </c>
      <c r="AN199" s="1">
        <f t="shared" si="161"/>
        <v>0</v>
      </c>
      <c r="AO199" s="1">
        <f t="shared" si="161"/>
        <v>0</v>
      </c>
      <c r="AP199" s="1">
        <f t="shared" si="161"/>
        <v>0</v>
      </c>
      <c r="AQ199" s="1">
        <f t="shared" si="161"/>
        <v>0</v>
      </c>
      <c r="AR199" s="1">
        <f t="shared" si="161"/>
        <v>0</v>
      </c>
      <c r="AS199" s="1">
        <f t="shared" si="161"/>
        <v>0</v>
      </c>
      <c r="AT199" s="1">
        <f t="shared" si="161"/>
        <v>0</v>
      </c>
      <c r="AU199" s="1">
        <f t="shared" si="161"/>
        <v>0</v>
      </c>
      <c r="AV199" s="1">
        <f t="shared" si="161"/>
        <v>0</v>
      </c>
      <c r="AW199" s="1">
        <f t="shared" si="161"/>
        <v>0</v>
      </c>
      <c r="AX199" s="1">
        <f t="shared" si="161"/>
        <v>0</v>
      </c>
      <c r="AY199" s="1">
        <f t="shared" si="161"/>
        <v>0</v>
      </c>
      <c r="AZ199" s="1">
        <f t="shared" si="161"/>
        <v>0</v>
      </c>
      <c r="BA199" s="1">
        <f t="shared" si="161"/>
        <v>0</v>
      </c>
    </row>
    <row r="200" spans="1:54" ht="15.75" customHeight="1" x14ac:dyDescent="0.35">
      <c r="B200" s="8"/>
      <c r="C200" s="9" t="s">
        <v>57</v>
      </c>
      <c r="D200" s="9"/>
      <c r="E200" s="9"/>
      <c r="F200" s="9"/>
      <c r="G200" s="9"/>
      <c r="H200" s="9"/>
      <c r="I200" s="9"/>
      <c r="J200" s="9"/>
      <c r="K200" s="9"/>
      <c r="L200" s="8"/>
      <c r="M200" s="8"/>
      <c r="N200" s="10">
        <f>SUM(Q200:BA200)</f>
        <v>0</v>
      </c>
      <c r="O200" s="8"/>
      <c r="P200" s="8"/>
      <c r="Q200" s="10">
        <f t="shared" ref="Q200:AX200" si="163">MIN(-Q199,0)</f>
        <v>0</v>
      </c>
      <c r="R200" s="10">
        <f t="shared" si="163"/>
        <v>0</v>
      </c>
      <c r="S200" s="10">
        <f t="shared" si="163"/>
        <v>0</v>
      </c>
      <c r="T200" s="10">
        <f t="shared" si="163"/>
        <v>0</v>
      </c>
      <c r="U200" s="10">
        <f t="shared" si="163"/>
        <v>0</v>
      </c>
      <c r="V200" s="10">
        <f t="shared" si="163"/>
        <v>0</v>
      </c>
      <c r="W200" s="10">
        <f t="shared" si="163"/>
        <v>0</v>
      </c>
      <c r="X200" s="10">
        <f t="shared" si="163"/>
        <v>0</v>
      </c>
      <c r="Y200" s="10">
        <f t="shared" si="163"/>
        <v>0</v>
      </c>
      <c r="Z200" s="10">
        <f t="shared" si="163"/>
        <v>0</v>
      </c>
      <c r="AA200" s="10">
        <f t="shared" si="163"/>
        <v>0</v>
      </c>
      <c r="AB200" s="10">
        <f t="shared" si="163"/>
        <v>0</v>
      </c>
      <c r="AC200" s="10">
        <f t="shared" si="163"/>
        <v>0</v>
      </c>
      <c r="AD200" s="10">
        <f t="shared" si="163"/>
        <v>0</v>
      </c>
      <c r="AE200" s="10">
        <f t="shared" si="163"/>
        <v>0</v>
      </c>
      <c r="AF200" s="10">
        <f t="shared" si="163"/>
        <v>0</v>
      </c>
      <c r="AG200" s="10">
        <f t="shared" si="163"/>
        <v>0</v>
      </c>
      <c r="AH200" s="10">
        <f t="shared" si="163"/>
        <v>0</v>
      </c>
      <c r="AI200" s="10">
        <f t="shared" si="163"/>
        <v>0</v>
      </c>
      <c r="AJ200" s="10">
        <f t="shared" si="163"/>
        <v>0</v>
      </c>
      <c r="AK200" s="10">
        <f t="shared" si="163"/>
        <v>0</v>
      </c>
      <c r="AL200" s="10">
        <f t="shared" si="163"/>
        <v>0</v>
      </c>
      <c r="AM200" s="10">
        <f t="shared" si="163"/>
        <v>0</v>
      </c>
      <c r="AN200" s="10">
        <f t="shared" si="163"/>
        <v>0</v>
      </c>
      <c r="AO200" s="10">
        <f t="shared" si="163"/>
        <v>0</v>
      </c>
      <c r="AP200" s="10">
        <f t="shared" si="163"/>
        <v>0</v>
      </c>
      <c r="AQ200" s="10">
        <f t="shared" si="163"/>
        <v>0</v>
      </c>
      <c r="AR200" s="10">
        <f t="shared" si="163"/>
        <v>0</v>
      </c>
      <c r="AS200" s="10">
        <f t="shared" si="163"/>
        <v>0</v>
      </c>
      <c r="AT200" s="10">
        <f t="shared" si="163"/>
        <v>0</v>
      </c>
      <c r="AU200" s="10">
        <f t="shared" si="163"/>
        <v>0</v>
      </c>
      <c r="AV200" s="10">
        <f t="shared" si="163"/>
        <v>0</v>
      </c>
      <c r="AW200" s="10">
        <f t="shared" si="163"/>
        <v>0</v>
      </c>
      <c r="AX200" s="10">
        <f t="shared" si="163"/>
        <v>0</v>
      </c>
      <c r="AY200" s="10">
        <f>MIN(-AY199,0)</f>
        <v>0</v>
      </c>
      <c r="AZ200" s="10">
        <f t="shared" ref="AZ200:BA200" si="164">MIN(-AZ199,0)</f>
        <v>0</v>
      </c>
      <c r="BA200" s="10">
        <f t="shared" si="164"/>
        <v>0</v>
      </c>
    </row>
    <row r="201" spans="1:54" ht="15.75" customHeight="1" x14ac:dyDescent="0.35">
      <c r="B201" s="2" t="s">
        <v>60</v>
      </c>
      <c r="C201" s="5"/>
      <c r="D201" s="5"/>
      <c r="E201" s="5"/>
      <c r="F201" s="5"/>
      <c r="G201" s="5"/>
      <c r="H201" s="5"/>
      <c r="I201" s="5"/>
      <c r="J201" s="5"/>
      <c r="K201" s="5"/>
      <c r="Q201" s="1">
        <f t="shared" ref="Q201" si="165">SUM(Q199:Q200)</f>
        <v>0</v>
      </c>
      <c r="R201" s="1">
        <f>SUM(R199:R200)</f>
        <v>0</v>
      </c>
      <c r="S201" s="1">
        <f t="shared" ref="S201:BA201" si="166">SUM(S199:S200)</f>
        <v>0</v>
      </c>
      <c r="T201" s="1">
        <f t="shared" si="166"/>
        <v>0</v>
      </c>
      <c r="U201" s="1">
        <f t="shared" si="166"/>
        <v>0</v>
      </c>
      <c r="V201" s="1">
        <f t="shared" si="166"/>
        <v>0</v>
      </c>
      <c r="W201" s="1">
        <f t="shared" si="166"/>
        <v>0</v>
      </c>
      <c r="X201" s="1">
        <f t="shared" si="166"/>
        <v>0</v>
      </c>
      <c r="Y201" s="1">
        <f t="shared" si="166"/>
        <v>0</v>
      </c>
      <c r="Z201" s="1">
        <f t="shared" si="166"/>
        <v>0</v>
      </c>
      <c r="AA201" s="1">
        <f t="shared" si="166"/>
        <v>0</v>
      </c>
      <c r="AB201" s="1">
        <f t="shared" si="166"/>
        <v>0</v>
      </c>
      <c r="AC201" s="1">
        <f t="shared" si="166"/>
        <v>0</v>
      </c>
      <c r="AD201" s="1">
        <f t="shared" si="166"/>
        <v>0</v>
      </c>
      <c r="AE201" s="1">
        <f t="shared" si="166"/>
        <v>0</v>
      </c>
      <c r="AF201" s="1">
        <f t="shared" si="166"/>
        <v>0</v>
      </c>
      <c r="AG201" s="1">
        <f t="shared" si="166"/>
        <v>0</v>
      </c>
      <c r="AH201" s="1">
        <f t="shared" si="166"/>
        <v>0</v>
      </c>
      <c r="AI201" s="1">
        <f t="shared" si="166"/>
        <v>0</v>
      </c>
      <c r="AJ201" s="1">
        <f t="shared" si="166"/>
        <v>0</v>
      </c>
      <c r="AK201" s="1">
        <f t="shared" si="166"/>
        <v>0</v>
      </c>
      <c r="AL201" s="1">
        <f t="shared" si="166"/>
        <v>0</v>
      </c>
      <c r="AM201" s="1">
        <f t="shared" si="166"/>
        <v>0</v>
      </c>
      <c r="AN201" s="1">
        <f t="shared" si="166"/>
        <v>0</v>
      </c>
      <c r="AO201" s="1">
        <f t="shared" si="166"/>
        <v>0</v>
      </c>
      <c r="AP201" s="1">
        <f t="shared" si="166"/>
        <v>0</v>
      </c>
      <c r="AQ201" s="1">
        <f t="shared" si="166"/>
        <v>0</v>
      </c>
      <c r="AR201" s="1">
        <f t="shared" si="166"/>
        <v>0</v>
      </c>
      <c r="AS201" s="1">
        <f t="shared" si="166"/>
        <v>0</v>
      </c>
      <c r="AT201" s="1">
        <f t="shared" si="166"/>
        <v>0</v>
      </c>
      <c r="AU201" s="1">
        <f t="shared" si="166"/>
        <v>0</v>
      </c>
      <c r="AV201" s="1">
        <f t="shared" si="166"/>
        <v>0</v>
      </c>
      <c r="AW201" s="1">
        <f t="shared" si="166"/>
        <v>0</v>
      </c>
      <c r="AX201" s="1">
        <f t="shared" si="166"/>
        <v>0</v>
      </c>
      <c r="AY201" s="1">
        <f t="shared" si="166"/>
        <v>0</v>
      </c>
      <c r="AZ201" s="1">
        <f t="shared" si="166"/>
        <v>0</v>
      </c>
      <c r="BA201" s="1">
        <f t="shared" si="166"/>
        <v>0</v>
      </c>
    </row>
    <row r="202" spans="1:54" x14ac:dyDescent="0.35"/>
    <row r="203" spans="1:54" ht="15.75" customHeight="1" thickBot="1" x14ac:dyDescent="0.4">
      <c r="A203" s="44" t="s">
        <v>59</v>
      </c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5"/>
    </row>
    <row r="204" spans="1:54" ht="15" thickTop="1" x14ac:dyDescent="0.35"/>
    <row r="205" spans="1:54" ht="15.75" customHeight="1" x14ac:dyDescent="0.35">
      <c r="C205" s="2" t="s">
        <v>104</v>
      </c>
      <c r="D205" s="5"/>
      <c r="E205" s="5"/>
      <c r="F205" s="5"/>
      <c r="G205" s="5"/>
      <c r="H205" s="5"/>
      <c r="I205" s="5"/>
      <c r="J205" s="5"/>
      <c r="K205" s="5"/>
      <c r="L205" s="5"/>
      <c r="N205" s="1">
        <f>SUM(Q205:BA205)</f>
        <v>0</v>
      </c>
      <c r="Q205" s="1">
        <f t="shared" ref="Q205:BA205" si="167">-Q113</f>
        <v>0</v>
      </c>
      <c r="R205" s="1">
        <f t="shared" si="167"/>
        <v>0</v>
      </c>
      <c r="S205" s="1">
        <f t="shared" si="167"/>
        <v>0</v>
      </c>
      <c r="T205" s="1">
        <f t="shared" si="167"/>
        <v>0</v>
      </c>
      <c r="U205" s="1">
        <f t="shared" si="167"/>
        <v>0</v>
      </c>
      <c r="V205" s="1">
        <f t="shared" si="167"/>
        <v>0</v>
      </c>
      <c r="W205" s="1">
        <f t="shared" si="167"/>
        <v>0</v>
      </c>
      <c r="X205" s="1">
        <f t="shared" si="167"/>
        <v>0</v>
      </c>
      <c r="Y205" s="1">
        <f t="shared" si="167"/>
        <v>0</v>
      </c>
      <c r="Z205" s="1">
        <f t="shared" si="167"/>
        <v>0</v>
      </c>
      <c r="AA205" s="1">
        <f t="shared" si="167"/>
        <v>0</v>
      </c>
      <c r="AB205" s="1">
        <f t="shared" si="167"/>
        <v>0</v>
      </c>
      <c r="AC205" s="1">
        <f t="shared" si="167"/>
        <v>0</v>
      </c>
      <c r="AD205" s="1">
        <f t="shared" si="167"/>
        <v>0</v>
      </c>
      <c r="AE205" s="1">
        <f t="shared" si="167"/>
        <v>0</v>
      </c>
      <c r="AF205" s="1">
        <f t="shared" si="167"/>
        <v>0</v>
      </c>
      <c r="AG205" s="1">
        <f t="shared" si="167"/>
        <v>0</v>
      </c>
      <c r="AH205" s="1">
        <f t="shared" si="167"/>
        <v>0</v>
      </c>
      <c r="AI205" s="1">
        <f t="shared" si="167"/>
        <v>0</v>
      </c>
      <c r="AJ205" s="1">
        <f t="shared" si="167"/>
        <v>0</v>
      </c>
      <c r="AK205" s="1">
        <f t="shared" si="167"/>
        <v>0</v>
      </c>
      <c r="AL205" s="1">
        <f t="shared" si="167"/>
        <v>0</v>
      </c>
      <c r="AM205" s="1">
        <f t="shared" si="167"/>
        <v>0</v>
      </c>
      <c r="AN205" s="1">
        <f t="shared" si="167"/>
        <v>0</v>
      </c>
      <c r="AO205" s="1">
        <f t="shared" si="167"/>
        <v>0</v>
      </c>
      <c r="AP205" s="1">
        <f t="shared" si="167"/>
        <v>0</v>
      </c>
      <c r="AQ205" s="1">
        <f t="shared" si="167"/>
        <v>0</v>
      </c>
      <c r="AR205" s="1">
        <f t="shared" si="167"/>
        <v>0</v>
      </c>
      <c r="AS205" s="1">
        <f t="shared" si="167"/>
        <v>0</v>
      </c>
      <c r="AT205" s="1">
        <f t="shared" si="167"/>
        <v>0</v>
      </c>
      <c r="AU205" s="1">
        <f t="shared" si="167"/>
        <v>0</v>
      </c>
      <c r="AV205" s="1">
        <f t="shared" si="167"/>
        <v>0</v>
      </c>
      <c r="AW205" s="1">
        <f t="shared" si="167"/>
        <v>0</v>
      </c>
      <c r="AX205" s="1">
        <f t="shared" si="167"/>
        <v>0</v>
      </c>
      <c r="AY205" s="1">
        <f t="shared" si="167"/>
        <v>0</v>
      </c>
      <c r="AZ205" s="1">
        <f t="shared" si="167"/>
        <v>0</v>
      </c>
      <c r="BA205" s="1">
        <f t="shared" si="167"/>
        <v>0</v>
      </c>
    </row>
    <row r="206" spans="1:54" ht="15.75" customHeight="1" x14ac:dyDescent="0.35">
      <c r="C206" s="2" t="s">
        <v>21</v>
      </c>
      <c r="D206" s="5"/>
      <c r="E206" s="5"/>
      <c r="F206" s="5"/>
      <c r="G206" s="5"/>
      <c r="H206" s="5"/>
      <c r="I206" s="5"/>
      <c r="J206" s="5"/>
      <c r="K206" s="5"/>
      <c r="L206" s="5"/>
      <c r="N206" s="1">
        <f>SUM(Q206:BA206)</f>
        <v>0</v>
      </c>
      <c r="Q206" s="1">
        <f t="shared" ref="Q206:BA206" si="168">-Q194</f>
        <v>0</v>
      </c>
      <c r="R206" s="1">
        <f t="shared" si="168"/>
        <v>0</v>
      </c>
      <c r="S206" s="1">
        <f t="shared" si="168"/>
        <v>0</v>
      </c>
      <c r="T206" s="1">
        <f t="shared" si="168"/>
        <v>0</v>
      </c>
      <c r="U206" s="1">
        <f t="shared" si="168"/>
        <v>0</v>
      </c>
      <c r="V206" s="1">
        <f t="shared" si="168"/>
        <v>0</v>
      </c>
      <c r="W206" s="1">
        <f t="shared" si="168"/>
        <v>0</v>
      </c>
      <c r="X206" s="1">
        <f t="shared" si="168"/>
        <v>0</v>
      </c>
      <c r="Y206" s="1">
        <f t="shared" si="168"/>
        <v>0</v>
      </c>
      <c r="Z206" s="1">
        <f t="shared" si="168"/>
        <v>0</v>
      </c>
      <c r="AA206" s="1">
        <f t="shared" si="168"/>
        <v>0</v>
      </c>
      <c r="AB206" s="1">
        <f t="shared" si="168"/>
        <v>0</v>
      </c>
      <c r="AC206" s="1">
        <f t="shared" si="168"/>
        <v>0</v>
      </c>
      <c r="AD206" s="1">
        <f t="shared" si="168"/>
        <v>0</v>
      </c>
      <c r="AE206" s="1">
        <f t="shared" si="168"/>
        <v>0</v>
      </c>
      <c r="AF206" s="1">
        <f t="shared" si="168"/>
        <v>0</v>
      </c>
      <c r="AG206" s="1">
        <f t="shared" si="168"/>
        <v>0</v>
      </c>
      <c r="AH206" s="1">
        <f t="shared" si="168"/>
        <v>0</v>
      </c>
      <c r="AI206" s="1">
        <f t="shared" si="168"/>
        <v>0</v>
      </c>
      <c r="AJ206" s="1">
        <f t="shared" si="168"/>
        <v>0</v>
      </c>
      <c r="AK206" s="1">
        <f t="shared" si="168"/>
        <v>0</v>
      </c>
      <c r="AL206" s="1">
        <f t="shared" si="168"/>
        <v>0</v>
      </c>
      <c r="AM206" s="1">
        <f t="shared" si="168"/>
        <v>0</v>
      </c>
      <c r="AN206" s="1">
        <f t="shared" si="168"/>
        <v>0</v>
      </c>
      <c r="AO206" s="1">
        <f t="shared" si="168"/>
        <v>0</v>
      </c>
      <c r="AP206" s="1">
        <f t="shared" si="168"/>
        <v>0</v>
      </c>
      <c r="AQ206" s="1">
        <f t="shared" si="168"/>
        <v>0</v>
      </c>
      <c r="AR206" s="1">
        <f t="shared" si="168"/>
        <v>0</v>
      </c>
      <c r="AS206" s="1">
        <f t="shared" si="168"/>
        <v>0</v>
      </c>
      <c r="AT206" s="1">
        <f t="shared" si="168"/>
        <v>0</v>
      </c>
      <c r="AU206" s="1">
        <f t="shared" si="168"/>
        <v>0</v>
      </c>
      <c r="AV206" s="1">
        <f t="shared" si="168"/>
        <v>0</v>
      </c>
      <c r="AW206" s="1">
        <f t="shared" si="168"/>
        <v>0</v>
      </c>
      <c r="AX206" s="1">
        <f t="shared" si="168"/>
        <v>0</v>
      </c>
      <c r="AY206" s="1">
        <f t="shared" si="168"/>
        <v>0</v>
      </c>
      <c r="AZ206" s="1">
        <f t="shared" si="168"/>
        <v>0</v>
      </c>
      <c r="BA206" s="1">
        <f t="shared" si="168"/>
        <v>0</v>
      </c>
    </row>
    <row r="207" spans="1:54" ht="15.75" customHeight="1" x14ac:dyDescent="0.35">
      <c r="B207" s="8"/>
      <c r="C207" s="8" t="s">
        <v>57</v>
      </c>
      <c r="D207" s="9"/>
      <c r="E207" s="9"/>
      <c r="F207" s="9"/>
      <c r="G207" s="9"/>
      <c r="H207" s="9"/>
      <c r="I207" s="9"/>
      <c r="J207" s="9"/>
      <c r="K207" s="9"/>
      <c r="L207" s="9"/>
      <c r="M207" s="8"/>
      <c r="N207" s="10">
        <f>SUM(Q207:BA207)</f>
        <v>0</v>
      </c>
      <c r="O207" s="8"/>
      <c r="P207" s="8"/>
      <c r="Q207" s="10">
        <f t="shared" ref="Q207:BA207" si="169">-Q116</f>
        <v>0</v>
      </c>
      <c r="R207" s="10">
        <f t="shared" si="169"/>
        <v>0</v>
      </c>
      <c r="S207" s="10">
        <f t="shared" si="169"/>
        <v>0</v>
      </c>
      <c r="T207" s="10">
        <f t="shared" si="169"/>
        <v>0</v>
      </c>
      <c r="U207" s="10">
        <f t="shared" si="169"/>
        <v>0</v>
      </c>
      <c r="V207" s="10">
        <f t="shared" si="169"/>
        <v>0</v>
      </c>
      <c r="W207" s="10">
        <f t="shared" si="169"/>
        <v>0</v>
      </c>
      <c r="X207" s="10">
        <f t="shared" si="169"/>
        <v>0</v>
      </c>
      <c r="Y207" s="10">
        <f t="shared" si="169"/>
        <v>0</v>
      </c>
      <c r="Z207" s="10">
        <f t="shared" si="169"/>
        <v>0</v>
      </c>
      <c r="AA207" s="10">
        <f t="shared" si="169"/>
        <v>0</v>
      </c>
      <c r="AB207" s="10">
        <f t="shared" si="169"/>
        <v>0</v>
      </c>
      <c r="AC207" s="10">
        <f t="shared" si="169"/>
        <v>0</v>
      </c>
      <c r="AD207" s="10">
        <f t="shared" si="169"/>
        <v>0</v>
      </c>
      <c r="AE207" s="10">
        <f t="shared" si="169"/>
        <v>0</v>
      </c>
      <c r="AF207" s="10">
        <f t="shared" si="169"/>
        <v>0</v>
      </c>
      <c r="AG207" s="10">
        <f t="shared" si="169"/>
        <v>0</v>
      </c>
      <c r="AH207" s="10">
        <f t="shared" si="169"/>
        <v>0</v>
      </c>
      <c r="AI207" s="10">
        <f t="shared" si="169"/>
        <v>0</v>
      </c>
      <c r="AJ207" s="10">
        <f t="shared" si="169"/>
        <v>0</v>
      </c>
      <c r="AK207" s="10">
        <f t="shared" si="169"/>
        <v>0</v>
      </c>
      <c r="AL207" s="10">
        <f t="shared" si="169"/>
        <v>0</v>
      </c>
      <c r="AM207" s="10">
        <f t="shared" si="169"/>
        <v>0</v>
      </c>
      <c r="AN207" s="10">
        <f t="shared" si="169"/>
        <v>0</v>
      </c>
      <c r="AO207" s="10">
        <f t="shared" si="169"/>
        <v>0</v>
      </c>
      <c r="AP207" s="10">
        <f t="shared" si="169"/>
        <v>0</v>
      </c>
      <c r="AQ207" s="10">
        <f t="shared" si="169"/>
        <v>0</v>
      </c>
      <c r="AR207" s="10">
        <f t="shared" si="169"/>
        <v>0</v>
      </c>
      <c r="AS207" s="10">
        <f t="shared" si="169"/>
        <v>0</v>
      </c>
      <c r="AT207" s="10">
        <f t="shared" si="169"/>
        <v>0</v>
      </c>
      <c r="AU207" s="10">
        <f t="shared" si="169"/>
        <v>0</v>
      </c>
      <c r="AV207" s="10">
        <f t="shared" si="169"/>
        <v>0</v>
      </c>
      <c r="AW207" s="10">
        <f t="shared" si="169"/>
        <v>0</v>
      </c>
      <c r="AX207" s="10">
        <f t="shared" si="169"/>
        <v>0</v>
      </c>
      <c r="AY207" s="10">
        <f t="shared" si="169"/>
        <v>0</v>
      </c>
      <c r="AZ207" s="10">
        <f t="shared" si="169"/>
        <v>0</v>
      </c>
      <c r="BA207" s="10">
        <f t="shared" si="169"/>
        <v>0</v>
      </c>
    </row>
    <row r="208" spans="1:54" ht="15.75" customHeight="1" x14ac:dyDescent="0.35">
      <c r="B208" s="2" t="s">
        <v>22</v>
      </c>
      <c r="D208" s="5"/>
      <c r="E208" s="5"/>
      <c r="F208" s="5"/>
      <c r="G208" s="5"/>
      <c r="H208" s="5"/>
      <c r="I208" s="5"/>
      <c r="J208" s="5"/>
      <c r="K208" s="5"/>
      <c r="L208" s="5"/>
      <c r="N208" s="11">
        <f>SUM(Q208:BA208)</f>
        <v>0</v>
      </c>
      <c r="Q208" s="11">
        <f t="shared" ref="Q208:BA208" si="170">SUM(Q205:Q207)</f>
        <v>0</v>
      </c>
      <c r="R208" s="11">
        <f t="shared" si="170"/>
        <v>0</v>
      </c>
      <c r="S208" s="11">
        <f t="shared" si="170"/>
        <v>0</v>
      </c>
      <c r="T208" s="11">
        <f t="shared" si="170"/>
        <v>0</v>
      </c>
      <c r="U208" s="11">
        <f t="shared" si="170"/>
        <v>0</v>
      </c>
      <c r="V208" s="11">
        <f t="shared" si="170"/>
        <v>0</v>
      </c>
      <c r="W208" s="11">
        <f t="shared" si="170"/>
        <v>0</v>
      </c>
      <c r="X208" s="11">
        <f t="shared" si="170"/>
        <v>0</v>
      </c>
      <c r="Y208" s="11">
        <f t="shared" si="170"/>
        <v>0</v>
      </c>
      <c r="Z208" s="11">
        <f t="shared" si="170"/>
        <v>0</v>
      </c>
      <c r="AA208" s="11">
        <f t="shared" si="170"/>
        <v>0</v>
      </c>
      <c r="AB208" s="11">
        <f t="shared" si="170"/>
        <v>0</v>
      </c>
      <c r="AC208" s="11">
        <f t="shared" si="170"/>
        <v>0</v>
      </c>
      <c r="AD208" s="11">
        <f t="shared" si="170"/>
        <v>0</v>
      </c>
      <c r="AE208" s="11">
        <f t="shared" si="170"/>
        <v>0</v>
      </c>
      <c r="AF208" s="11">
        <f t="shared" si="170"/>
        <v>0</v>
      </c>
      <c r="AG208" s="11">
        <f t="shared" si="170"/>
        <v>0</v>
      </c>
      <c r="AH208" s="11">
        <f t="shared" si="170"/>
        <v>0</v>
      </c>
      <c r="AI208" s="11">
        <f t="shared" si="170"/>
        <v>0</v>
      </c>
      <c r="AJ208" s="11">
        <f t="shared" si="170"/>
        <v>0</v>
      </c>
      <c r="AK208" s="11">
        <f t="shared" si="170"/>
        <v>0</v>
      </c>
      <c r="AL208" s="11">
        <f t="shared" si="170"/>
        <v>0</v>
      </c>
      <c r="AM208" s="11">
        <f t="shared" si="170"/>
        <v>0</v>
      </c>
      <c r="AN208" s="11">
        <f t="shared" si="170"/>
        <v>0</v>
      </c>
      <c r="AO208" s="11">
        <f t="shared" si="170"/>
        <v>0</v>
      </c>
      <c r="AP208" s="11">
        <f t="shared" si="170"/>
        <v>0</v>
      </c>
      <c r="AQ208" s="11">
        <f t="shared" si="170"/>
        <v>0</v>
      </c>
      <c r="AR208" s="11">
        <f t="shared" si="170"/>
        <v>0</v>
      </c>
      <c r="AS208" s="11">
        <f t="shared" si="170"/>
        <v>0</v>
      </c>
      <c r="AT208" s="11">
        <f t="shared" si="170"/>
        <v>0</v>
      </c>
      <c r="AU208" s="11">
        <f t="shared" si="170"/>
        <v>0</v>
      </c>
      <c r="AV208" s="11">
        <f t="shared" si="170"/>
        <v>0</v>
      </c>
      <c r="AW208" s="11">
        <f t="shared" si="170"/>
        <v>0</v>
      </c>
      <c r="AX208" s="11">
        <f t="shared" si="170"/>
        <v>0</v>
      </c>
      <c r="AY208" s="11">
        <f t="shared" si="170"/>
        <v>0</v>
      </c>
      <c r="AZ208" s="11">
        <f t="shared" si="170"/>
        <v>0</v>
      </c>
      <c r="BA208" s="11">
        <f t="shared" si="170"/>
        <v>0</v>
      </c>
    </row>
    <row r="209" spans="2:14" x14ac:dyDescent="0.35"/>
    <row r="210" spans="2:14" ht="15.75" customHeight="1" x14ac:dyDescent="0.35">
      <c r="B210" s="2" t="s">
        <v>58</v>
      </c>
      <c r="D210" s="5"/>
      <c r="E210" s="5"/>
      <c r="F210" s="5"/>
      <c r="G210" s="5"/>
      <c r="H210" s="5"/>
      <c r="I210" s="5"/>
      <c r="J210" s="5"/>
      <c r="K210" s="5"/>
      <c r="L210" s="5"/>
      <c r="N210" s="12">
        <f>IFERROR(IRR(Q208:BA208),0)</f>
        <v>0</v>
      </c>
    </row>
    <row r="211" spans="2:14" x14ac:dyDescent="0.35"/>
  </sheetData>
  <sheetProtection algorithmName="SHA-512" hashValue="WkQM8CDAATc+yqAjLBx2JD3VClVmMcy408M3/QkWeyczFmrmwnS7JWF2/5R9X5ocrxPSn/9XYZ1dYBxTDWro3w==" saltValue="yU8H0hJ+SyQ/7ZO7P1sGD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19297-070E-452E-87D0-818819BC9093}">
  <sheetPr codeName="Sheet6">
    <tabColor rgb="FF475493"/>
  </sheetPr>
  <dimension ref="A1:BB211"/>
  <sheetViews>
    <sheetView zoomScale="70" zoomScaleNormal="70" workbookViewId="0">
      <pane xSplit="15" ySplit="2" topLeftCell="P3" activePane="bottomRight" state="frozen"/>
      <selection activeCell="L41" sqref="L41"/>
      <selection pane="topRight" activeCell="L41" sqref="L41"/>
      <selection pane="bottomLeft" activeCell="L41" sqref="L41"/>
      <selection pane="bottomRight"/>
    </sheetView>
  </sheetViews>
  <sheetFormatPr defaultColWidth="0" defaultRowHeight="14.5" zeroHeight="1" outlineLevelRow="1" x14ac:dyDescent="0.35"/>
  <cols>
    <col min="1" max="1" width="2.81640625" style="2" customWidth="1"/>
    <col min="2" max="2" width="1.81640625" style="2" customWidth="1"/>
    <col min="3" max="5" width="3.453125" style="2" customWidth="1"/>
    <col min="6" max="11" width="9.1796875" style="2" customWidth="1"/>
    <col min="12" max="12" width="15.1796875" style="2" customWidth="1"/>
    <col min="13" max="13" width="12.81640625" style="2" bestFit="1" customWidth="1"/>
    <col min="14" max="14" width="16" style="2" customWidth="1"/>
    <col min="15" max="15" width="3.26953125" style="2" customWidth="1"/>
    <col min="16" max="16" width="9.1796875" style="2" customWidth="1"/>
    <col min="17" max="53" width="14.7265625" style="2" customWidth="1"/>
    <col min="54" max="54" width="0" hidden="1" customWidth="1"/>
    <col min="55" max="16384" width="9.1796875" hidden="1"/>
  </cols>
  <sheetData>
    <row r="1" spans="1:54" ht="15.75" customHeight="1" x14ac:dyDescent="0.35">
      <c r="A1" s="32" t="s">
        <v>191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 t="s">
        <v>0</v>
      </c>
      <c r="N1" s="35"/>
      <c r="O1" s="35"/>
      <c r="P1" s="35"/>
      <c r="Q1" s="35">
        <f>'zakładka techniczna'!Q1</f>
        <v>2024</v>
      </c>
      <c r="R1" s="35">
        <f>'zakładka techniczna'!R1</f>
        <v>2025</v>
      </c>
      <c r="S1" s="35">
        <f>'zakładka techniczna'!S1</f>
        <v>2026</v>
      </c>
      <c r="T1" s="35">
        <f>'zakładka techniczna'!T1</f>
        <v>2027</v>
      </c>
      <c r="U1" s="35">
        <f>'zakładka techniczna'!U1</f>
        <v>2028</v>
      </c>
      <c r="V1" s="35">
        <f>'zakładka techniczna'!V1</f>
        <v>2029</v>
      </c>
      <c r="W1" s="35">
        <f>'zakładka techniczna'!W1</f>
        <v>2030</v>
      </c>
      <c r="X1" s="35">
        <f>'zakładka techniczna'!X1</f>
        <v>2031</v>
      </c>
      <c r="Y1" s="35">
        <f>'zakładka techniczna'!Y1</f>
        <v>2032</v>
      </c>
      <c r="Z1" s="35">
        <f>'zakładka techniczna'!Z1</f>
        <v>2033</v>
      </c>
      <c r="AA1" s="35">
        <f>'zakładka techniczna'!AA1</f>
        <v>2034</v>
      </c>
      <c r="AB1" s="35">
        <f>'zakładka techniczna'!AB1</f>
        <v>2035</v>
      </c>
      <c r="AC1" s="35">
        <f>'zakładka techniczna'!AC1</f>
        <v>2036</v>
      </c>
      <c r="AD1" s="35">
        <f>'zakładka techniczna'!AD1</f>
        <v>2037</v>
      </c>
      <c r="AE1" s="35">
        <f>'zakładka techniczna'!AE1</f>
        <v>2038</v>
      </c>
      <c r="AF1" s="35">
        <f>'zakładka techniczna'!AF1</f>
        <v>2039</v>
      </c>
      <c r="AG1" s="35">
        <f>'zakładka techniczna'!AG1</f>
        <v>2040</v>
      </c>
      <c r="AH1" s="35">
        <f>'zakładka techniczna'!AH1</f>
        <v>2041</v>
      </c>
      <c r="AI1" s="35">
        <f>'zakładka techniczna'!AI1</f>
        <v>2042</v>
      </c>
      <c r="AJ1" s="35">
        <f>'zakładka techniczna'!AJ1</f>
        <v>2043</v>
      </c>
      <c r="AK1" s="35">
        <f>'zakładka techniczna'!AK1</f>
        <v>2044</v>
      </c>
      <c r="AL1" s="35">
        <f>'zakładka techniczna'!AL1</f>
        <v>2045</v>
      </c>
      <c r="AM1" s="35">
        <f>'zakładka techniczna'!AM1</f>
        <v>2046</v>
      </c>
      <c r="AN1" s="35">
        <f>'zakładka techniczna'!AN1</f>
        <v>2047</v>
      </c>
      <c r="AO1" s="35">
        <f>'zakładka techniczna'!AO1</f>
        <v>2048</v>
      </c>
      <c r="AP1" s="35">
        <f>'zakładka techniczna'!AP1</f>
        <v>2049</v>
      </c>
      <c r="AQ1" s="35">
        <f>'zakładka techniczna'!AQ1</f>
        <v>2050</v>
      </c>
      <c r="AR1" s="35">
        <f>'zakładka techniczna'!AR1</f>
        <v>2051</v>
      </c>
      <c r="AS1" s="35">
        <f>'zakładka techniczna'!AS1</f>
        <v>2052</v>
      </c>
      <c r="AT1" s="35">
        <f>'zakładka techniczna'!AT1</f>
        <v>2053</v>
      </c>
      <c r="AU1" s="35">
        <f>'zakładka techniczna'!AU1</f>
        <v>2054</v>
      </c>
      <c r="AV1" s="35">
        <f>'zakładka techniczna'!AV1</f>
        <v>2055</v>
      </c>
      <c r="AW1" s="35">
        <f>'zakładka techniczna'!AW1</f>
        <v>2056</v>
      </c>
      <c r="AX1" s="35">
        <f>'zakładka techniczna'!AX1</f>
        <v>2057</v>
      </c>
      <c r="AY1" s="35">
        <f>'zakładka techniczna'!AY1</f>
        <v>2058</v>
      </c>
      <c r="AZ1" s="35">
        <f>'zakładka techniczna'!AZ1</f>
        <v>2059</v>
      </c>
      <c r="BA1" s="35">
        <f>'zakładka techniczna'!BA1</f>
        <v>2060</v>
      </c>
      <c r="BB1" s="42"/>
    </row>
    <row r="2" spans="1:54" ht="15.75" customHeight="1" collapsed="1" x14ac:dyDescent="0.35">
      <c r="A2" s="32" t="s">
        <v>129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 t="s">
        <v>112</v>
      </c>
      <c r="N2" s="66" t="str">
        <f>Założenia!$I$7</f>
        <v>PLN</v>
      </c>
      <c r="O2" s="33"/>
      <c r="P2" s="35"/>
      <c r="Q2" s="41" t="str">
        <f>'zakładka techniczna'!Q68</f>
        <v/>
      </c>
      <c r="R2" s="41" t="str">
        <f>'zakładka techniczna'!R68</f>
        <v>Projektowanie</v>
      </c>
      <c r="S2" s="41" t="str">
        <f>'zakładka techniczna'!S68</f>
        <v>Budowa</v>
      </c>
      <c r="T2" s="41" t="str">
        <f>'zakładka techniczna'!T68</f>
        <v>Eksploatacja</v>
      </c>
      <c r="U2" s="41" t="str">
        <f>'zakładka techniczna'!U68</f>
        <v/>
      </c>
      <c r="V2" s="41" t="str">
        <f>'zakładka techniczna'!V68</f>
        <v/>
      </c>
      <c r="W2" s="41" t="str">
        <f>'zakładka techniczna'!W68</f>
        <v/>
      </c>
      <c r="X2" s="41" t="str">
        <f>'zakładka techniczna'!X68</f>
        <v/>
      </c>
      <c r="Y2" s="41" t="str">
        <f>'zakładka techniczna'!Y68</f>
        <v/>
      </c>
      <c r="Z2" s="41" t="str">
        <f>'zakładka techniczna'!Z68</f>
        <v/>
      </c>
      <c r="AA2" s="41" t="str">
        <f>'zakładka techniczna'!AA68</f>
        <v/>
      </c>
      <c r="AB2" s="41" t="str">
        <f>'zakładka techniczna'!AB68</f>
        <v/>
      </c>
      <c r="AC2" s="41" t="str">
        <f>'zakładka techniczna'!AC68</f>
        <v/>
      </c>
      <c r="AD2" s="41" t="str">
        <f>'zakładka techniczna'!AD68</f>
        <v/>
      </c>
      <c r="AE2" s="41" t="str">
        <f>'zakładka techniczna'!AE68</f>
        <v/>
      </c>
      <c r="AF2" s="41" t="str">
        <f>'zakładka techniczna'!AF68</f>
        <v/>
      </c>
      <c r="AG2" s="41" t="str">
        <f>'zakładka techniczna'!AG68</f>
        <v/>
      </c>
      <c r="AH2" s="41" t="str">
        <f>'zakładka techniczna'!AH68</f>
        <v/>
      </c>
      <c r="AI2" s="41" t="str">
        <f>'zakładka techniczna'!AI68</f>
        <v/>
      </c>
      <c r="AJ2" s="41" t="str">
        <f>'zakładka techniczna'!AJ68</f>
        <v/>
      </c>
      <c r="AK2" s="41" t="str">
        <f>'zakładka techniczna'!AK68</f>
        <v/>
      </c>
      <c r="AL2" s="41" t="str">
        <f>'zakładka techniczna'!AL68</f>
        <v/>
      </c>
      <c r="AM2" s="41" t="str">
        <f>'zakładka techniczna'!AM68</f>
        <v/>
      </c>
      <c r="AN2" s="41" t="str">
        <f>'zakładka techniczna'!AN68</f>
        <v/>
      </c>
      <c r="AO2" s="41" t="str">
        <f>'zakładka techniczna'!AO68</f>
        <v/>
      </c>
      <c r="AP2" s="41" t="str">
        <f>'zakładka techniczna'!AP68</f>
        <v/>
      </c>
      <c r="AQ2" s="41" t="str">
        <f>'zakładka techniczna'!AQ68</f>
        <v/>
      </c>
      <c r="AR2" s="41" t="str">
        <f>'zakładka techniczna'!AR68</f>
        <v/>
      </c>
      <c r="AS2" s="41" t="str">
        <f>'zakładka techniczna'!AS68</f>
        <v/>
      </c>
      <c r="AT2" s="41" t="str">
        <f>'zakładka techniczna'!AT68</f>
        <v/>
      </c>
      <c r="AU2" s="41" t="str">
        <f>'zakładka techniczna'!AU68</f>
        <v/>
      </c>
      <c r="AV2" s="41" t="str">
        <f>'zakładka techniczna'!AV68</f>
        <v/>
      </c>
      <c r="AW2" s="41" t="str">
        <f>'zakładka techniczna'!AW68</f>
        <v/>
      </c>
      <c r="AX2" s="41" t="str">
        <f>'zakładka techniczna'!AX68</f>
        <v/>
      </c>
      <c r="AY2" s="41" t="str">
        <f>'zakładka techniczna'!AY68</f>
        <v/>
      </c>
      <c r="AZ2" s="41" t="str">
        <f>'zakładka techniczna'!AZ68</f>
        <v/>
      </c>
      <c r="BA2" s="41" t="str">
        <f>'zakładka techniczna'!BA68</f>
        <v/>
      </c>
      <c r="BB2" s="43"/>
    </row>
    <row r="3" spans="1:54" x14ac:dyDescent="0.35"/>
    <row r="4" spans="1:54" ht="15" thickBot="1" x14ac:dyDescent="0.4">
      <c r="A4" s="44" t="s">
        <v>62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5"/>
    </row>
    <row r="5" spans="1:54" ht="15" thickTop="1" x14ac:dyDescent="0.35"/>
    <row r="6" spans="1:54" ht="15.75" customHeight="1" x14ac:dyDescent="0.35">
      <c r="A6" s="3" t="s">
        <v>4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4">
        <f>SUM(Q6:BA6)</f>
        <v>0</v>
      </c>
      <c r="O6" s="3"/>
      <c r="P6" s="3"/>
      <c r="Q6" s="4">
        <f t="shared" ref="Q6:BA6" si="0">SUM(Q7:Q9)</f>
        <v>0</v>
      </c>
      <c r="R6" s="4">
        <f t="shared" si="0"/>
        <v>0</v>
      </c>
      <c r="S6" s="4">
        <f t="shared" si="0"/>
        <v>0</v>
      </c>
      <c r="T6" s="4">
        <f t="shared" si="0"/>
        <v>0</v>
      </c>
      <c r="U6" s="4">
        <f t="shared" si="0"/>
        <v>0</v>
      </c>
      <c r="V6" s="4">
        <f t="shared" si="0"/>
        <v>0</v>
      </c>
      <c r="W6" s="4">
        <f t="shared" si="0"/>
        <v>0</v>
      </c>
      <c r="X6" s="4">
        <f t="shared" si="0"/>
        <v>0</v>
      </c>
      <c r="Y6" s="4">
        <f t="shared" si="0"/>
        <v>0</v>
      </c>
      <c r="Z6" s="4">
        <f t="shared" si="0"/>
        <v>0</v>
      </c>
      <c r="AA6" s="4">
        <f t="shared" si="0"/>
        <v>0</v>
      </c>
      <c r="AB6" s="4">
        <f t="shared" si="0"/>
        <v>0</v>
      </c>
      <c r="AC6" s="4">
        <f t="shared" si="0"/>
        <v>0</v>
      </c>
      <c r="AD6" s="4">
        <f t="shared" si="0"/>
        <v>0</v>
      </c>
      <c r="AE6" s="4">
        <f t="shared" si="0"/>
        <v>0</v>
      </c>
      <c r="AF6" s="4">
        <f t="shared" si="0"/>
        <v>0</v>
      </c>
      <c r="AG6" s="4">
        <f t="shared" si="0"/>
        <v>0</v>
      </c>
      <c r="AH6" s="4">
        <f t="shared" si="0"/>
        <v>0</v>
      </c>
      <c r="AI6" s="4">
        <f t="shared" si="0"/>
        <v>0</v>
      </c>
      <c r="AJ6" s="4">
        <f t="shared" si="0"/>
        <v>0</v>
      </c>
      <c r="AK6" s="4">
        <f t="shared" si="0"/>
        <v>0</v>
      </c>
      <c r="AL6" s="4">
        <f t="shared" si="0"/>
        <v>0</v>
      </c>
      <c r="AM6" s="4">
        <f t="shared" si="0"/>
        <v>0</v>
      </c>
      <c r="AN6" s="4">
        <f t="shared" si="0"/>
        <v>0</v>
      </c>
      <c r="AO6" s="4">
        <f t="shared" si="0"/>
        <v>0</v>
      </c>
      <c r="AP6" s="4">
        <f t="shared" si="0"/>
        <v>0</v>
      </c>
      <c r="AQ6" s="4">
        <f t="shared" si="0"/>
        <v>0</v>
      </c>
      <c r="AR6" s="4">
        <f t="shared" si="0"/>
        <v>0</v>
      </c>
      <c r="AS6" s="4">
        <f t="shared" si="0"/>
        <v>0</v>
      </c>
      <c r="AT6" s="4">
        <f t="shared" si="0"/>
        <v>0</v>
      </c>
      <c r="AU6" s="4">
        <f t="shared" si="0"/>
        <v>0</v>
      </c>
      <c r="AV6" s="4">
        <f t="shared" si="0"/>
        <v>0</v>
      </c>
      <c r="AW6" s="4">
        <f t="shared" si="0"/>
        <v>0</v>
      </c>
      <c r="AX6" s="4">
        <f t="shared" si="0"/>
        <v>0</v>
      </c>
      <c r="AY6" s="4">
        <f t="shared" si="0"/>
        <v>0</v>
      </c>
      <c r="AZ6" s="4">
        <f t="shared" si="0"/>
        <v>0</v>
      </c>
      <c r="BA6" s="4">
        <f t="shared" si="0"/>
        <v>0</v>
      </c>
    </row>
    <row r="7" spans="1:54" ht="15.75" customHeight="1" x14ac:dyDescent="0.35">
      <c r="A7" s="5"/>
      <c r="B7" s="5" t="s">
        <v>1</v>
      </c>
      <c r="C7" s="5"/>
      <c r="D7" s="5"/>
      <c r="E7" s="5"/>
      <c r="F7" s="5"/>
      <c r="G7" s="5"/>
      <c r="H7" s="5"/>
      <c r="I7" s="5"/>
      <c r="J7" s="5"/>
      <c r="K7" s="5"/>
      <c r="L7" s="5"/>
      <c r="N7" s="1">
        <f>SUM(Q7:BA7)</f>
        <v>0</v>
      </c>
      <c r="O7" s="5"/>
      <c r="Q7" s="1">
        <f>SUM($Q$66:Q66)*OBk.w2</f>
        <v>0</v>
      </c>
      <c r="R7" s="1">
        <f>SUM($Q$66:R66)*OBk.w2</f>
        <v>0</v>
      </c>
      <c r="S7" s="1">
        <f>SUM($Q$66:S66)*OBk.w2</f>
        <v>0</v>
      </c>
      <c r="T7" s="1">
        <f>SUM($Q$66:T66)*OBk.w2</f>
        <v>0</v>
      </c>
      <c r="U7" s="1">
        <f>SUM($Q$66:U66)*OBk.w2</f>
        <v>0</v>
      </c>
      <c r="V7" s="1">
        <f>SUM($Q$66:V66)*OBk.w2</f>
        <v>0</v>
      </c>
      <c r="W7" s="1">
        <f>SUM($Q$66:W66)*OBk.w2</f>
        <v>0</v>
      </c>
      <c r="X7" s="1">
        <f>SUM($Q$66:X66)*OBk.w2</f>
        <v>0</v>
      </c>
      <c r="Y7" s="1">
        <f>SUM($Q$66:Y66)*OBk.w2</f>
        <v>0</v>
      </c>
      <c r="Z7" s="1">
        <f>SUM($Q$66:Z66)*OBk.w2</f>
        <v>0</v>
      </c>
      <c r="AA7" s="1">
        <f>SUM($Q$66:AA66)*OBk.w2</f>
        <v>0</v>
      </c>
      <c r="AB7" s="1">
        <f>SUM($Q$66:AB66)*OBk.w2</f>
        <v>0</v>
      </c>
      <c r="AC7" s="1">
        <f>SUM($Q$66:AC66)*OBk.w2</f>
        <v>0</v>
      </c>
      <c r="AD7" s="1">
        <f>SUM($Q$66:AD66)*OBk.w2</f>
        <v>0</v>
      </c>
      <c r="AE7" s="1">
        <f>SUM($Q$66:AE66)*OBk.w2</f>
        <v>0</v>
      </c>
      <c r="AF7" s="1">
        <f>SUM($Q$66:AF66)*OBk.w2</f>
        <v>0</v>
      </c>
      <c r="AG7" s="1">
        <f>SUM($Q$66:AG66)*OBk.w2</f>
        <v>0</v>
      </c>
      <c r="AH7" s="1">
        <f>SUM($Q$66:AH66)*OBk.w2</f>
        <v>0</v>
      </c>
      <c r="AI7" s="1">
        <f>SUM($Q$66:AI66)*OBk.w2</f>
        <v>0</v>
      </c>
      <c r="AJ7" s="1">
        <f>SUM($Q$66:AJ66)*OBk.w2</f>
        <v>0</v>
      </c>
      <c r="AK7" s="1">
        <f>SUM($Q$66:AK66)*OBk.w2</f>
        <v>0</v>
      </c>
      <c r="AL7" s="1">
        <f>SUM($Q$66:AL66)*OBk.w2</f>
        <v>0</v>
      </c>
      <c r="AM7" s="1">
        <f>SUM($Q$66:AM66)*OBk.w2</f>
        <v>0</v>
      </c>
      <c r="AN7" s="1">
        <f>SUM($Q$66:AN66)*OBk.w2</f>
        <v>0</v>
      </c>
      <c r="AO7" s="1">
        <f>SUM($Q$66:AO66)*OBk.w2</f>
        <v>0</v>
      </c>
      <c r="AP7" s="1">
        <f>SUM($Q$66:AP66)*OBk.w2</f>
        <v>0</v>
      </c>
      <c r="AQ7" s="1">
        <f>SUM($Q$66:AQ66)*OBk.w2</f>
        <v>0</v>
      </c>
      <c r="AR7" s="1">
        <f>SUM($Q$66:AR66)*OBk.w2</f>
        <v>0</v>
      </c>
      <c r="AS7" s="1">
        <f>SUM($Q$66:AS66)*OBk.w2</f>
        <v>0</v>
      </c>
      <c r="AT7" s="1">
        <f>SUM($Q$66:AT66)*OBk.w2</f>
        <v>0</v>
      </c>
      <c r="AU7" s="1">
        <f>SUM($Q$66:AU66)*OBk.w2</f>
        <v>0</v>
      </c>
      <c r="AV7" s="1">
        <f>SUM($Q$66:AV66)*OBk.w2</f>
        <v>0</v>
      </c>
      <c r="AW7" s="1">
        <f>SUM($Q$66:AW66)*OBk.w2</f>
        <v>0</v>
      </c>
      <c r="AX7" s="1">
        <f>SUM($Q$66:AX66)*OBk.w2</f>
        <v>0</v>
      </c>
      <c r="AY7" s="1">
        <f>SUM($Q$66:AY66)*OBk.w2</f>
        <v>0</v>
      </c>
      <c r="AZ7" s="1">
        <f>SUM($Q$66:AZ66)*OBk.w2</f>
        <v>0</v>
      </c>
      <c r="BA7" s="1">
        <f>SUM($Q$66:BA66)*OBk.w2</f>
        <v>0</v>
      </c>
    </row>
    <row r="8" spans="1:54" ht="15.75" customHeight="1" x14ac:dyDescent="0.35">
      <c r="A8" s="5"/>
      <c r="B8" s="5" t="s">
        <v>3</v>
      </c>
      <c r="C8" s="5"/>
      <c r="D8" s="5"/>
      <c r="E8" s="5"/>
      <c r="F8" s="5"/>
      <c r="G8" s="5"/>
      <c r="H8" s="5"/>
      <c r="I8" s="5"/>
      <c r="J8" s="5"/>
      <c r="K8" s="5"/>
      <c r="L8" s="5"/>
      <c r="N8" s="1">
        <f>SUM(Q8:BA8)</f>
        <v>0</v>
      </c>
      <c r="O8" s="5"/>
      <c r="Q8" s="1">
        <f t="shared" ref="Q8:BA8" si="1">Q95</f>
        <v>0</v>
      </c>
      <c r="R8" s="1">
        <f t="shared" si="1"/>
        <v>0</v>
      </c>
      <c r="S8" s="1">
        <f t="shared" si="1"/>
        <v>0</v>
      </c>
      <c r="T8" s="1">
        <f t="shared" si="1"/>
        <v>0</v>
      </c>
      <c r="U8" s="1">
        <f t="shared" si="1"/>
        <v>0</v>
      </c>
      <c r="V8" s="1">
        <f t="shared" si="1"/>
        <v>0</v>
      </c>
      <c r="W8" s="1">
        <f t="shared" si="1"/>
        <v>0</v>
      </c>
      <c r="X8" s="1">
        <f t="shared" si="1"/>
        <v>0</v>
      </c>
      <c r="Y8" s="1">
        <f t="shared" si="1"/>
        <v>0</v>
      </c>
      <c r="Z8" s="1">
        <f t="shared" si="1"/>
        <v>0</v>
      </c>
      <c r="AA8" s="1">
        <f t="shared" si="1"/>
        <v>0</v>
      </c>
      <c r="AB8" s="1">
        <f t="shared" si="1"/>
        <v>0</v>
      </c>
      <c r="AC8" s="1">
        <f t="shared" si="1"/>
        <v>0</v>
      </c>
      <c r="AD8" s="1">
        <f t="shared" si="1"/>
        <v>0</v>
      </c>
      <c r="AE8" s="1">
        <f t="shared" si="1"/>
        <v>0</v>
      </c>
      <c r="AF8" s="1">
        <f t="shared" si="1"/>
        <v>0</v>
      </c>
      <c r="AG8" s="1">
        <f t="shared" si="1"/>
        <v>0</v>
      </c>
      <c r="AH8" s="1">
        <f t="shared" si="1"/>
        <v>0</v>
      </c>
      <c r="AI8" s="1">
        <f t="shared" si="1"/>
        <v>0</v>
      </c>
      <c r="AJ8" s="1">
        <f t="shared" si="1"/>
        <v>0</v>
      </c>
      <c r="AK8" s="1">
        <f t="shared" si="1"/>
        <v>0</v>
      </c>
      <c r="AL8" s="1">
        <f t="shared" si="1"/>
        <v>0</v>
      </c>
      <c r="AM8" s="1">
        <f t="shared" si="1"/>
        <v>0</v>
      </c>
      <c r="AN8" s="1">
        <f t="shared" si="1"/>
        <v>0</v>
      </c>
      <c r="AO8" s="1">
        <f t="shared" si="1"/>
        <v>0</v>
      </c>
      <c r="AP8" s="1">
        <f t="shared" si="1"/>
        <v>0</v>
      </c>
      <c r="AQ8" s="1">
        <f t="shared" si="1"/>
        <v>0</v>
      </c>
      <c r="AR8" s="1">
        <f t="shared" si="1"/>
        <v>0</v>
      </c>
      <c r="AS8" s="1">
        <f t="shared" si="1"/>
        <v>0</v>
      </c>
      <c r="AT8" s="1">
        <f t="shared" si="1"/>
        <v>0</v>
      </c>
      <c r="AU8" s="1">
        <f t="shared" si="1"/>
        <v>0</v>
      </c>
      <c r="AV8" s="1">
        <f t="shared" si="1"/>
        <v>0</v>
      </c>
      <c r="AW8" s="1">
        <f t="shared" si="1"/>
        <v>0</v>
      </c>
      <c r="AX8" s="1">
        <f t="shared" si="1"/>
        <v>0</v>
      </c>
      <c r="AY8" s="1">
        <f t="shared" si="1"/>
        <v>0</v>
      </c>
      <c r="AZ8" s="1">
        <f t="shared" si="1"/>
        <v>0</v>
      </c>
      <c r="BA8" s="1">
        <f t="shared" si="1"/>
        <v>0</v>
      </c>
    </row>
    <row r="9" spans="1:54" ht="15.75" customHeight="1" x14ac:dyDescent="0.35">
      <c r="A9" s="5"/>
      <c r="B9" s="5" t="s">
        <v>2</v>
      </c>
      <c r="C9" s="5"/>
      <c r="D9" s="5"/>
      <c r="E9" s="5"/>
      <c r="F9" s="5"/>
      <c r="G9" s="5"/>
      <c r="H9" s="5"/>
      <c r="I9" s="5"/>
      <c r="J9" s="5"/>
      <c r="K9" s="5"/>
      <c r="L9" s="5"/>
      <c r="N9" s="1">
        <f>SUM(Q9:BA9)</f>
        <v>0</v>
      </c>
      <c r="O9" s="5"/>
      <c r="Q9" s="1">
        <f t="shared" ref="Q9:BA9" si="2">Q98</f>
        <v>0</v>
      </c>
      <c r="R9" s="1">
        <f t="shared" si="2"/>
        <v>0</v>
      </c>
      <c r="S9" s="1">
        <f t="shared" si="2"/>
        <v>0</v>
      </c>
      <c r="T9" s="1">
        <f t="shared" si="2"/>
        <v>0</v>
      </c>
      <c r="U9" s="1">
        <f t="shared" si="2"/>
        <v>0</v>
      </c>
      <c r="V9" s="1">
        <f t="shared" si="2"/>
        <v>0</v>
      </c>
      <c r="W9" s="1">
        <f t="shared" si="2"/>
        <v>0</v>
      </c>
      <c r="X9" s="1">
        <f t="shared" si="2"/>
        <v>0</v>
      </c>
      <c r="Y9" s="1">
        <f t="shared" si="2"/>
        <v>0</v>
      </c>
      <c r="Z9" s="1">
        <f t="shared" si="2"/>
        <v>0</v>
      </c>
      <c r="AA9" s="1">
        <f t="shared" si="2"/>
        <v>0</v>
      </c>
      <c r="AB9" s="1">
        <f t="shared" si="2"/>
        <v>0</v>
      </c>
      <c r="AC9" s="1">
        <f t="shared" si="2"/>
        <v>0</v>
      </c>
      <c r="AD9" s="1">
        <f t="shared" si="2"/>
        <v>0</v>
      </c>
      <c r="AE9" s="1">
        <f t="shared" si="2"/>
        <v>0</v>
      </c>
      <c r="AF9" s="1">
        <f t="shared" si="2"/>
        <v>0</v>
      </c>
      <c r="AG9" s="1">
        <f t="shared" si="2"/>
        <v>0</v>
      </c>
      <c r="AH9" s="1">
        <f t="shared" si="2"/>
        <v>0</v>
      </c>
      <c r="AI9" s="1">
        <f t="shared" si="2"/>
        <v>0</v>
      </c>
      <c r="AJ9" s="1">
        <f t="shared" si="2"/>
        <v>0</v>
      </c>
      <c r="AK9" s="1">
        <f t="shared" si="2"/>
        <v>0</v>
      </c>
      <c r="AL9" s="1">
        <f t="shared" si="2"/>
        <v>0</v>
      </c>
      <c r="AM9" s="1">
        <f t="shared" si="2"/>
        <v>0</v>
      </c>
      <c r="AN9" s="1">
        <f t="shared" si="2"/>
        <v>0</v>
      </c>
      <c r="AO9" s="1">
        <f t="shared" si="2"/>
        <v>0</v>
      </c>
      <c r="AP9" s="1">
        <f t="shared" si="2"/>
        <v>0</v>
      </c>
      <c r="AQ9" s="1">
        <f t="shared" si="2"/>
        <v>0</v>
      </c>
      <c r="AR9" s="1">
        <f t="shared" si="2"/>
        <v>0</v>
      </c>
      <c r="AS9" s="1">
        <f t="shared" si="2"/>
        <v>0</v>
      </c>
      <c r="AT9" s="1">
        <f t="shared" si="2"/>
        <v>0</v>
      </c>
      <c r="AU9" s="1">
        <f t="shared" si="2"/>
        <v>0</v>
      </c>
      <c r="AV9" s="1">
        <f t="shared" si="2"/>
        <v>0</v>
      </c>
      <c r="AW9" s="1">
        <f t="shared" si="2"/>
        <v>0</v>
      </c>
      <c r="AX9" s="1">
        <f t="shared" si="2"/>
        <v>0</v>
      </c>
      <c r="AY9" s="1">
        <f t="shared" si="2"/>
        <v>0</v>
      </c>
      <c r="AZ9" s="1">
        <f t="shared" si="2"/>
        <v>0</v>
      </c>
      <c r="BA9" s="1">
        <f t="shared" si="2"/>
        <v>0</v>
      </c>
    </row>
    <row r="10" spans="1:54" x14ac:dyDescent="0.35"/>
    <row r="11" spans="1:54" ht="15.75" customHeight="1" x14ac:dyDescent="0.35">
      <c r="A11" s="3" t="s">
        <v>5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4">
        <f>SUM(Q11:BA11)</f>
        <v>0</v>
      </c>
      <c r="O11" s="3"/>
      <c r="P11" s="3"/>
      <c r="Q11" s="4">
        <f t="shared" ref="Q11:BA11" si="3">SUM(Q12:Q15)</f>
        <v>0</v>
      </c>
      <c r="R11" s="4">
        <f t="shared" si="3"/>
        <v>0</v>
      </c>
      <c r="S11" s="4">
        <f t="shared" si="3"/>
        <v>0</v>
      </c>
      <c r="T11" s="4">
        <f t="shared" si="3"/>
        <v>0</v>
      </c>
      <c r="U11" s="4">
        <f t="shared" si="3"/>
        <v>0</v>
      </c>
      <c r="V11" s="4">
        <f t="shared" si="3"/>
        <v>0</v>
      </c>
      <c r="W11" s="4">
        <f t="shared" si="3"/>
        <v>0</v>
      </c>
      <c r="X11" s="4">
        <f t="shared" si="3"/>
        <v>0</v>
      </c>
      <c r="Y11" s="4">
        <f t="shared" si="3"/>
        <v>0</v>
      </c>
      <c r="Z11" s="4">
        <f t="shared" si="3"/>
        <v>0</v>
      </c>
      <c r="AA11" s="4">
        <f t="shared" si="3"/>
        <v>0</v>
      </c>
      <c r="AB11" s="4">
        <f t="shared" si="3"/>
        <v>0</v>
      </c>
      <c r="AC11" s="4">
        <f t="shared" si="3"/>
        <v>0</v>
      </c>
      <c r="AD11" s="4">
        <f t="shared" si="3"/>
        <v>0</v>
      </c>
      <c r="AE11" s="4">
        <f t="shared" si="3"/>
        <v>0</v>
      </c>
      <c r="AF11" s="4">
        <f t="shared" si="3"/>
        <v>0</v>
      </c>
      <c r="AG11" s="4">
        <f t="shared" si="3"/>
        <v>0</v>
      </c>
      <c r="AH11" s="4">
        <f t="shared" si="3"/>
        <v>0</v>
      </c>
      <c r="AI11" s="4">
        <f t="shared" si="3"/>
        <v>0</v>
      </c>
      <c r="AJ11" s="4">
        <f t="shared" si="3"/>
        <v>0</v>
      </c>
      <c r="AK11" s="4">
        <f t="shared" si="3"/>
        <v>0</v>
      </c>
      <c r="AL11" s="4">
        <f t="shared" si="3"/>
        <v>0</v>
      </c>
      <c r="AM11" s="4">
        <f t="shared" si="3"/>
        <v>0</v>
      </c>
      <c r="AN11" s="4">
        <f t="shared" si="3"/>
        <v>0</v>
      </c>
      <c r="AO11" s="4">
        <f t="shared" si="3"/>
        <v>0</v>
      </c>
      <c r="AP11" s="4">
        <f t="shared" si="3"/>
        <v>0</v>
      </c>
      <c r="AQ11" s="4">
        <f t="shared" si="3"/>
        <v>0</v>
      </c>
      <c r="AR11" s="4">
        <f t="shared" si="3"/>
        <v>0</v>
      </c>
      <c r="AS11" s="4">
        <f t="shared" si="3"/>
        <v>0</v>
      </c>
      <c r="AT11" s="4">
        <f t="shared" si="3"/>
        <v>0</v>
      </c>
      <c r="AU11" s="4">
        <f t="shared" si="3"/>
        <v>0</v>
      </c>
      <c r="AV11" s="4">
        <f t="shared" si="3"/>
        <v>0</v>
      </c>
      <c r="AW11" s="4">
        <f t="shared" si="3"/>
        <v>0</v>
      </c>
      <c r="AX11" s="4">
        <f t="shared" si="3"/>
        <v>0</v>
      </c>
      <c r="AY11" s="4">
        <f t="shared" si="3"/>
        <v>0</v>
      </c>
      <c r="AZ11" s="4">
        <f t="shared" si="3"/>
        <v>0</v>
      </c>
      <c r="BA11" s="4">
        <f t="shared" si="3"/>
        <v>0</v>
      </c>
    </row>
    <row r="12" spans="1:54" ht="15.75" customHeight="1" x14ac:dyDescent="0.35">
      <c r="A12" s="5"/>
      <c r="B12" s="5" t="s">
        <v>81</v>
      </c>
      <c r="C12" s="5"/>
      <c r="D12" s="5"/>
      <c r="E12" s="5"/>
      <c r="F12" s="5"/>
      <c r="G12" s="5"/>
      <c r="H12" s="5"/>
      <c r="I12" s="5"/>
      <c r="J12" s="5"/>
      <c r="K12" s="5"/>
      <c r="L12" s="5"/>
      <c r="N12" s="1">
        <f>SUM(Q12:BA12)</f>
        <v>0</v>
      </c>
      <c r="O12" s="5"/>
      <c r="Q12" s="1">
        <f>SUM($Q$66:Q66)*OBk.w2</f>
        <v>0</v>
      </c>
      <c r="R12" s="1">
        <f>SUM($Q$66:R66)*OBk.w2</f>
        <v>0</v>
      </c>
      <c r="S12" s="1">
        <f>SUM($Q$66:S66)*OBk.w2</f>
        <v>0</v>
      </c>
      <c r="T12" s="1">
        <f>SUM($Q$66:T66)*OBk.w2</f>
        <v>0</v>
      </c>
      <c r="U12" s="1">
        <f>SUM($Q$66:U66)*OBk.w2</f>
        <v>0</v>
      </c>
      <c r="V12" s="1">
        <f>SUM($Q$66:V66)*OBk.w2</f>
        <v>0</v>
      </c>
      <c r="W12" s="1">
        <f>SUM($Q$66:W66)*OBk.w2</f>
        <v>0</v>
      </c>
      <c r="X12" s="1">
        <f>SUM($Q$66:X66)*OBk.w2</f>
        <v>0</v>
      </c>
      <c r="Y12" s="1">
        <f>SUM($Q$66:Y66)*OBk.w2</f>
        <v>0</v>
      </c>
      <c r="Z12" s="1">
        <f>SUM($Q$66:Z66)*OBk.w2</f>
        <v>0</v>
      </c>
      <c r="AA12" s="1">
        <f>SUM($Q$66:AA66)*OBk.w2</f>
        <v>0</v>
      </c>
      <c r="AB12" s="1">
        <f>SUM($Q$66:AB66)*OBk.w2</f>
        <v>0</v>
      </c>
      <c r="AC12" s="1">
        <f>SUM($Q$66:AC66)*OBk.w2</f>
        <v>0</v>
      </c>
      <c r="AD12" s="1">
        <f>SUM($Q$66:AD66)*OBk.w2</f>
        <v>0</v>
      </c>
      <c r="AE12" s="1">
        <f>SUM($Q$66:AE66)*OBk.w2</f>
        <v>0</v>
      </c>
      <c r="AF12" s="1">
        <f>SUM($Q$66:AF66)*OBk.w2</f>
        <v>0</v>
      </c>
      <c r="AG12" s="1">
        <f>SUM($Q$66:AG66)*OBk.w2</f>
        <v>0</v>
      </c>
      <c r="AH12" s="1">
        <f>SUM($Q$66:AH66)*OBk.w2</f>
        <v>0</v>
      </c>
      <c r="AI12" s="1">
        <f>SUM($Q$66:AI66)*OBk.w2</f>
        <v>0</v>
      </c>
      <c r="AJ12" s="1">
        <f>SUM($Q$66:AJ66)*OBk.w2</f>
        <v>0</v>
      </c>
      <c r="AK12" s="1">
        <f>SUM($Q$66:AK66)*OBk.w2</f>
        <v>0</v>
      </c>
      <c r="AL12" s="1">
        <f>SUM($Q$66:AL66)*OBk.w2</f>
        <v>0</v>
      </c>
      <c r="AM12" s="1">
        <f>SUM($Q$66:AM66)*OBk.w2</f>
        <v>0</v>
      </c>
      <c r="AN12" s="1">
        <f>SUM($Q$66:AN66)*OBk.w2</f>
        <v>0</v>
      </c>
      <c r="AO12" s="1">
        <f>SUM($Q$66:AO66)*OBk.w2</f>
        <v>0</v>
      </c>
      <c r="AP12" s="1">
        <f>SUM($Q$66:AP66)*OBk.w2</f>
        <v>0</v>
      </c>
      <c r="AQ12" s="1">
        <f>SUM($Q$66:AQ66)*OBk.w2</f>
        <v>0</v>
      </c>
      <c r="AR12" s="1">
        <f>SUM($Q$66:AR66)*OBk.w2</f>
        <v>0</v>
      </c>
      <c r="AS12" s="1">
        <f>SUM($Q$66:AS66)*OBk.w2</f>
        <v>0</v>
      </c>
      <c r="AT12" s="1">
        <f>SUM($Q$66:AT66)*OBk.w2</f>
        <v>0</v>
      </c>
      <c r="AU12" s="1">
        <f>SUM($Q$66:AU66)*OBk.w2</f>
        <v>0</v>
      </c>
      <c r="AV12" s="1">
        <f>SUM($Q$66:AV66)*OBk.w2</f>
        <v>0</v>
      </c>
      <c r="AW12" s="1">
        <f>SUM($Q$66:AW66)*OBk.w2</f>
        <v>0</v>
      </c>
      <c r="AX12" s="1">
        <f>SUM($Q$66:AX66)*OBk.w2</f>
        <v>0</v>
      </c>
      <c r="AY12" s="1">
        <f>SUM($Q$66:AY66)*OBk.w2</f>
        <v>0</v>
      </c>
      <c r="AZ12" s="1">
        <f>SUM($Q$66:AZ66)*OBk.w2</f>
        <v>0</v>
      </c>
      <c r="BA12" s="1">
        <f>SUM($Q$66:BA66)*OBk.w2</f>
        <v>0</v>
      </c>
    </row>
    <row r="13" spans="1:54" ht="15.75" customHeight="1" x14ac:dyDescent="0.35">
      <c r="A13" s="5"/>
      <c r="B13" s="5" t="s">
        <v>82</v>
      </c>
      <c r="C13" s="5"/>
      <c r="D13" s="5"/>
      <c r="E13" s="5"/>
      <c r="F13" s="5"/>
      <c r="G13" s="5"/>
      <c r="H13" s="5"/>
      <c r="I13" s="5"/>
      <c r="J13" s="5"/>
      <c r="K13" s="5"/>
      <c r="L13" s="5"/>
      <c r="N13" s="1">
        <f>SUM(Q13:BA13)</f>
        <v>0</v>
      </c>
      <c r="O13" s="5"/>
      <c r="Q13" s="1">
        <f t="shared" ref="Q13:BA13" si="4">Q74</f>
        <v>0</v>
      </c>
      <c r="R13" s="1">
        <f t="shared" si="4"/>
        <v>0</v>
      </c>
      <c r="S13" s="1">
        <f t="shared" si="4"/>
        <v>0</v>
      </c>
      <c r="T13" s="1">
        <f t="shared" si="4"/>
        <v>0</v>
      </c>
      <c r="U13" s="1">
        <f t="shared" si="4"/>
        <v>0</v>
      </c>
      <c r="V13" s="1">
        <f t="shared" si="4"/>
        <v>0</v>
      </c>
      <c r="W13" s="1">
        <f t="shared" si="4"/>
        <v>0</v>
      </c>
      <c r="X13" s="1">
        <f t="shared" si="4"/>
        <v>0</v>
      </c>
      <c r="Y13" s="1">
        <f t="shared" si="4"/>
        <v>0</v>
      </c>
      <c r="Z13" s="1">
        <f t="shared" si="4"/>
        <v>0</v>
      </c>
      <c r="AA13" s="1">
        <f t="shared" si="4"/>
        <v>0</v>
      </c>
      <c r="AB13" s="1">
        <f t="shared" si="4"/>
        <v>0</v>
      </c>
      <c r="AC13" s="1">
        <f t="shared" si="4"/>
        <v>0</v>
      </c>
      <c r="AD13" s="1">
        <f t="shared" si="4"/>
        <v>0</v>
      </c>
      <c r="AE13" s="1">
        <f t="shared" si="4"/>
        <v>0</v>
      </c>
      <c r="AF13" s="1">
        <f t="shared" si="4"/>
        <v>0</v>
      </c>
      <c r="AG13" s="1">
        <f t="shared" si="4"/>
        <v>0</v>
      </c>
      <c r="AH13" s="1">
        <f t="shared" si="4"/>
        <v>0</v>
      </c>
      <c r="AI13" s="1">
        <f t="shared" si="4"/>
        <v>0</v>
      </c>
      <c r="AJ13" s="1">
        <f t="shared" si="4"/>
        <v>0</v>
      </c>
      <c r="AK13" s="1">
        <f t="shared" si="4"/>
        <v>0</v>
      </c>
      <c r="AL13" s="1">
        <f t="shared" si="4"/>
        <v>0</v>
      </c>
      <c r="AM13" s="1">
        <f t="shared" si="4"/>
        <v>0</v>
      </c>
      <c r="AN13" s="1">
        <f t="shared" si="4"/>
        <v>0</v>
      </c>
      <c r="AO13" s="1">
        <f t="shared" si="4"/>
        <v>0</v>
      </c>
      <c r="AP13" s="1">
        <f t="shared" si="4"/>
        <v>0</v>
      </c>
      <c r="AQ13" s="1">
        <f t="shared" si="4"/>
        <v>0</v>
      </c>
      <c r="AR13" s="1">
        <f t="shared" si="4"/>
        <v>0</v>
      </c>
      <c r="AS13" s="1">
        <f t="shared" si="4"/>
        <v>0</v>
      </c>
      <c r="AT13" s="1">
        <f t="shared" si="4"/>
        <v>0</v>
      </c>
      <c r="AU13" s="1">
        <f t="shared" si="4"/>
        <v>0</v>
      </c>
      <c r="AV13" s="1">
        <f t="shared" si="4"/>
        <v>0</v>
      </c>
      <c r="AW13" s="1">
        <f t="shared" si="4"/>
        <v>0</v>
      </c>
      <c r="AX13" s="1">
        <f t="shared" si="4"/>
        <v>0</v>
      </c>
      <c r="AY13" s="1">
        <f t="shared" si="4"/>
        <v>0</v>
      </c>
      <c r="AZ13" s="1">
        <f t="shared" si="4"/>
        <v>0</v>
      </c>
      <c r="BA13" s="1">
        <f t="shared" si="4"/>
        <v>0</v>
      </c>
    </row>
    <row r="14" spans="1:54" ht="15.75" customHeight="1" x14ac:dyDescent="0.35">
      <c r="A14" s="5"/>
      <c r="B14" s="5" t="s">
        <v>6</v>
      </c>
      <c r="C14" s="5"/>
      <c r="D14" s="5"/>
      <c r="E14" s="5"/>
      <c r="F14" s="5"/>
      <c r="G14" s="5"/>
      <c r="H14" s="5"/>
      <c r="I14" s="5"/>
      <c r="J14" s="5"/>
      <c r="K14" s="5"/>
      <c r="L14" s="5"/>
      <c r="N14" s="1">
        <f>SUM(Q14:BA14)</f>
        <v>0</v>
      </c>
      <c r="O14" s="5"/>
      <c r="Q14" s="1">
        <f t="shared" ref="Q14:BA14" si="5">Q73</f>
        <v>0</v>
      </c>
      <c r="R14" s="1">
        <f t="shared" si="5"/>
        <v>0</v>
      </c>
      <c r="S14" s="1">
        <f t="shared" si="5"/>
        <v>0</v>
      </c>
      <c r="T14" s="1">
        <f t="shared" si="5"/>
        <v>0</v>
      </c>
      <c r="U14" s="1">
        <f t="shared" si="5"/>
        <v>0</v>
      </c>
      <c r="V14" s="1">
        <f t="shared" si="5"/>
        <v>0</v>
      </c>
      <c r="W14" s="1">
        <f t="shared" si="5"/>
        <v>0</v>
      </c>
      <c r="X14" s="1">
        <f t="shared" si="5"/>
        <v>0</v>
      </c>
      <c r="Y14" s="1">
        <f t="shared" si="5"/>
        <v>0</v>
      </c>
      <c r="Z14" s="1">
        <f t="shared" si="5"/>
        <v>0</v>
      </c>
      <c r="AA14" s="1">
        <f t="shared" si="5"/>
        <v>0</v>
      </c>
      <c r="AB14" s="1">
        <f t="shared" si="5"/>
        <v>0</v>
      </c>
      <c r="AC14" s="1">
        <f t="shared" si="5"/>
        <v>0</v>
      </c>
      <c r="AD14" s="1">
        <f t="shared" si="5"/>
        <v>0</v>
      </c>
      <c r="AE14" s="1">
        <f t="shared" si="5"/>
        <v>0</v>
      </c>
      <c r="AF14" s="1">
        <f t="shared" si="5"/>
        <v>0</v>
      </c>
      <c r="AG14" s="1">
        <f t="shared" si="5"/>
        <v>0</v>
      </c>
      <c r="AH14" s="1">
        <f t="shared" si="5"/>
        <v>0</v>
      </c>
      <c r="AI14" s="1">
        <f t="shared" si="5"/>
        <v>0</v>
      </c>
      <c r="AJ14" s="1">
        <f t="shared" si="5"/>
        <v>0</v>
      </c>
      <c r="AK14" s="1">
        <f t="shared" si="5"/>
        <v>0</v>
      </c>
      <c r="AL14" s="1">
        <f t="shared" si="5"/>
        <v>0</v>
      </c>
      <c r="AM14" s="1">
        <f t="shared" si="5"/>
        <v>0</v>
      </c>
      <c r="AN14" s="1">
        <f t="shared" si="5"/>
        <v>0</v>
      </c>
      <c r="AO14" s="1">
        <f t="shared" si="5"/>
        <v>0</v>
      </c>
      <c r="AP14" s="1">
        <f t="shared" si="5"/>
        <v>0</v>
      </c>
      <c r="AQ14" s="1">
        <f t="shared" si="5"/>
        <v>0</v>
      </c>
      <c r="AR14" s="1">
        <f t="shared" si="5"/>
        <v>0</v>
      </c>
      <c r="AS14" s="1">
        <f t="shared" si="5"/>
        <v>0</v>
      </c>
      <c r="AT14" s="1">
        <f t="shared" si="5"/>
        <v>0</v>
      </c>
      <c r="AU14" s="1">
        <f t="shared" si="5"/>
        <v>0</v>
      </c>
      <c r="AV14" s="1">
        <f t="shared" si="5"/>
        <v>0</v>
      </c>
      <c r="AW14" s="1">
        <f t="shared" si="5"/>
        <v>0</v>
      </c>
      <c r="AX14" s="1">
        <f t="shared" si="5"/>
        <v>0</v>
      </c>
      <c r="AY14" s="1">
        <f t="shared" si="5"/>
        <v>0</v>
      </c>
      <c r="AZ14" s="1">
        <f t="shared" si="5"/>
        <v>0</v>
      </c>
      <c r="BA14" s="1">
        <f t="shared" si="5"/>
        <v>0</v>
      </c>
    </row>
    <row r="15" spans="1:54" ht="15.75" customHeight="1" x14ac:dyDescent="0.35">
      <c r="A15" s="5"/>
      <c r="B15" s="5" t="s">
        <v>7</v>
      </c>
      <c r="C15" s="5"/>
      <c r="D15" s="5"/>
      <c r="E15" s="5"/>
      <c r="F15" s="5"/>
      <c r="G15" s="5"/>
      <c r="H15" s="5"/>
      <c r="I15" s="5"/>
      <c r="J15" s="5"/>
      <c r="K15" s="5"/>
      <c r="L15" s="5"/>
      <c r="N15" s="1">
        <f>SUM(Q15:BA15)</f>
        <v>0</v>
      </c>
      <c r="O15" s="5"/>
      <c r="Q15" s="1">
        <f t="shared" ref="Q15:BA15" si="6">Q76</f>
        <v>0</v>
      </c>
      <c r="R15" s="1">
        <f t="shared" si="6"/>
        <v>0</v>
      </c>
      <c r="S15" s="1">
        <f t="shared" si="6"/>
        <v>0</v>
      </c>
      <c r="T15" s="1">
        <f t="shared" si="6"/>
        <v>0</v>
      </c>
      <c r="U15" s="1">
        <f t="shared" si="6"/>
        <v>0</v>
      </c>
      <c r="V15" s="1">
        <f t="shared" si="6"/>
        <v>0</v>
      </c>
      <c r="W15" s="1">
        <f t="shared" si="6"/>
        <v>0</v>
      </c>
      <c r="X15" s="1">
        <f t="shared" si="6"/>
        <v>0</v>
      </c>
      <c r="Y15" s="1">
        <f t="shared" si="6"/>
        <v>0</v>
      </c>
      <c r="Z15" s="1">
        <f t="shared" si="6"/>
        <v>0</v>
      </c>
      <c r="AA15" s="1">
        <f t="shared" si="6"/>
        <v>0</v>
      </c>
      <c r="AB15" s="1">
        <f t="shared" si="6"/>
        <v>0</v>
      </c>
      <c r="AC15" s="1">
        <f t="shared" si="6"/>
        <v>0</v>
      </c>
      <c r="AD15" s="1">
        <f t="shared" si="6"/>
        <v>0</v>
      </c>
      <c r="AE15" s="1">
        <f t="shared" si="6"/>
        <v>0</v>
      </c>
      <c r="AF15" s="1">
        <f t="shared" si="6"/>
        <v>0</v>
      </c>
      <c r="AG15" s="1">
        <f t="shared" si="6"/>
        <v>0</v>
      </c>
      <c r="AH15" s="1">
        <f t="shared" si="6"/>
        <v>0</v>
      </c>
      <c r="AI15" s="1">
        <f t="shared" si="6"/>
        <v>0</v>
      </c>
      <c r="AJ15" s="1">
        <f t="shared" si="6"/>
        <v>0</v>
      </c>
      <c r="AK15" s="1">
        <f t="shared" si="6"/>
        <v>0</v>
      </c>
      <c r="AL15" s="1">
        <f t="shared" si="6"/>
        <v>0</v>
      </c>
      <c r="AM15" s="1">
        <f t="shared" si="6"/>
        <v>0</v>
      </c>
      <c r="AN15" s="1">
        <f t="shared" si="6"/>
        <v>0</v>
      </c>
      <c r="AO15" s="1">
        <f t="shared" si="6"/>
        <v>0</v>
      </c>
      <c r="AP15" s="1">
        <f t="shared" si="6"/>
        <v>0</v>
      </c>
      <c r="AQ15" s="1">
        <f t="shared" si="6"/>
        <v>0</v>
      </c>
      <c r="AR15" s="1">
        <f t="shared" si="6"/>
        <v>0</v>
      </c>
      <c r="AS15" s="1">
        <f t="shared" si="6"/>
        <v>0</v>
      </c>
      <c r="AT15" s="1">
        <f t="shared" si="6"/>
        <v>0</v>
      </c>
      <c r="AU15" s="1">
        <f t="shared" si="6"/>
        <v>0</v>
      </c>
      <c r="AV15" s="1">
        <f t="shared" si="6"/>
        <v>0</v>
      </c>
      <c r="AW15" s="1">
        <f t="shared" si="6"/>
        <v>0</v>
      </c>
      <c r="AX15" s="1">
        <f t="shared" si="6"/>
        <v>0</v>
      </c>
      <c r="AY15" s="1">
        <f t="shared" si="6"/>
        <v>0</v>
      </c>
      <c r="AZ15" s="1">
        <f t="shared" si="6"/>
        <v>0</v>
      </c>
      <c r="BA15" s="1">
        <f t="shared" si="6"/>
        <v>0</v>
      </c>
    </row>
    <row r="16" spans="1:54" x14ac:dyDescent="0.35"/>
    <row r="17" spans="1:54" ht="15" customHeight="1" x14ac:dyDescent="0.35">
      <c r="A17" s="3" t="s">
        <v>8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4">
        <f>SUM(Q17:BA17)</f>
        <v>0</v>
      </c>
      <c r="O17" s="3"/>
      <c r="P17" s="3"/>
      <c r="Q17" s="4">
        <f t="shared" ref="Q17:BA17" si="7">Q6-Q11</f>
        <v>0</v>
      </c>
      <c r="R17" s="4">
        <f t="shared" si="7"/>
        <v>0</v>
      </c>
      <c r="S17" s="4">
        <f t="shared" si="7"/>
        <v>0</v>
      </c>
      <c r="T17" s="4">
        <f t="shared" si="7"/>
        <v>0</v>
      </c>
      <c r="U17" s="4">
        <f t="shared" si="7"/>
        <v>0</v>
      </c>
      <c r="V17" s="4">
        <f t="shared" si="7"/>
        <v>0</v>
      </c>
      <c r="W17" s="4">
        <f t="shared" si="7"/>
        <v>0</v>
      </c>
      <c r="X17" s="4">
        <f t="shared" si="7"/>
        <v>0</v>
      </c>
      <c r="Y17" s="4">
        <f t="shared" si="7"/>
        <v>0</v>
      </c>
      <c r="Z17" s="4">
        <f t="shared" si="7"/>
        <v>0</v>
      </c>
      <c r="AA17" s="4">
        <f t="shared" si="7"/>
        <v>0</v>
      </c>
      <c r="AB17" s="4">
        <f t="shared" si="7"/>
        <v>0</v>
      </c>
      <c r="AC17" s="4">
        <f t="shared" si="7"/>
        <v>0</v>
      </c>
      <c r="AD17" s="4">
        <f t="shared" si="7"/>
        <v>0</v>
      </c>
      <c r="AE17" s="4">
        <f t="shared" si="7"/>
        <v>0</v>
      </c>
      <c r="AF17" s="4">
        <f t="shared" si="7"/>
        <v>0</v>
      </c>
      <c r="AG17" s="4">
        <f t="shared" si="7"/>
        <v>0</v>
      </c>
      <c r="AH17" s="4">
        <f t="shared" si="7"/>
        <v>0</v>
      </c>
      <c r="AI17" s="4">
        <f t="shared" si="7"/>
        <v>0</v>
      </c>
      <c r="AJ17" s="4">
        <f t="shared" si="7"/>
        <v>0</v>
      </c>
      <c r="AK17" s="4">
        <f t="shared" si="7"/>
        <v>0</v>
      </c>
      <c r="AL17" s="4">
        <f t="shared" si="7"/>
        <v>0</v>
      </c>
      <c r="AM17" s="4">
        <f t="shared" si="7"/>
        <v>0</v>
      </c>
      <c r="AN17" s="4">
        <f t="shared" si="7"/>
        <v>0</v>
      </c>
      <c r="AO17" s="4">
        <f t="shared" si="7"/>
        <v>0</v>
      </c>
      <c r="AP17" s="4">
        <f t="shared" si="7"/>
        <v>0</v>
      </c>
      <c r="AQ17" s="4">
        <f t="shared" si="7"/>
        <v>0</v>
      </c>
      <c r="AR17" s="4">
        <f t="shared" si="7"/>
        <v>0</v>
      </c>
      <c r="AS17" s="4">
        <f t="shared" si="7"/>
        <v>0</v>
      </c>
      <c r="AT17" s="4">
        <f t="shared" si="7"/>
        <v>0</v>
      </c>
      <c r="AU17" s="4">
        <f t="shared" si="7"/>
        <v>0</v>
      </c>
      <c r="AV17" s="4">
        <f t="shared" si="7"/>
        <v>0</v>
      </c>
      <c r="AW17" s="4">
        <f t="shared" si="7"/>
        <v>0</v>
      </c>
      <c r="AX17" s="4">
        <f t="shared" si="7"/>
        <v>0</v>
      </c>
      <c r="AY17" s="4">
        <f t="shared" si="7"/>
        <v>0</v>
      </c>
      <c r="AZ17" s="4">
        <f t="shared" si="7"/>
        <v>0</v>
      </c>
      <c r="BA17" s="4">
        <f t="shared" si="7"/>
        <v>0</v>
      </c>
    </row>
    <row r="18" spans="1:54" x14ac:dyDescent="0.35"/>
    <row r="19" spans="1:54" ht="15.75" customHeight="1" x14ac:dyDescent="0.35">
      <c r="A19" s="5"/>
      <c r="B19" s="5" t="s">
        <v>9</v>
      </c>
      <c r="C19" s="5"/>
      <c r="D19" s="5"/>
      <c r="E19" s="5"/>
      <c r="F19" s="5"/>
      <c r="G19" s="5"/>
      <c r="H19" s="5"/>
      <c r="I19" s="5"/>
      <c r="J19" s="5"/>
      <c r="K19" s="5"/>
      <c r="L19" s="5"/>
      <c r="N19" s="1">
        <f>SUM(Q19:BA19)</f>
        <v>0</v>
      </c>
      <c r="O19" s="5"/>
      <c r="Q19" s="1">
        <f t="shared" ref="Q19:BA19" si="8">(Q17&gt;0)*Q17*CIT</f>
        <v>0</v>
      </c>
      <c r="R19" s="1">
        <f t="shared" si="8"/>
        <v>0</v>
      </c>
      <c r="S19" s="1">
        <f t="shared" si="8"/>
        <v>0</v>
      </c>
      <c r="T19" s="1">
        <f t="shared" si="8"/>
        <v>0</v>
      </c>
      <c r="U19" s="1">
        <f t="shared" si="8"/>
        <v>0</v>
      </c>
      <c r="V19" s="1">
        <f t="shared" si="8"/>
        <v>0</v>
      </c>
      <c r="W19" s="1">
        <f t="shared" si="8"/>
        <v>0</v>
      </c>
      <c r="X19" s="1">
        <f t="shared" si="8"/>
        <v>0</v>
      </c>
      <c r="Y19" s="1">
        <f t="shared" si="8"/>
        <v>0</v>
      </c>
      <c r="Z19" s="1">
        <f t="shared" si="8"/>
        <v>0</v>
      </c>
      <c r="AA19" s="1">
        <f t="shared" si="8"/>
        <v>0</v>
      </c>
      <c r="AB19" s="1">
        <f t="shared" si="8"/>
        <v>0</v>
      </c>
      <c r="AC19" s="1">
        <f t="shared" si="8"/>
        <v>0</v>
      </c>
      <c r="AD19" s="1">
        <f t="shared" si="8"/>
        <v>0</v>
      </c>
      <c r="AE19" s="1">
        <f t="shared" si="8"/>
        <v>0</v>
      </c>
      <c r="AF19" s="1">
        <f t="shared" si="8"/>
        <v>0</v>
      </c>
      <c r="AG19" s="1">
        <f t="shared" si="8"/>
        <v>0</v>
      </c>
      <c r="AH19" s="1">
        <f t="shared" si="8"/>
        <v>0</v>
      </c>
      <c r="AI19" s="1">
        <f t="shared" si="8"/>
        <v>0</v>
      </c>
      <c r="AJ19" s="1">
        <f t="shared" si="8"/>
        <v>0</v>
      </c>
      <c r="AK19" s="1">
        <f t="shared" si="8"/>
        <v>0</v>
      </c>
      <c r="AL19" s="1">
        <f t="shared" si="8"/>
        <v>0</v>
      </c>
      <c r="AM19" s="1">
        <f t="shared" si="8"/>
        <v>0</v>
      </c>
      <c r="AN19" s="1">
        <f t="shared" si="8"/>
        <v>0</v>
      </c>
      <c r="AO19" s="1">
        <f t="shared" si="8"/>
        <v>0</v>
      </c>
      <c r="AP19" s="1">
        <f t="shared" si="8"/>
        <v>0</v>
      </c>
      <c r="AQ19" s="1">
        <f t="shared" si="8"/>
        <v>0</v>
      </c>
      <c r="AR19" s="1">
        <f t="shared" si="8"/>
        <v>0</v>
      </c>
      <c r="AS19" s="1">
        <f t="shared" si="8"/>
        <v>0</v>
      </c>
      <c r="AT19" s="1">
        <f t="shared" si="8"/>
        <v>0</v>
      </c>
      <c r="AU19" s="1">
        <f t="shared" si="8"/>
        <v>0</v>
      </c>
      <c r="AV19" s="1">
        <f t="shared" si="8"/>
        <v>0</v>
      </c>
      <c r="AW19" s="1">
        <f t="shared" si="8"/>
        <v>0</v>
      </c>
      <c r="AX19" s="1">
        <f t="shared" si="8"/>
        <v>0</v>
      </c>
      <c r="AY19" s="1">
        <f t="shared" si="8"/>
        <v>0</v>
      </c>
      <c r="AZ19" s="1">
        <f t="shared" si="8"/>
        <v>0</v>
      </c>
      <c r="BA19" s="1">
        <f t="shared" si="8"/>
        <v>0</v>
      </c>
    </row>
    <row r="20" spans="1:54" x14ac:dyDescent="0.35"/>
    <row r="21" spans="1:54" ht="15.75" customHeight="1" x14ac:dyDescent="0.35">
      <c r="A21" s="3" t="s">
        <v>10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4">
        <f>SUM(Q21:BA21)</f>
        <v>0</v>
      </c>
      <c r="O21" s="3"/>
      <c r="P21" s="3"/>
      <c r="Q21" s="4">
        <f t="shared" ref="Q21:BA21" si="9">Q17-Q19</f>
        <v>0</v>
      </c>
      <c r="R21" s="4">
        <f t="shared" si="9"/>
        <v>0</v>
      </c>
      <c r="S21" s="4">
        <f t="shared" si="9"/>
        <v>0</v>
      </c>
      <c r="T21" s="4">
        <f t="shared" si="9"/>
        <v>0</v>
      </c>
      <c r="U21" s="4">
        <f t="shared" si="9"/>
        <v>0</v>
      </c>
      <c r="V21" s="4">
        <f t="shared" si="9"/>
        <v>0</v>
      </c>
      <c r="W21" s="4">
        <f t="shared" si="9"/>
        <v>0</v>
      </c>
      <c r="X21" s="4">
        <f t="shared" si="9"/>
        <v>0</v>
      </c>
      <c r="Y21" s="4">
        <f t="shared" si="9"/>
        <v>0</v>
      </c>
      <c r="Z21" s="4">
        <f t="shared" si="9"/>
        <v>0</v>
      </c>
      <c r="AA21" s="4">
        <f t="shared" si="9"/>
        <v>0</v>
      </c>
      <c r="AB21" s="4">
        <f t="shared" si="9"/>
        <v>0</v>
      </c>
      <c r="AC21" s="4">
        <f t="shared" si="9"/>
        <v>0</v>
      </c>
      <c r="AD21" s="4">
        <f t="shared" si="9"/>
        <v>0</v>
      </c>
      <c r="AE21" s="4">
        <f t="shared" si="9"/>
        <v>0</v>
      </c>
      <c r="AF21" s="4">
        <f t="shared" si="9"/>
        <v>0</v>
      </c>
      <c r="AG21" s="4">
        <f t="shared" si="9"/>
        <v>0</v>
      </c>
      <c r="AH21" s="4">
        <f t="shared" si="9"/>
        <v>0</v>
      </c>
      <c r="AI21" s="4">
        <f t="shared" si="9"/>
        <v>0</v>
      </c>
      <c r="AJ21" s="4">
        <f t="shared" si="9"/>
        <v>0</v>
      </c>
      <c r="AK21" s="4">
        <f t="shared" si="9"/>
        <v>0</v>
      </c>
      <c r="AL21" s="4">
        <f t="shared" si="9"/>
        <v>0</v>
      </c>
      <c r="AM21" s="4">
        <f t="shared" si="9"/>
        <v>0</v>
      </c>
      <c r="AN21" s="4">
        <f t="shared" si="9"/>
        <v>0</v>
      </c>
      <c r="AO21" s="4">
        <f t="shared" si="9"/>
        <v>0</v>
      </c>
      <c r="AP21" s="4">
        <f t="shared" si="9"/>
        <v>0</v>
      </c>
      <c r="AQ21" s="4">
        <f t="shared" si="9"/>
        <v>0</v>
      </c>
      <c r="AR21" s="4">
        <f t="shared" si="9"/>
        <v>0</v>
      </c>
      <c r="AS21" s="4">
        <f t="shared" si="9"/>
        <v>0</v>
      </c>
      <c r="AT21" s="4">
        <f t="shared" si="9"/>
        <v>0</v>
      </c>
      <c r="AU21" s="4">
        <f t="shared" si="9"/>
        <v>0</v>
      </c>
      <c r="AV21" s="4">
        <f t="shared" si="9"/>
        <v>0</v>
      </c>
      <c r="AW21" s="4">
        <f t="shared" si="9"/>
        <v>0</v>
      </c>
      <c r="AX21" s="4">
        <f t="shared" si="9"/>
        <v>0</v>
      </c>
      <c r="AY21" s="4">
        <f t="shared" si="9"/>
        <v>0</v>
      </c>
      <c r="AZ21" s="4">
        <f t="shared" si="9"/>
        <v>0</v>
      </c>
      <c r="BA21" s="4">
        <f t="shared" si="9"/>
        <v>0</v>
      </c>
    </row>
    <row r="22" spans="1:54" x14ac:dyDescent="0.35"/>
    <row r="23" spans="1:54" ht="15.75" customHeight="1" thickBot="1" x14ac:dyDescent="0.4">
      <c r="A23" s="44" t="s">
        <v>63</v>
      </c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5"/>
    </row>
    <row r="24" spans="1:54" ht="15" thickTop="1" x14ac:dyDescent="0.35"/>
    <row r="25" spans="1:54" ht="15.75" customHeight="1" x14ac:dyDescent="0.35">
      <c r="A25" s="3" t="s">
        <v>12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4">
        <f t="shared" ref="Q25:BA25" si="10">SUM(Q26:Q27)</f>
        <v>0</v>
      </c>
      <c r="R25" s="4">
        <f t="shared" si="10"/>
        <v>0</v>
      </c>
      <c r="S25" s="4">
        <f t="shared" si="10"/>
        <v>0</v>
      </c>
      <c r="T25" s="4">
        <f t="shared" si="10"/>
        <v>0</v>
      </c>
      <c r="U25" s="4">
        <f t="shared" si="10"/>
        <v>0</v>
      </c>
      <c r="V25" s="4">
        <f t="shared" si="10"/>
        <v>0</v>
      </c>
      <c r="W25" s="4">
        <f t="shared" si="10"/>
        <v>0</v>
      </c>
      <c r="X25" s="4">
        <f t="shared" si="10"/>
        <v>0</v>
      </c>
      <c r="Y25" s="4">
        <f t="shared" si="10"/>
        <v>0</v>
      </c>
      <c r="Z25" s="4">
        <f t="shared" si="10"/>
        <v>0</v>
      </c>
      <c r="AA25" s="4">
        <f t="shared" si="10"/>
        <v>0</v>
      </c>
      <c r="AB25" s="4">
        <f t="shared" si="10"/>
        <v>0</v>
      </c>
      <c r="AC25" s="4">
        <f t="shared" si="10"/>
        <v>0</v>
      </c>
      <c r="AD25" s="4">
        <f t="shared" si="10"/>
        <v>0</v>
      </c>
      <c r="AE25" s="4">
        <f t="shared" si="10"/>
        <v>0</v>
      </c>
      <c r="AF25" s="4">
        <f t="shared" si="10"/>
        <v>0</v>
      </c>
      <c r="AG25" s="4">
        <f t="shared" si="10"/>
        <v>0</v>
      </c>
      <c r="AH25" s="4">
        <f t="shared" si="10"/>
        <v>0</v>
      </c>
      <c r="AI25" s="4">
        <f t="shared" si="10"/>
        <v>0</v>
      </c>
      <c r="AJ25" s="4">
        <f t="shared" si="10"/>
        <v>0</v>
      </c>
      <c r="AK25" s="4">
        <f t="shared" si="10"/>
        <v>0</v>
      </c>
      <c r="AL25" s="4">
        <f t="shared" si="10"/>
        <v>0</v>
      </c>
      <c r="AM25" s="4">
        <f t="shared" si="10"/>
        <v>0</v>
      </c>
      <c r="AN25" s="4">
        <f t="shared" si="10"/>
        <v>0</v>
      </c>
      <c r="AO25" s="4">
        <f t="shared" si="10"/>
        <v>0</v>
      </c>
      <c r="AP25" s="4">
        <f t="shared" si="10"/>
        <v>0</v>
      </c>
      <c r="AQ25" s="4">
        <f t="shared" si="10"/>
        <v>0</v>
      </c>
      <c r="AR25" s="4">
        <f t="shared" si="10"/>
        <v>0</v>
      </c>
      <c r="AS25" s="4">
        <f t="shared" si="10"/>
        <v>0</v>
      </c>
      <c r="AT25" s="4">
        <f t="shared" si="10"/>
        <v>0</v>
      </c>
      <c r="AU25" s="4">
        <f t="shared" si="10"/>
        <v>0</v>
      </c>
      <c r="AV25" s="4">
        <f t="shared" si="10"/>
        <v>0</v>
      </c>
      <c r="AW25" s="4">
        <f t="shared" si="10"/>
        <v>0</v>
      </c>
      <c r="AX25" s="4">
        <f t="shared" si="10"/>
        <v>0</v>
      </c>
      <c r="AY25" s="4">
        <f t="shared" si="10"/>
        <v>0</v>
      </c>
      <c r="AZ25" s="4">
        <f t="shared" si="10"/>
        <v>0</v>
      </c>
      <c r="BA25" s="4">
        <f t="shared" si="10"/>
        <v>0</v>
      </c>
    </row>
    <row r="26" spans="1:54" ht="15.75" customHeight="1" x14ac:dyDescent="0.35">
      <c r="A26" s="5"/>
      <c r="B26" s="5" t="s">
        <v>11</v>
      </c>
      <c r="C26" s="5"/>
      <c r="D26" s="5"/>
      <c r="E26" s="5"/>
      <c r="F26" s="5"/>
      <c r="G26" s="5"/>
      <c r="H26" s="5"/>
      <c r="I26" s="5"/>
      <c r="J26" s="5"/>
      <c r="K26" s="5"/>
      <c r="Q26" s="1">
        <f t="shared" ref="Q26:BA26" si="11">Q84</f>
        <v>0</v>
      </c>
      <c r="R26" s="1">
        <f t="shared" si="11"/>
        <v>0</v>
      </c>
      <c r="S26" s="1">
        <f t="shared" si="11"/>
        <v>0</v>
      </c>
      <c r="T26" s="1">
        <f t="shared" si="11"/>
        <v>0</v>
      </c>
      <c r="U26" s="1">
        <f t="shared" si="11"/>
        <v>0</v>
      </c>
      <c r="V26" s="1">
        <f t="shared" si="11"/>
        <v>0</v>
      </c>
      <c r="W26" s="1">
        <f t="shared" si="11"/>
        <v>0</v>
      </c>
      <c r="X26" s="1">
        <f t="shared" si="11"/>
        <v>0</v>
      </c>
      <c r="Y26" s="1">
        <f t="shared" si="11"/>
        <v>0</v>
      </c>
      <c r="Z26" s="1">
        <f t="shared" si="11"/>
        <v>0</v>
      </c>
      <c r="AA26" s="1">
        <f t="shared" si="11"/>
        <v>0</v>
      </c>
      <c r="AB26" s="1">
        <f t="shared" si="11"/>
        <v>0</v>
      </c>
      <c r="AC26" s="1">
        <f t="shared" si="11"/>
        <v>0</v>
      </c>
      <c r="AD26" s="1">
        <f t="shared" si="11"/>
        <v>0</v>
      </c>
      <c r="AE26" s="1">
        <f t="shared" si="11"/>
        <v>0</v>
      </c>
      <c r="AF26" s="1">
        <f t="shared" si="11"/>
        <v>0</v>
      </c>
      <c r="AG26" s="1">
        <f t="shared" si="11"/>
        <v>0</v>
      </c>
      <c r="AH26" s="1">
        <f t="shared" si="11"/>
        <v>0</v>
      </c>
      <c r="AI26" s="1">
        <f t="shared" si="11"/>
        <v>0</v>
      </c>
      <c r="AJ26" s="1">
        <f t="shared" si="11"/>
        <v>0</v>
      </c>
      <c r="AK26" s="1">
        <f t="shared" si="11"/>
        <v>0</v>
      </c>
      <c r="AL26" s="1">
        <f t="shared" si="11"/>
        <v>0</v>
      </c>
      <c r="AM26" s="1">
        <f t="shared" si="11"/>
        <v>0</v>
      </c>
      <c r="AN26" s="1">
        <f t="shared" si="11"/>
        <v>0</v>
      </c>
      <c r="AO26" s="1">
        <f t="shared" si="11"/>
        <v>0</v>
      </c>
      <c r="AP26" s="1">
        <f t="shared" si="11"/>
        <v>0</v>
      </c>
      <c r="AQ26" s="1">
        <f t="shared" si="11"/>
        <v>0</v>
      </c>
      <c r="AR26" s="1">
        <f t="shared" si="11"/>
        <v>0</v>
      </c>
      <c r="AS26" s="1">
        <f t="shared" si="11"/>
        <v>0</v>
      </c>
      <c r="AT26" s="1">
        <f t="shared" si="11"/>
        <v>0</v>
      </c>
      <c r="AU26" s="1">
        <f t="shared" si="11"/>
        <v>0</v>
      </c>
      <c r="AV26" s="1">
        <f t="shared" si="11"/>
        <v>0</v>
      </c>
      <c r="AW26" s="1">
        <f t="shared" si="11"/>
        <v>0</v>
      </c>
      <c r="AX26" s="1">
        <f t="shared" si="11"/>
        <v>0</v>
      </c>
      <c r="AY26" s="1">
        <f t="shared" si="11"/>
        <v>0</v>
      </c>
      <c r="AZ26" s="1">
        <f t="shared" si="11"/>
        <v>0</v>
      </c>
      <c r="BA26" s="1">
        <f t="shared" si="11"/>
        <v>0</v>
      </c>
    </row>
    <row r="27" spans="1:54" ht="15.75" customHeight="1" x14ac:dyDescent="0.35">
      <c r="A27" s="5"/>
      <c r="B27" s="5" t="s">
        <v>51</v>
      </c>
      <c r="C27" s="5"/>
      <c r="D27" s="5"/>
      <c r="E27" s="5"/>
      <c r="F27" s="5"/>
      <c r="G27" s="5"/>
      <c r="H27" s="5"/>
      <c r="I27" s="5"/>
      <c r="J27" s="5"/>
      <c r="K27" s="5"/>
      <c r="Q27" s="1">
        <f t="shared" ref="Q27:BA27" si="12">SUM(Q29,-Q26)</f>
        <v>0</v>
      </c>
      <c r="R27" s="1">
        <f t="shared" si="12"/>
        <v>0</v>
      </c>
      <c r="S27" s="1">
        <f t="shared" si="12"/>
        <v>0</v>
      </c>
      <c r="T27" s="1">
        <f t="shared" si="12"/>
        <v>0</v>
      </c>
      <c r="U27" s="1">
        <f t="shared" si="12"/>
        <v>0</v>
      </c>
      <c r="V27" s="1">
        <f t="shared" si="12"/>
        <v>0</v>
      </c>
      <c r="W27" s="1">
        <f t="shared" si="12"/>
        <v>0</v>
      </c>
      <c r="X27" s="1">
        <f t="shared" si="12"/>
        <v>0</v>
      </c>
      <c r="Y27" s="1">
        <f t="shared" si="12"/>
        <v>0</v>
      </c>
      <c r="Z27" s="1">
        <f t="shared" si="12"/>
        <v>0</v>
      </c>
      <c r="AA27" s="1">
        <f t="shared" si="12"/>
        <v>0</v>
      </c>
      <c r="AB27" s="1">
        <f t="shared" si="12"/>
        <v>0</v>
      </c>
      <c r="AC27" s="1">
        <f t="shared" si="12"/>
        <v>0</v>
      </c>
      <c r="AD27" s="1">
        <f t="shared" si="12"/>
        <v>0</v>
      </c>
      <c r="AE27" s="1">
        <f t="shared" si="12"/>
        <v>0</v>
      </c>
      <c r="AF27" s="1">
        <f t="shared" si="12"/>
        <v>0</v>
      </c>
      <c r="AG27" s="1">
        <f t="shared" si="12"/>
        <v>0</v>
      </c>
      <c r="AH27" s="1">
        <f t="shared" si="12"/>
        <v>0</v>
      </c>
      <c r="AI27" s="1">
        <f t="shared" si="12"/>
        <v>0</v>
      </c>
      <c r="AJ27" s="1">
        <f t="shared" si="12"/>
        <v>0</v>
      </c>
      <c r="AK27" s="1">
        <f t="shared" si="12"/>
        <v>0</v>
      </c>
      <c r="AL27" s="1">
        <f t="shared" si="12"/>
        <v>0</v>
      </c>
      <c r="AM27" s="1">
        <f t="shared" si="12"/>
        <v>0</v>
      </c>
      <c r="AN27" s="1">
        <f t="shared" si="12"/>
        <v>0</v>
      </c>
      <c r="AO27" s="1">
        <f t="shared" si="12"/>
        <v>0</v>
      </c>
      <c r="AP27" s="1">
        <f t="shared" si="12"/>
        <v>0</v>
      </c>
      <c r="AQ27" s="1">
        <f t="shared" si="12"/>
        <v>0</v>
      </c>
      <c r="AR27" s="1">
        <f t="shared" si="12"/>
        <v>0</v>
      </c>
      <c r="AS27" s="1">
        <f t="shared" si="12"/>
        <v>0</v>
      </c>
      <c r="AT27" s="1">
        <f t="shared" si="12"/>
        <v>0</v>
      </c>
      <c r="AU27" s="1">
        <f t="shared" si="12"/>
        <v>0</v>
      </c>
      <c r="AV27" s="1">
        <f t="shared" si="12"/>
        <v>0</v>
      </c>
      <c r="AW27" s="1">
        <f t="shared" si="12"/>
        <v>0</v>
      </c>
      <c r="AX27" s="1">
        <f t="shared" si="12"/>
        <v>0</v>
      </c>
      <c r="AY27" s="1">
        <f t="shared" si="12"/>
        <v>0</v>
      </c>
      <c r="AZ27" s="1">
        <f t="shared" si="12"/>
        <v>0</v>
      </c>
      <c r="BA27" s="1">
        <f t="shared" si="12"/>
        <v>0</v>
      </c>
    </row>
    <row r="28" spans="1:54" x14ac:dyDescent="0.35"/>
    <row r="29" spans="1:54" ht="15.75" customHeight="1" x14ac:dyDescent="0.35">
      <c r="A29" s="3" t="s">
        <v>13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4">
        <f t="shared" ref="Q29:BA29" si="13">SUM(Q30:Q31)</f>
        <v>0</v>
      </c>
      <c r="R29" s="4">
        <f t="shared" si="13"/>
        <v>0</v>
      </c>
      <c r="S29" s="4">
        <f t="shared" si="13"/>
        <v>0</v>
      </c>
      <c r="T29" s="4">
        <f t="shared" si="13"/>
        <v>0</v>
      </c>
      <c r="U29" s="4">
        <f t="shared" si="13"/>
        <v>0</v>
      </c>
      <c r="V29" s="4">
        <f t="shared" si="13"/>
        <v>0</v>
      </c>
      <c r="W29" s="4">
        <f t="shared" si="13"/>
        <v>0</v>
      </c>
      <c r="X29" s="4">
        <f t="shared" si="13"/>
        <v>0</v>
      </c>
      <c r="Y29" s="4">
        <f t="shared" si="13"/>
        <v>0</v>
      </c>
      <c r="Z29" s="4">
        <f t="shared" si="13"/>
        <v>0</v>
      </c>
      <c r="AA29" s="4">
        <f t="shared" si="13"/>
        <v>0</v>
      </c>
      <c r="AB29" s="4">
        <f t="shared" si="13"/>
        <v>0</v>
      </c>
      <c r="AC29" s="4">
        <f t="shared" si="13"/>
        <v>0</v>
      </c>
      <c r="AD29" s="4">
        <f t="shared" si="13"/>
        <v>0</v>
      </c>
      <c r="AE29" s="4">
        <f t="shared" si="13"/>
        <v>0</v>
      </c>
      <c r="AF29" s="4">
        <f t="shared" si="13"/>
        <v>0</v>
      </c>
      <c r="AG29" s="4">
        <f t="shared" si="13"/>
        <v>0</v>
      </c>
      <c r="AH29" s="4">
        <f t="shared" si="13"/>
        <v>0</v>
      </c>
      <c r="AI29" s="4">
        <f t="shared" si="13"/>
        <v>0</v>
      </c>
      <c r="AJ29" s="4">
        <f t="shared" si="13"/>
        <v>0</v>
      </c>
      <c r="AK29" s="4">
        <f t="shared" si="13"/>
        <v>0</v>
      </c>
      <c r="AL29" s="4">
        <f t="shared" si="13"/>
        <v>0</v>
      </c>
      <c r="AM29" s="4">
        <f t="shared" si="13"/>
        <v>0</v>
      </c>
      <c r="AN29" s="4">
        <f t="shared" si="13"/>
        <v>0</v>
      </c>
      <c r="AO29" s="4">
        <f t="shared" si="13"/>
        <v>0</v>
      </c>
      <c r="AP29" s="4">
        <f t="shared" si="13"/>
        <v>0</v>
      </c>
      <c r="AQ29" s="4">
        <f t="shared" si="13"/>
        <v>0</v>
      </c>
      <c r="AR29" s="4">
        <f t="shared" si="13"/>
        <v>0</v>
      </c>
      <c r="AS29" s="4">
        <f t="shared" si="13"/>
        <v>0</v>
      </c>
      <c r="AT29" s="4">
        <f t="shared" si="13"/>
        <v>0</v>
      </c>
      <c r="AU29" s="4">
        <f t="shared" si="13"/>
        <v>0</v>
      </c>
      <c r="AV29" s="4">
        <f t="shared" si="13"/>
        <v>0</v>
      </c>
      <c r="AW29" s="4">
        <f t="shared" si="13"/>
        <v>0</v>
      </c>
      <c r="AX29" s="4">
        <f t="shared" si="13"/>
        <v>0</v>
      </c>
      <c r="AY29" s="4">
        <f t="shared" si="13"/>
        <v>0</v>
      </c>
      <c r="AZ29" s="4">
        <f t="shared" si="13"/>
        <v>0</v>
      </c>
      <c r="BA29" s="4">
        <f t="shared" si="13"/>
        <v>0</v>
      </c>
    </row>
    <row r="30" spans="1:54" ht="15.75" customHeight="1" x14ac:dyDescent="0.35">
      <c r="A30" s="5"/>
      <c r="B30" s="5" t="s">
        <v>14</v>
      </c>
      <c r="C30" s="5"/>
      <c r="D30" s="5"/>
      <c r="E30" s="5"/>
      <c r="F30" s="5"/>
      <c r="G30" s="5"/>
      <c r="H30" s="5"/>
      <c r="I30" s="5"/>
      <c r="J30" s="5"/>
      <c r="K30" s="5"/>
      <c r="Q30" s="1">
        <f t="shared" ref="Q30:BA30" si="14">Q117</f>
        <v>0</v>
      </c>
      <c r="R30" s="1">
        <f t="shared" si="14"/>
        <v>0</v>
      </c>
      <c r="S30" s="1">
        <f t="shared" si="14"/>
        <v>0</v>
      </c>
      <c r="T30" s="1">
        <f t="shared" si="14"/>
        <v>0</v>
      </c>
      <c r="U30" s="1">
        <f t="shared" si="14"/>
        <v>0</v>
      </c>
      <c r="V30" s="1">
        <f t="shared" si="14"/>
        <v>0</v>
      </c>
      <c r="W30" s="1">
        <f t="shared" si="14"/>
        <v>0</v>
      </c>
      <c r="X30" s="1">
        <f t="shared" si="14"/>
        <v>0</v>
      </c>
      <c r="Y30" s="1">
        <f t="shared" si="14"/>
        <v>0</v>
      </c>
      <c r="Z30" s="1">
        <f t="shared" si="14"/>
        <v>0</v>
      </c>
      <c r="AA30" s="1">
        <f t="shared" si="14"/>
        <v>0</v>
      </c>
      <c r="AB30" s="1">
        <f t="shared" si="14"/>
        <v>0</v>
      </c>
      <c r="AC30" s="1">
        <f t="shared" si="14"/>
        <v>0</v>
      </c>
      <c r="AD30" s="1">
        <f t="shared" si="14"/>
        <v>0</v>
      </c>
      <c r="AE30" s="1">
        <f t="shared" si="14"/>
        <v>0</v>
      </c>
      <c r="AF30" s="1">
        <f t="shared" si="14"/>
        <v>0</v>
      </c>
      <c r="AG30" s="1">
        <f t="shared" si="14"/>
        <v>0</v>
      </c>
      <c r="AH30" s="1">
        <f t="shared" si="14"/>
        <v>0</v>
      </c>
      <c r="AI30" s="1">
        <f t="shared" si="14"/>
        <v>0</v>
      </c>
      <c r="AJ30" s="1">
        <f t="shared" si="14"/>
        <v>0</v>
      </c>
      <c r="AK30" s="1">
        <f t="shared" si="14"/>
        <v>0</v>
      </c>
      <c r="AL30" s="1">
        <f t="shared" si="14"/>
        <v>0</v>
      </c>
      <c r="AM30" s="1">
        <f t="shared" si="14"/>
        <v>0</v>
      </c>
      <c r="AN30" s="1">
        <f t="shared" si="14"/>
        <v>0</v>
      </c>
      <c r="AO30" s="1">
        <f t="shared" si="14"/>
        <v>0</v>
      </c>
      <c r="AP30" s="1">
        <f t="shared" si="14"/>
        <v>0</v>
      </c>
      <c r="AQ30" s="1">
        <f t="shared" si="14"/>
        <v>0</v>
      </c>
      <c r="AR30" s="1">
        <f t="shared" si="14"/>
        <v>0</v>
      </c>
      <c r="AS30" s="1">
        <f t="shared" si="14"/>
        <v>0</v>
      </c>
      <c r="AT30" s="1">
        <f t="shared" si="14"/>
        <v>0</v>
      </c>
      <c r="AU30" s="1">
        <f t="shared" si="14"/>
        <v>0</v>
      </c>
      <c r="AV30" s="1">
        <f t="shared" si="14"/>
        <v>0</v>
      </c>
      <c r="AW30" s="1">
        <f t="shared" si="14"/>
        <v>0</v>
      </c>
      <c r="AX30" s="1">
        <f t="shared" si="14"/>
        <v>0</v>
      </c>
      <c r="AY30" s="1">
        <f t="shared" si="14"/>
        <v>0</v>
      </c>
      <c r="AZ30" s="1">
        <f t="shared" si="14"/>
        <v>0</v>
      </c>
      <c r="BA30" s="1">
        <f t="shared" si="14"/>
        <v>0</v>
      </c>
    </row>
    <row r="31" spans="1:54" ht="15.75" customHeight="1" x14ac:dyDescent="0.35">
      <c r="A31" s="5"/>
      <c r="B31" s="5" t="s">
        <v>15</v>
      </c>
      <c r="C31" s="5"/>
      <c r="D31" s="5"/>
      <c r="E31" s="5"/>
      <c r="F31" s="5"/>
      <c r="G31" s="5"/>
      <c r="H31" s="5"/>
      <c r="I31" s="5"/>
      <c r="J31" s="5"/>
      <c r="K31" s="5"/>
      <c r="Q31" s="1">
        <f t="shared" ref="Q31:AQ31" si="15">SUM(Q130,Q145)</f>
        <v>0</v>
      </c>
      <c r="R31" s="1">
        <f t="shared" si="15"/>
        <v>0</v>
      </c>
      <c r="S31" s="1">
        <f t="shared" si="15"/>
        <v>0</v>
      </c>
      <c r="T31" s="1">
        <f t="shared" si="15"/>
        <v>0</v>
      </c>
      <c r="U31" s="1">
        <f t="shared" si="15"/>
        <v>0</v>
      </c>
      <c r="V31" s="1">
        <f t="shared" si="15"/>
        <v>0</v>
      </c>
      <c r="W31" s="1">
        <f t="shared" si="15"/>
        <v>0</v>
      </c>
      <c r="X31" s="1">
        <f t="shared" si="15"/>
        <v>0</v>
      </c>
      <c r="Y31" s="1">
        <f t="shared" si="15"/>
        <v>0</v>
      </c>
      <c r="Z31" s="1">
        <f t="shared" si="15"/>
        <v>0</v>
      </c>
      <c r="AA31" s="1">
        <f t="shared" si="15"/>
        <v>0</v>
      </c>
      <c r="AB31" s="1">
        <f t="shared" si="15"/>
        <v>0</v>
      </c>
      <c r="AC31" s="1">
        <f t="shared" si="15"/>
        <v>0</v>
      </c>
      <c r="AD31" s="1">
        <f t="shared" si="15"/>
        <v>0</v>
      </c>
      <c r="AE31" s="1">
        <f t="shared" si="15"/>
        <v>0</v>
      </c>
      <c r="AF31" s="1">
        <f t="shared" si="15"/>
        <v>0</v>
      </c>
      <c r="AG31" s="1">
        <f t="shared" si="15"/>
        <v>0</v>
      </c>
      <c r="AH31" s="1">
        <f t="shared" si="15"/>
        <v>0</v>
      </c>
      <c r="AI31" s="1">
        <f t="shared" si="15"/>
        <v>0</v>
      </c>
      <c r="AJ31" s="1">
        <f t="shared" si="15"/>
        <v>0</v>
      </c>
      <c r="AK31" s="1">
        <f t="shared" si="15"/>
        <v>0</v>
      </c>
      <c r="AL31" s="1">
        <f t="shared" si="15"/>
        <v>0</v>
      </c>
      <c r="AM31" s="1">
        <f t="shared" si="15"/>
        <v>0</v>
      </c>
      <c r="AN31" s="1">
        <f t="shared" si="15"/>
        <v>0</v>
      </c>
      <c r="AO31" s="1">
        <f t="shared" si="15"/>
        <v>0</v>
      </c>
      <c r="AP31" s="1">
        <f t="shared" si="15"/>
        <v>0</v>
      </c>
      <c r="AQ31" s="1">
        <f t="shared" si="15"/>
        <v>0</v>
      </c>
      <c r="AR31" s="1">
        <f>SUM(AR130,AR145)</f>
        <v>0</v>
      </c>
      <c r="AS31" s="1">
        <f t="shared" ref="AS31:BA31" si="16">SUM(AS130,AS145)</f>
        <v>0</v>
      </c>
      <c r="AT31" s="1">
        <f t="shared" si="16"/>
        <v>0</v>
      </c>
      <c r="AU31" s="1">
        <f t="shared" si="16"/>
        <v>0</v>
      </c>
      <c r="AV31" s="1">
        <f t="shared" si="16"/>
        <v>0</v>
      </c>
      <c r="AW31" s="1">
        <f t="shared" si="16"/>
        <v>0</v>
      </c>
      <c r="AX31" s="1">
        <f t="shared" si="16"/>
        <v>0</v>
      </c>
      <c r="AY31" s="1">
        <f t="shared" si="16"/>
        <v>0</v>
      </c>
      <c r="AZ31" s="1">
        <f t="shared" si="16"/>
        <v>0</v>
      </c>
      <c r="BA31" s="1">
        <f t="shared" si="16"/>
        <v>0</v>
      </c>
    </row>
    <row r="32" spans="1:54" x14ac:dyDescent="0.35"/>
    <row r="33" spans="1:54" ht="15.75" customHeight="1" thickBot="1" x14ac:dyDescent="0.4">
      <c r="A33" s="44" t="s">
        <v>64</v>
      </c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5"/>
    </row>
    <row r="34" spans="1:54" ht="15" thickTop="1" x14ac:dyDescent="0.35"/>
    <row r="35" spans="1:54" ht="15.75" customHeight="1" x14ac:dyDescent="0.35">
      <c r="A35" s="3" t="s">
        <v>16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4">
        <f t="shared" ref="N35:N43" si="17">SUM(Q35:BA35)</f>
        <v>0</v>
      </c>
      <c r="O35" s="3"/>
      <c r="P35" s="3"/>
      <c r="Q35" s="4">
        <f t="shared" ref="Q35:BA35" si="18">SUM(Q36:Q43)</f>
        <v>0</v>
      </c>
      <c r="R35" s="4">
        <f t="shared" si="18"/>
        <v>0</v>
      </c>
      <c r="S35" s="4">
        <f t="shared" si="18"/>
        <v>0</v>
      </c>
      <c r="T35" s="4">
        <f t="shared" si="18"/>
        <v>0</v>
      </c>
      <c r="U35" s="4">
        <f t="shared" si="18"/>
        <v>0</v>
      </c>
      <c r="V35" s="4">
        <f t="shared" si="18"/>
        <v>0</v>
      </c>
      <c r="W35" s="4">
        <f t="shared" si="18"/>
        <v>0</v>
      </c>
      <c r="X35" s="4">
        <f t="shared" si="18"/>
        <v>0</v>
      </c>
      <c r="Y35" s="4">
        <f t="shared" si="18"/>
        <v>0</v>
      </c>
      <c r="Z35" s="4">
        <f t="shared" si="18"/>
        <v>0</v>
      </c>
      <c r="AA35" s="4">
        <f t="shared" si="18"/>
        <v>0</v>
      </c>
      <c r="AB35" s="4">
        <f t="shared" si="18"/>
        <v>0</v>
      </c>
      <c r="AC35" s="4">
        <f t="shared" si="18"/>
        <v>0</v>
      </c>
      <c r="AD35" s="4">
        <f t="shared" si="18"/>
        <v>0</v>
      </c>
      <c r="AE35" s="4">
        <f t="shared" si="18"/>
        <v>0</v>
      </c>
      <c r="AF35" s="4">
        <f t="shared" si="18"/>
        <v>0</v>
      </c>
      <c r="AG35" s="4">
        <f t="shared" si="18"/>
        <v>0</v>
      </c>
      <c r="AH35" s="4">
        <f t="shared" si="18"/>
        <v>0</v>
      </c>
      <c r="AI35" s="4">
        <f t="shared" si="18"/>
        <v>0</v>
      </c>
      <c r="AJ35" s="4">
        <f t="shared" si="18"/>
        <v>0</v>
      </c>
      <c r="AK35" s="4">
        <f t="shared" si="18"/>
        <v>0</v>
      </c>
      <c r="AL35" s="4">
        <f t="shared" si="18"/>
        <v>0</v>
      </c>
      <c r="AM35" s="4">
        <f t="shared" si="18"/>
        <v>0</v>
      </c>
      <c r="AN35" s="4">
        <f t="shared" si="18"/>
        <v>0</v>
      </c>
      <c r="AO35" s="4">
        <f t="shared" si="18"/>
        <v>0</v>
      </c>
      <c r="AP35" s="4">
        <f t="shared" si="18"/>
        <v>0</v>
      </c>
      <c r="AQ35" s="4">
        <f t="shared" si="18"/>
        <v>0</v>
      </c>
      <c r="AR35" s="4">
        <f t="shared" si="18"/>
        <v>0</v>
      </c>
      <c r="AS35" s="4">
        <f t="shared" si="18"/>
        <v>0</v>
      </c>
      <c r="AT35" s="4">
        <f t="shared" si="18"/>
        <v>0</v>
      </c>
      <c r="AU35" s="4">
        <f t="shared" si="18"/>
        <v>0</v>
      </c>
      <c r="AV35" s="4">
        <f t="shared" si="18"/>
        <v>0</v>
      </c>
      <c r="AW35" s="4">
        <f t="shared" si="18"/>
        <v>0</v>
      </c>
      <c r="AX35" s="4">
        <f t="shared" si="18"/>
        <v>0</v>
      </c>
      <c r="AY35" s="4">
        <f t="shared" si="18"/>
        <v>0</v>
      </c>
      <c r="AZ35" s="4">
        <f t="shared" si="18"/>
        <v>0</v>
      </c>
      <c r="BA35" s="4">
        <f t="shared" si="18"/>
        <v>0</v>
      </c>
    </row>
    <row r="36" spans="1:54" ht="15.75" customHeight="1" x14ac:dyDescent="0.35">
      <c r="A36" s="5"/>
      <c r="B36" s="5" t="s">
        <v>136</v>
      </c>
      <c r="C36" s="5"/>
      <c r="D36" s="5"/>
      <c r="E36" s="5"/>
      <c r="F36" s="5"/>
      <c r="G36" s="5"/>
      <c r="H36" s="5"/>
      <c r="I36" s="5"/>
      <c r="J36" s="5"/>
      <c r="K36" s="5"/>
      <c r="L36" s="5"/>
      <c r="N36" s="1">
        <f t="shared" si="17"/>
        <v>0</v>
      </c>
      <c r="Q36" s="1">
        <f t="shared" ref="Q36:BA36" si="19">Q88</f>
        <v>0</v>
      </c>
      <c r="R36" s="1">
        <f t="shared" si="19"/>
        <v>0</v>
      </c>
      <c r="S36" s="1">
        <f t="shared" si="19"/>
        <v>0</v>
      </c>
      <c r="T36" s="1">
        <f t="shared" si="19"/>
        <v>0</v>
      </c>
      <c r="U36" s="1">
        <f t="shared" si="19"/>
        <v>0</v>
      </c>
      <c r="V36" s="1">
        <f t="shared" si="19"/>
        <v>0</v>
      </c>
      <c r="W36" s="1">
        <f t="shared" si="19"/>
        <v>0</v>
      </c>
      <c r="X36" s="1">
        <f t="shared" si="19"/>
        <v>0</v>
      </c>
      <c r="Y36" s="1">
        <f t="shared" si="19"/>
        <v>0</v>
      </c>
      <c r="Z36" s="1">
        <f t="shared" si="19"/>
        <v>0</v>
      </c>
      <c r="AA36" s="1">
        <f t="shared" si="19"/>
        <v>0</v>
      </c>
      <c r="AB36" s="1">
        <f t="shared" si="19"/>
        <v>0</v>
      </c>
      <c r="AC36" s="1">
        <f t="shared" si="19"/>
        <v>0</v>
      </c>
      <c r="AD36" s="1">
        <f t="shared" si="19"/>
        <v>0</v>
      </c>
      <c r="AE36" s="1">
        <f t="shared" si="19"/>
        <v>0</v>
      </c>
      <c r="AF36" s="1">
        <f t="shared" si="19"/>
        <v>0</v>
      </c>
      <c r="AG36" s="1">
        <f t="shared" si="19"/>
        <v>0</v>
      </c>
      <c r="AH36" s="1">
        <f t="shared" si="19"/>
        <v>0</v>
      </c>
      <c r="AI36" s="1">
        <f t="shared" si="19"/>
        <v>0</v>
      </c>
      <c r="AJ36" s="1">
        <f t="shared" si="19"/>
        <v>0</v>
      </c>
      <c r="AK36" s="1">
        <f t="shared" si="19"/>
        <v>0</v>
      </c>
      <c r="AL36" s="1">
        <f t="shared" si="19"/>
        <v>0</v>
      </c>
      <c r="AM36" s="1">
        <f t="shared" si="19"/>
        <v>0</v>
      </c>
      <c r="AN36" s="1">
        <f t="shared" si="19"/>
        <v>0</v>
      </c>
      <c r="AO36" s="1">
        <f t="shared" si="19"/>
        <v>0</v>
      </c>
      <c r="AP36" s="1">
        <f t="shared" si="19"/>
        <v>0</v>
      </c>
      <c r="AQ36" s="1">
        <f t="shared" si="19"/>
        <v>0</v>
      </c>
      <c r="AR36" s="1">
        <f t="shared" si="19"/>
        <v>0</v>
      </c>
      <c r="AS36" s="1">
        <f t="shared" si="19"/>
        <v>0</v>
      </c>
      <c r="AT36" s="1">
        <f t="shared" si="19"/>
        <v>0</v>
      </c>
      <c r="AU36" s="1">
        <f t="shared" si="19"/>
        <v>0</v>
      </c>
      <c r="AV36" s="1">
        <f t="shared" si="19"/>
        <v>0</v>
      </c>
      <c r="AW36" s="1">
        <f t="shared" si="19"/>
        <v>0</v>
      </c>
      <c r="AX36" s="1">
        <f t="shared" si="19"/>
        <v>0</v>
      </c>
      <c r="AY36" s="1">
        <f t="shared" si="19"/>
        <v>0</v>
      </c>
      <c r="AZ36" s="1">
        <f t="shared" si="19"/>
        <v>0</v>
      </c>
      <c r="BA36" s="1">
        <f t="shared" si="19"/>
        <v>0</v>
      </c>
    </row>
    <row r="37" spans="1:54" ht="15.75" customHeight="1" x14ac:dyDescent="0.35">
      <c r="A37" s="5"/>
      <c r="B37" s="5" t="s">
        <v>99</v>
      </c>
      <c r="C37" s="5"/>
      <c r="D37" s="5"/>
      <c r="E37" s="5"/>
      <c r="F37" s="5"/>
      <c r="G37" s="5"/>
      <c r="H37" s="5"/>
      <c r="I37" s="5"/>
      <c r="J37" s="5"/>
      <c r="K37" s="5"/>
      <c r="L37" s="5"/>
      <c r="N37" s="1">
        <f t="shared" si="17"/>
        <v>0</v>
      </c>
      <c r="Q37" s="1">
        <f t="shared" ref="Q37:BA38" si="20">-Q176</f>
        <v>0</v>
      </c>
      <c r="R37" s="1">
        <f t="shared" si="20"/>
        <v>0</v>
      </c>
      <c r="S37" s="1">
        <f t="shared" si="20"/>
        <v>0</v>
      </c>
      <c r="T37" s="1">
        <f t="shared" si="20"/>
        <v>0</v>
      </c>
      <c r="U37" s="1">
        <f t="shared" si="20"/>
        <v>0</v>
      </c>
      <c r="V37" s="1">
        <f t="shared" si="20"/>
        <v>0</v>
      </c>
      <c r="W37" s="1">
        <f t="shared" si="20"/>
        <v>0</v>
      </c>
      <c r="X37" s="1">
        <f t="shared" si="20"/>
        <v>0</v>
      </c>
      <c r="Y37" s="1">
        <f t="shared" si="20"/>
        <v>0</v>
      </c>
      <c r="Z37" s="1">
        <f t="shared" si="20"/>
        <v>0</v>
      </c>
      <c r="AA37" s="1">
        <f t="shared" si="20"/>
        <v>0</v>
      </c>
      <c r="AB37" s="1">
        <f t="shared" si="20"/>
        <v>0</v>
      </c>
      <c r="AC37" s="1">
        <f t="shared" si="20"/>
        <v>0</v>
      </c>
      <c r="AD37" s="1">
        <f t="shared" si="20"/>
        <v>0</v>
      </c>
      <c r="AE37" s="1">
        <f t="shared" si="20"/>
        <v>0</v>
      </c>
      <c r="AF37" s="1">
        <f t="shared" si="20"/>
        <v>0</v>
      </c>
      <c r="AG37" s="1">
        <f t="shared" si="20"/>
        <v>0</v>
      </c>
      <c r="AH37" s="1">
        <f t="shared" si="20"/>
        <v>0</v>
      </c>
      <c r="AI37" s="1">
        <f t="shared" si="20"/>
        <v>0</v>
      </c>
      <c r="AJ37" s="1">
        <f t="shared" si="20"/>
        <v>0</v>
      </c>
      <c r="AK37" s="1">
        <f t="shared" si="20"/>
        <v>0</v>
      </c>
      <c r="AL37" s="1">
        <f t="shared" si="20"/>
        <v>0</v>
      </c>
      <c r="AM37" s="1">
        <f t="shared" si="20"/>
        <v>0</v>
      </c>
      <c r="AN37" s="1">
        <f t="shared" si="20"/>
        <v>0</v>
      </c>
      <c r="AO37" s="1">
        <f t="shared" si="20"/>
        <v>0</v>
      </c>
      <c r="AP37" s="1">
        <f t="shared" si="20"/>
        <v>0</v>
      </c>
      <c r="AQ37" s="1">
        <f t="shared" si="20"/>
        <v>0</v>
      </c>
      <c r="AR37" s="1">
        <f t="shared" si="20"/>
        <v>0</v>
      </c>
      <c r="AS37" s="1">
        <f t="shared" si="20"/>
        <v>0</v>
      </c>
      <c r="AT37" s="1">
        <f t="shared" si="20"/>
        <v>0</v>
      </c>
      <c r="AU37" s="1">
        <f t="shared" si="20"/>
        <v>0</v>
      </c>
      <c r="AV37" s="1">
        <f t="shared" si="20"/>
        <v>0</v>
      </c>
      <c r="AW37" s="1">
        <f t="shared" si="20"/>
        <v>0</v>
      </c>
      <c r="AX37" s="1">
        <f t="shared" si="20"/>
        <v>0</v>
      </c>
      <c r="AY37" s="1">
        <f t="shared" si="20"/>
        <v>0</v>
      </c>
      <c r="AZ37" s="1">
        <f t="shared" si="20"/>
        <v>0</v>
      </c>
      <c r="BA37" s="1">
        <f t="shared" si="20"/>
        <v>0</v>
      </c>
    </row>
    <row r="38" spans="1:54" ht="15.75" customHeight="1" x14ac:dyDescent="0.35">
      <c r="A38" s="5"/>
      <c r="B38" s="5" t="s">
        <v>100</v>
      </c>
      <c r="C38" s="5"/>
      <c r="D38" s="5"/>
      <c r="E38" s="5"/>
      <c r="F38" s="5"/>
      <c r="G38" s="5"/>
      <c r="H38" s="5"/>
      <c r="I38" s="5"/>
      <c r="J38" s="5"/>
      <c r="K38" s="5"/>
      <c r="L38" s="5"/>
      <c r="N38" s="1">
        <f t="shared" si="17"/>
        <v>0</v>
      </c>
      <c r="Q38" s="1">
        <f t="shared" si="20"/>
        <v>0</v>
      </c>
      <c r="R38" s="1">
        <f t="shared" si="20"/>
        <v>0</v>
      </c>
      <c r="S38" s="1">
        <f t="shared" si="20"/>
        <v>0</v>
      </c>
      <c r="T38" s="1">
        <f t="shared" si="20"/>
        <v>0</v>
      </c>
      <c r="U38" s="1">
        <f t="shared" si="20"/>
        <v>0</v>
      </c>
      <c r="V38" s="1">
        <f t="shared" si="20"/>
        <v>0</v>
      </c>
      <c r="W38" s="1">
        <f t="shared" si="20"/>
        <v>0</v>
      </c>
      <c r="X38" s="1">
        <f t="shared" si="20"/>
        <v>0</v>
      </c>
      <c r="Y38" s="1">
        <f t="shared" si="20"/>
        <v>0</v>
      </c>
      <c r="Z38" s="1">
        <f t="shared" si="20"/>
        <v>0</v>
      </c>
      <c r="AA38" s="1">
        <f t="shared" si="20"/>
        <v>0</v>
      </c>
      <c r="AB38" s="1">
        <f t="shared" si="20"/>
        <v>0</v>
      </c>
      <c r="AC38" s="1">
        <f t="shared" si="20"/>
        <v>0</v>
      </c>
      <c r="AD38" s="1">
        <f t="shared" si="20"/>
        <v>0</v>
      </c>
      <c r="AE38" s="1">
        <f t="shared" si="20"/>
        <v>0</v>
      </c>
      <c r="AF38" s="1">
        <f t="shared" si="20"/>
        <v>0</v>
      </c>
      <c r="AG38" s="1">
        <f t="shared" si="20"/>
        <v>0</v>
      </c>
      <c r="AH38" s="1">
        <f t="shared" si="20"/>
        <v>0</v>
      </c>
      <c r="AI38" s="1">
        <f t="shared" si="20"/>
        <v>0</v>
      </c>
      <c r="AJ38" s="1">
        <f t="shared" si="20"/>
        <v>0</v>
      </c>
      <c r="AK38" s="1">
        <f t="shared" si="20"/>
        <v>0</v>
      </c>
      <c r="AL38" s="1">
        <f t="shared" si="20"/>
        <v>0</v>
      </c>
      <c r="AM38" s="1">
        <f t="shared" si="20"/>
        <v>0</v>
      </c>
      <c r="AN38" s="1">
        <f t="shared" si="20"/>
        <v>0</v>
      </c>
      <c r="AO38" s="1">
        <f t="shared" si="20"/>
        <v>0</v>
      </c>
      <c r="AP38" s="1">
        <f t="shared" si="20"/>
        <v>0</v>
      </c>
      <c r="AQ38" s="1">
        <f t="shared" si="20"/>
        <v>0</v>
      </c>
      <c r="AR38" s="1">
        <f t="shared" si="20"/>
        <v>0</v>
      </c>
      <c r="AS38" s="1">
        <f t="shared" si="20"/>
        <v>0</v>
      </c>
      <c r="AT38" s="1">
        <f t="shared" si="20"/>
        <v>0</v>
      </c>
      <c r="AU38" s="1">
        <f t="shared" si="20"/>
        <v>0</v>
      </c>
      <c r="AV38" s="1">
        <f t="shared" si="20"/>
        <v>0</v>
      </c>
      <c r="AW38" s="1">
        <f t="shared" si="20"/>
        <v>0</v>
      </c>
      <c r="AX38" s="1">
        <f t="shared" si="20"/>
        <v>0</v>
      </c>
      <c r="AY38" s="1">
        <f t="shared" si="20"/>
        <v>0</v>
      </c>
      <c r="AZ38" s="1">
        <f t="shared" si="20"/>
        <v>0</v>
      </c>
      <c r="BA38" s="1">
        <f t="shared" si="20"/>
        <v>0</v>
      </c>
    </row>
    <row r="39" spans="1:54" ht="15.75" customHeight="1" x14ac:dyDescent="0.35">
      <c r="A39" s="5"/>
      <c r="B39" s="5" t="s">
        <v>66</v>
      </c>
      <c r="C39" s="5"/>
      <c r="D39" s="5"/>
      <c r="E39" s="5"/>
      <c r="F39" s="5"/>
      <c r="G39" s="5"/>
      <c r="H39" s="5"/>
      <c r="I39" s="5"/>
      <c r="J39" s="5"/>
      <c r="K39" s="5"/>
      <c r="L39" s="5"/>
      <c r="N39" s="1">
        <f t="shared" si="17"/>
        <v>0</v>
      </c>
      <c r="Q39" s="1">
        <f t="shared" ref="Q39:BA39" si="21">-Q69</f>
        <v>0</v>
      </c>
      <c r="R39" s="1">
        <f t="shared" si="21"/>
        <v>0</v>
      </c>
      <c r="S39" s="1">
        <f t="shared" si="21"/>
        <v>0</v>
      </c>
      <c r="T39" s="1">
        <f t="shared" si="21"/>
        <v>0</v>
      </c>
      <c r="U39" s="1">
        <f t="shared" si="21"/>
        <v>0</v>
      </c>
      <c r="V39" s="1">
        <f t="shared" si="21"/>
        <v>0</v>
      </c>
      <c r="W39" s="1">
        <f t="shared" si="21"/>
        <v>0</v>
      </c>
      <c r="X39" s="1">
        <f t="shared" si="21"/>
        <v>0</v>
      </c>
      <c r="Y39" s="1">
        <f t="shared" si="21"/>
        <v>0</v>
      </c>
      <c r="Z39" s="1">
        <f t="shared" si="21"/>
        <v>0</v>
      </c>
      <c r="AA39" s="1">
        <f t="shared" si="21"/>
        <v>0</v>
      </c>
      <c r="AB39" s="1">
        <f t="shared" si="21"/>
        <v>0</v>
      </c>
      <c r="AC39" s="1">
        <f t="shared" si="21"/>
        <v>0</v>
      </c>
      <c r="AD39" s="1">
        <f t="shared" si="21"/>
        <v>0</v>
      </c>
      <c r="AE39" s="1">
        <f t="shared" si="21"/>
        <v>0</v>
      </c>
      <c r="AF39" s="1">
        <f t="shared" si="21"/>
        <v>0</v>
      </c>
      <c r="AG39" s="1">
        <f t="shared" si="21"/>
        <v>0</v>
      </c>
      <c r="AH39" s="1">
        <f t="shared" si="21"/>
        <v>0</v>
      </c>
      <c r="AI39" s="1">
        <f t="shared" si="21"/>
        <v>0</v>
      </c>
      <c r="AJ39" s="1">
        <f t="shared" si="21"/>
        <v>0</v>
      </c>
      <c r="AK39" s="1">
        <f t="shared" si="21"/>
        <v>0</v>
      </c>
      <c r="AL39" s="1">
        <f t="shared" si="21"/>
        <v>0</v>
      </c>
      <c r="AM39" s="1">
        <f t="shared" si="21"/>
        <v>0</v>
      </c>
      <c r="AN39" s="1">
        <f t="shared" si="21"/>
        <v>0</v>
      </c>
      <c r="AO39" s="1">
        <f t="shared" si="21"/>
        <v>0</v>
      </c>
      <c r="AP39" s="1">
        <f t="shared" si="21"/>
        <v>0</v>
      </c>
      <c r="AQ39" s="1">
        <f t="shared" si="21"/>
        <v>0</v>
      </c>
      <c r="AR39" s="1">
        <f t="shared" si="21"/>
        <v>0</v>
      </c>
      <c r="AS39" s="1">
        <f t="shared" si="21"/>
        <v>0</v>
      </c>
      <c r="AT39" s="1">
        <f t="shared" si="21"/>
        <v>0</v>
      </c>
      <c r="AU39" s="1">
        <f t="shared" si="21"/>
        <v>0</v>
      </c>
      <c r="AV39" s="1">
        <f t="shared" si="21"/>
        <v>0</v>
      </c>
      <c r="AW39" s="1">
        <f t="shared" si="21"/>
        <v>0</v>
      </c>
      <c r="AX39" s="1">
        <f t="shared" si="21"/>
        <v>0</v>
      </c>
      <c r="AY39" s="1">
        <f t="shared" si="21"/>
        <v>0</v>
      </c>
      <c r="AZ39" s="1">
        <f t="shared" si="21"/>
        <v>0</v>
      </c>
      <c r="BA39" s="1">
        <f t="shared" si="21"/>
        <v>0</v>
      </c>
    </row>
    <row r="40" spans="1:54" ht="15.75" customHeight="1" x14ac:dyDescent="0.35">
      <c r="A40" s="5"/>
      <c r="B40" s="5" t="s">
        <v>142</v>
      </c>
      <c r="C40" s="5"/>
      <c r="D40" s="5"/>
      <c r="E40" s="5"/>
      <c r="F40" s="5"/>
      <c r="G40" s="5"/>
      <c r="H40" s="5"/>
      <c r="I40" s="5"/>
      <c r="J40" s="5"/>
      <c r="K40" s="5"/>
      <c r="L40" s="5"/>
      <c r="N40" s="1">
        <f t="shared" si="17"/>
        <v>0</v>
      </c>
      <c r="Q40" s="1">
        <f t="shared" ref="Q40:BA40" si="22">-Q74</f>
        <v>0</v>
      </c>
      <c r="R40" s="1">
        <f t="shared" si="22"/>
        <v>0</v>
      </c>
      <c r="S40" s="1">
        <f t="shared" si="22"/>
        <v>0</v>
      </c>
      <c r="T40" s="1">
        <f t="shared" si="22"/>
        <v>0</v>
      </c>
      <c r="U40" s="1">
        <f t="shared" si="22"/>
        <v>0</v>
      </c>
      <c r="V40" s="1">
        <f t="shared" si="22"/>
        <v>0</v>
      </c>
      <c r="W40" s="1">
        <f t="shared" si="22"/>
        <v>0</v>
      </c>
      <c r="X40" s="1">
        <f t="shared" si="22"/>
        <v>0</v>
      </c>
      <c r="Y40" s="1">
        <f t="shared" si="22"/>
        <v>0</v>
      </c>
      <c r="Z40" s="1">
        <f t="shared" si="22"/>
        <v>0</v>
      </c>
      <c r="AA40" s="1">
        <f t="shared" si="22"/>
        <v>0</v>
      </c>
      <c r="AB40" s="1">
        <f t="shared" si="22"/>
        <v>0</v>
      </c>
      <c r="AC40" s="1">
        <f t="shared" si="22"/>
        <v>0</v>
      </c>
      <c r="AD40" s="1">
        <f t="shared" si="22"/>
        <v>0</v>
      </c>
      <c r="AE40" s="1">
        <f t="shared" si="22"/>
        <v>0</v>
      </c>
      <c r="AF40" s="1">
        <f t="shared" si="22"/>
        <v>0</v>
      </c>
      <c r="AG40" s="1">
        <f t="shared" si="22"/>
        <v>0</v>
      </c>
      <c r="AH40" s="1">
        <f t="shared" si="22"/>
        <v>0</v>
      </c>
      <c r="AI40" s="1">
        <f t="shared" si="22"/>
        <v>0</v>
      </c>
      <c r="AJ40" s="1">
        <f t="shared" si="22"/>
        <v>0</v>
      </c>
      <c r="AK40" s="1">
        <f t="shared" si="22"/>
        <v>0</v>
      </c>
      <c r="AL40" s="1">
        <f t="shared" si="22"/>
        <v>0</v>
      </c>
      <c r="AM40" s="1">
        <f t="shared" si="22"/>
        <v>0</v>
      </c>
      <c r="AN40" s="1">
        <f t="shared" si="22"/>
        <v>0</v>
      </c>
      <c r="AO40" s="1">
        <f t="shared" si="22"/>
        <v>0</v>
      </c>
      <c r="AP40" s="1">
        <f t="shared" si="22"/>
        <v>0</v>
      </c>
      <c r="AQ40" s="1">
        <f t="shared" si="22"/>
        <v>0</v>
      </c>
      <c r="AR40" s="1">
        <f t="shared" si="22"/>
        <v>0</v>
      </c>
      <c r="AS40" s="1">
        <f t="shared" si="22"/>
        <v>0</v>
      </c>
      <c r="AT40" s="1">
        <f t="shared" si="22"/>
        <v>0</v>
      </c>
      <c r="AU40" s="1">
        <f t="shared" si="22"/>
        <v>0</v>
      </c>
      <c r="AV40" s="1">
        <f t="shared" si="22"/>
        <v>0</v>
      </c>
      <c r="AW40" s="1">
        <f t="shared" si="22"/>
        <v>0</v>
      </c>
      <c r="AX40" s="1">
        <f t="shared" si="22"/>
        <v>0</v>
      </c>
      <c r="AY40" s="1">
        <f t="shared" si="22"/>
        <v>0</v>
      </c>
      <c r="AZ40" s="1">
        <f t="shared" si="22"/>
        <v>0</v>
      </c>
      <c r="BA40" s="1">
        <f t="shared" si="22"/>
        <v>0</v>
      </c>
    </row>
    <row r="41" spans="1:54" ht="15.75" customHeight="1" x14ac:dyDescent="0.35">
      <c r="A41" s="5"/>
      <c r="B41" s="5" t="s">
        <v>6</v>
      </c>
      <c r="C41" s="5"/>
      <c r="D41" s="5"/>
      <c r="E41" s="5"/>
      <c r="F41" s="5"/>
      <c r="G41" s="5"/>
      <c r="H41" s="5"/>
      <c r="I41" s="5"/>
      <c r="J41" s="5"/>
      <c r="K41" s="5"/>
      <c r="L41" s="5"/>
      <c r="N41" s="1">
        <f t="shared" si="17"/>
        <v>0</v>
      </c>
      <c r="Q41" s="1">
        <f t="shared" ref="Q41:BA41" si="23">-Q73</f>
        <v>0</v>
      </c>
      <c r="R41" s="1">
        <f t="shared" si="23"/>
        <v>0</v>
      </c>
      <c r="S41" s="1">
        <f t="shared" si="23"/>
        <v>0</v>
      </c>
      <c r="T41" s="1">
        <f t="shared" si="23"/>
        <v>0</v>
      </c>
      <c r="U41" s="1">
        <f t="shared" si="23"/>
        <v>0</v>
      </c>
      <c r="V41" s="1">
        <f t="shared" si="23"/>
        <v>0</v>
      </c>
      <c r="W41" s="1">
        <f t="shared" si="23"/>
        <v>0</v>
      </c>
      <c r="X41" s="1">
        <f t="shared" si="23"/>
        <v>0</v>
      </c>
      <c r="Y41" s="1">
        <f t="shared" si="23"/>
        <v>0</v>
      </c>
      <c r="Z41" s="1">
        <f t="shared" si="23"/>
        <v>0</v>
      </c>
      <c r="AA41" s="1">
        <f t="shared" si="23"/>
        <v>0</v>
      </c>
      <c r="AB41" s="1">
        <f t="shared" si="23"/>
        <v>0</v>
      </c>
      <c r="AC41" s="1">
        <f t="shared" si="23"/>
        <v>0</v>
      </c>
      <c r="AD41" s="1">
        <f t="shared" si="23"/>
        <v>0</v>
      </c>
      <c r="AE41" s="1">
        <f t="shared" si="23"/>
        <v>0</v>
      </c>
      <c r="AF41" s="1">
        <f t="shared" si="23"/>
        <v>0</v>
      </c>
      <c r="AG41" s="1">
        <f t="shared" si="23"/>
        <v>0</v>
      </c>
      <c r="AH41" s="1">
        <f t="shared" si="23"/>
        <v>0</v>
      </c>
      <c r="AI41" s="1">
        <f t="shared" si="23"/>
        <v>0</v>
      </c>
      <c r="AJ41" s="1">
        <f t="shared" si="23"/>
        <v>0</v>
      </c>
      <c r="AK41" s="1">
        <f t="shared" si="23"/>
        <v>0</v>
      </c>
      <c r="AL41" s="1">
        <f t="shared" si="23"/>
        <v>0</v>
      </c>
      <c r="AM41" s="1">
        <f t="shared" si="23"/>
        <v>0</v>
      </c>
      <c r="AN41" s="1">
        <f t="shared" si="23"/>
        <v>0</v>
      </c>
      <c r="AO41" s="1">
        <f t="shared" si="23"/>
        <v>0</v>
      </c>
      <c r="AP41" s="1">
        <f t="shared" si="23"/>
        <v>0</v>
      </c>
      <c r="AQ41" s="1">
        <f t="shared" si="23"/>
        <v>0</v>
      </c>
      <c r="AR41" s="1">
        <f t="shared" si="23"/>
        <v>0</v>
      </c>
      <c r="AS41" s="1">
        <f t="shared" si="23"/>
        <v>0</v>
      </c>
      <c r="AT41" s="1">
        <f t="shared" si="23"/>
        <v>0</v>
      </c>
      <c r="AU41" s="1">
        <f t="shared" si="23"/>
        <v>0</v>
      </c>
      <c r="AV41" s="1">
        <f t="shared" si="23"/>
        <v>0</v>
      </c>
      <c r="AW41" s="1">
        <f t="shared" si="23"/>
        <v>0</v>
      </c>
      <c r="AX41" s="1">
        <f t="shared" si="23"/>
        <v>0</v>
      </c>
      <c r="AY41" s="1">
        <f t="shared" si="23"/>
        <v>0</v>
      </c>
      <c r="AZ41" s="1">
        <f t="shared" si="23"/>
        <v>0</v>
      </c>
      <c r="BA41" s="1">
        <f t="shared" si="23"/>
        <v>0</v>
      </c>
    </row>
    <row r="42" spans="1:54" ht="15.75" customHeight="1" x14ac:dyDescent="0.35">
      <c r="A42" s="5"/>
      <c r="B42" s="5" t="s">
        <v>9</v>
      </c>
      <c r="C42" s="5"/>
      <c r="D42" s="5"/>
      <c r="E42" s="5"/>
      <c r="F42" s="5"/>
      <c r="G42" s="5"/>
      <c r="H42" s="5"/>
      <c r="I42" s="5"/>
      <c r="J42" s="5"/>
      <c r="K42" s="5"/>
      <c r="L42" s="5"/>
      <c r="N42" s="1">
        <f t="shared" si="17"/>
        <v>0</v>
      </c>
      <c r="Q42" s="1">
        <f t="shared" ref="Q42:BA42" si="24">-Q19</f>
        <v>0</v>
      </c>
      <c r="R42" s="1">
        <f t="shared" si="24"/>
        <v>0</v>
      </c>
      <c r="S42" s="1">
        <f t="shared" si="24"/>
        <v>0</v>
      </c>
      <c r="T42" s="1">
        <f t="shared" si="24"/>
        <v>0</v>
      </c>
      <c r="U42" s="1">
        <f t="shared" si="24"/>
        <v>0</v>
      </c>
      <c r="V42" s="1">
        <f t="shared" si="24"/>
        <v>0</v>
      </c>
      <c r="W42" s="1">
        <f t="shared" si="24"/>
        <v>0</v>
      </c>
      <c r="X42" s="1">
        <f t="shared" si="24"/>
        <v>0</v>
      </c>
      <c r="Y42" s="1">
        <f t="shared" si="24"/>
        <v>0</v>
      </c>
      <c r="Z42" s="1">
        <f t="shared" si="24"/>
        <v>0</v>
      </c>
      <c r="AA42" s="1">
        <f t="shared" si="24"/>
        <v>0</v>
      </c>
      <c r="AB42" s="1">
        <f t="shared" si="24"/>
        <v>0</v>
      </c>
      <c r="AC42" s="1">
        <f t="shared" si="24"/>
        <v>0</v>
      </c>
      <c r="AD42" s="1">
        <f t="shared" si="24"/>
        <v>0</v>
      </c>
      <c r="AE42" s="1">
        <f t="shared" si="24"/>
        <v>0</v>
      </c>
      <c r="AF42" s="1">
        <f t="shared" si="24"/>
        <v>0</v>
      </c>
      <c r="AG42" s="1">
        <f t="shared" si="24"/>
        <v>0</v>
      </c>
      <c r="AH42" s="1">
        <f t="shared" si="24"/>
        <v>0</v>
      </c>
      <c r="AI42" s="1">
        <f t="shared" si="24"/>
        <v>0</v>
      </c>
      <c r="AJ42" s="1">
        <f t="shared" si="24"/>
        <v>0</v>
      </c>
      <c r="AK42" s="1">
        <f t="shared" si="24"/>
        <v>0</v>
      </c>
      <c r="AL42" s="1">
        <f t="shared" si="24"/>
        <v>0</v>
      </c>
      <c r="AM42" s="1">
        <f t="shared" si="24"/>
        <v>0</v>
      </c>
      <c r="AN42" s="1">
        <f t="shared" si="24"/>
        <v>0</v>
      </c>
      <c r="AO42" s="1">
        <f t="shared" si="24"/>
        <v>0</v>
      </c>
      <c r="AP42" s="1">
        <f t="shared" si="24"/>
        <v>0</v>
      </c>
      <c r="AQ42" s="1">
        <f t="shared" si="24"/>
        <v>0</v>
      </c>
      <c r="AR42" s="1">
        <f t="shared" si="24"/>
        <v>0</v>
      </c>
      <c r="AS42" s="1">
        <f t="shared" si="24"/>
        <v>0</v>
      </c>
      <c r="AT42" s="1">
        <f t="shared" si="24"/>
        <v>0</v>
      </c>
      <c r="AU42" s="1">
        <f t="shared" si="24"/>
        <v>0</v>
      </c>
      <c r="AV42" s="1">
        <f t="shared" si="24"/>
        <v>0</v>
      </c>
      <c r="AW42" s="1">
        <f t="shared" si="24"/>
        <v>0</v>
      </c>
      <c r="AX42" s="1">
        <f t="shared" si="24"/>
        <v>0</v>
      </c>
      <c r="AY42" s="1">
        <f t="shared" si="24"/>
        <v>0</v>
      </c>
      <c r="AZ42" s="1">
        <f t="shared" si="24"/>
        <v>0</v>
      </c>
      <c r="BA42" s="1">
        <f t="shared" si="24"/>
        <v>0</v>
      </c>
    </row>
    <row r="43" spans="1:54" ht="15.75" customHeight="1" x14ac:dyDescent="0.35">
      <c r="A43" s="5"/>
      <c r="B43" s="5" t="s">
        <v>61</v>
      </c>
      <c r="C43" s="5"/>
      <c r="D43" s="5"/>
      <c r="E43" s="5"/>
      <c r="F43" s="5"/>
      <c r="G43" s="5"/>
      <c r="H43" s="5"/>
      <c r="I43" s="5"/>
      <c r="J43" s="5"/>
      <c r="K43" s="5"/>
      <c r="L43" s="5"/>
      <c r="N43" s="1">
        <f t="shared" si="17"/>
        <v>0</v>
      </c>
      <c r="Q43" s="1">
        <f t="shared" ref="Q43:Y43" si="25">-Q154</f>
        <v>0</v>
      </c>
      <c r="R43" s="1">
        <f t="shared" si="25"/>
        <v>0</v>
      </c>
      <c r="S43" s="1">
        <f t="shared" si="25"/>
        <v>0</v>
      </c>
      <c r="T43" s="1">
        <f t="shared" si="25"/>
        <v>0</v>
      </c>
      <c r="U43" s="1">
        <f t="shared" si="25"/>
        <v>0</v>
      </c>
      <c r="V43" s="1">
        <f t="shared" si="25"/>
        <v>0</v>
      </c>
      <c r="W43" s="1">
        <f t="shared" si="25"/>
        <v>0</v>
      </c>
      <c r="X43" s="1">
        <f t="shared" si="25"/>
        <v>0</v>
      </c>
      <c r="Y43" s="1">
        <f t="shared" si="25"/>
        <v>0</v>
      </c>
      <c r="Z43" s="1">
        <f>-Z154</f>
        <v>0</v>
      </c>
      <c r="AA43" s="1">
        <f t="shared" ref="AA43:BA43" si="26">-AA154</f>
        <v>0</v>
      </c>
      <c r="AB43" s="1">
        <f t="shared" si="26"/>
        <v>0</v>
      </c>
      <c r="AC43" s="1">
        <f t="shared" si="26"/>
        <v>0</v>
      </c>
      <c r="AD43" s="1">
        <f t="shared" si="26"/>
        <v>0</v>
      </c>
      <c r="AE43" s="1">
        <f t="shared" si="26"/>
        <v>0</v>
      </c>
      <c r="AF43" s="1">
        <f t="shared" si="26"/>
        <v>0</v>
      </c>
      <c r="AG43" s="1">
        <f t="shared" si="26"/>
        <v>0</v>
      </c>
      <c r="AH43" s="1">
        <f t="shared" si="26"/>
        <v>0</v>
      </c>
      <c r="AI43" s="1">
        <f t="shared" si="26"/>
        <v>0</v>
      </c>
      <c r="AJ43" s="1">
        <f t="shared" si="26"/>
        <v>0</v>
      </c>
      <c r="AK43" s="1">
        <f t="shared" si="26"/>
        <v>0</v>
      </c>
      <c r="AL43" s="1">
        <f t="shared" si="26"/>
        <v>0</v>
      </c>
      <c r="AM43" s="1">
        <f t="shared" si="26"/>
        <v>0</v>
      </c>
      <c r="AN43" s="1">
        <f t="shared" si="26"/>
        <v>0</v>
      </c>
      <c r="AO43" s="1">
        <f t="shared" si="26"/>
        <v>0</v>
      </c>
      <c r="AP43" s="1">
        <f t="shared" si="26"/>
        <v>0</v>
      </c>
      <c r="AQ43" s="1">
        <f t="shared" si="26"/>
        <v>0</v>
      </c>
      <c r="AR43" s="1">
        <f t="shared" si="26"/>
        <v>0</v>
      </c>
      <c r="AS43" s="1">
        <f t="shared" si="26"/>
        <v>0</v>
      </c>
      <c r="AT43" s="1">
        <f t="shared" si="26"/>
        <v>0</v>
      </c>
      <c r="AU43" s="1">
        <f t="shared" si="26"/>
        <v>0</v>
      </c>
      <c r="AV43" s="1">
        <f t="shared" si="26"/>
        <v>0</v>
      </c>
      <c r="AW43" s="1">
        <f t="shared" si="26"/>
        <v>0</v>
      </c>
      <c r="AX43" s="1">
        <f t="shared" si="26"/>
        <v>0</v>
      </c>
      <c r="AY43" s="1">
        <f t="shared" si="26"/>
        <v>0</v>
      </c>
      <c r="AZ43" s="1">
        <f t="shared" si="26"/>
        <v>0</v>
      </c>
      <c r="BA43" s="1">
        <f t="shared" si="26"/>
        <v>0</v>
      </c>
    </row>
    <row r="44" spans="1:54" x14ac:dyDescent="0.35"/>
    <row r="45" spans="1:54" ht="15.75" customHeight="1" x14ac:dyDescent="0.35">
      <c r="A45" s="3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4">
        <f t="shared" ref="N45:N53" si="27">SUM(Q45:BA45)</f>
        <v>0</v>
      </c>
      <c r="O45" s="3"/>
      <c r="P45" s="3"/>
      <c r="Q45" s="4">
        <f t="shared" ref="Q45:BA45" si="28">SUM(Q46,Q49,Q53)</f>
        <v>0</v>
      </c>
      <c r="R45" s="4">
        <f t="shared" si="28"/>
        <v>0</v>
      </c>
      <c r="S45" s="4">
        <f t="shared" si="28"/>
        <v>0</v>
      </c>
      <c r="T45" s="4">
        <f t="shared" si="28"/>
        <v>0</v>
      </c>
      <c r="U45" s="4">
        <f t="shared" si="28"/>
        <v>0</v>
      </c>
      <c r="V45" s="4">
        <f t="shared" si="28"/>
        <v>0</v>
      </c>
      <c r="W45" s="4">
        <f t="shared" si="28"/>
        <v>0</v>
      </c>
      <c r="X45" s="4">
        <f t="shared" si="28"/>
        <v>0</v>
      </c>
      <c r="Y45" s="4">
        <f t="shared" si="28"/>
        <v>0</v>
      </c>
      <c r="Z45" s="4">
        <f t="shared" si="28"/>
        <v>0</v>
      </c>
      <c r="AA45" s="4">
        <f t="shared" si="28"/>
        <v>0</v>
      </c>
      <c r="AB45" s="4">
        <f t="shared" si="28"/>
        <v>0</v>
      </c>
      <c r="AC45" s="4">
        <f t="shared" si="28"/>
        <v>0</v>
      </c>
      <c r="AD45" s="4">
        <f t="shared" si="28"/>
        <v>0</v>
      </c>
      <c r="AE45" s="4">
        <f t="shared" si="28"/>
        <v>0</v>
      </c>
      <c r="AF45" s="4">
        <f t="shared" si="28"/>
        <v>0</v>
      </c>
      <c r="AG45" s="4">
        <f t="shared" si="28"/>
        <v>0</v>
      </c>
      <c r="AH45" s="4">
        <f t="shared" si="28"/>
        <v>0</v>
      </c>
      <c r="AI45" s="4">
        <f t="shared" si="28"/>
        <v>0</v>
      </c>
      <c r="AJ45" s="4">
        <f t="shared" si="28"/>
        <v>0</v>
      </c>
      <c r="AK45" s="4">
        <f t="shared" si="28"/>
        <v>0</v>
      </c>
      <c r="AL45" s="4">
        <f t="shared" si="28"/>
        <v>0</v>
      </c>
      <c r="AM45" s="4">
        <f t="shared" si="28"/>
        <v>0</v>
      </c>
      <c r="AN45" s="4">
        <f t="shared" si="28"/>
        <v>0</v>
      </c>
      <c r="AO45" s="4">
        <f t="shared" si="28"/>
        <v>0</v>
      </c>
      <c r="AP45" s="4">
        <f t="shared" si="28"/>
        <v>0</v>
      </c>
      <c r="AQ45" s="4">
        <f t="shared" si="28"/>
        <v>0</v>
      </c>
      <c r="AR45" s="4">
        <f t="shared" si="28"/>
        <v>0</v>
      </c>
      <c r="AS45" s="4">
        <f t="shared" si="28"/>
        <v>0</v>
      </c>
      <c r="AT45" s="4">
        <f t="shared" si="28"/>
        <v>0</v>
      </c>
      <c r="AU45" s="4">
        <f t="shared" si="28"/>
        <v>0</v>
      </c>
      <c r="AV45" s="4">
        <f t="shared" si="28"/>
        <v>0</v>
      </c>
      <c r="AW45" s="4">
        <f t="shared" si="28"/>
        <v>0</v>
      </c>
      <c r="AX45" s="4">
        <f t="shared" si="28"/>
        <v>0</v>
      </c>
      <c r="AY45" s="4">
        <f t="shared" si="28"/>
        <v>0</v>
      </c>
      <c r="AZ45" s="4">
        <f t="shared" si="28"/>
        <v>0</v>
      </c>
      <c r="BA45" s="4">
        <f t="shared" si="28"/>
        <v>0</v>
      </c>
    </row>
    <row r="46" spans="1:54" ht="15.75" customHeight="1" x14ac:dyDescent="0.35">
      <c r="A46" s="5"/>
      <c r="B46" s="5" t="s">
        <v>19</v>
      </c>
      <c r="C46" s="5"/>
      <c r="D46" s="5"/>
      <c r="E46" s="5"/>
      <c r="F46" s="5"/>
      <c r="G46" s="5"/>
      <c r="H46" s="5"/>
      <c r="I46" s="5"/>
      <c r="J46" s="5"/>
      <c r="K46" s="5"/>
      <c r="L46" s="5"/>
      <c r="N46" s="1">
        <f t="shared" si="27"/>
        <v>0</v>
      </c>
      <c r="Q46" s="1">
        <f t="shared" ref="Q46:BA46" si="29">SUM(Q47:Q48)</f>
        <v>0</v>
      </c>
      <c r="R46" s="1">
        <f t="shared" si="29"/>
        <v>0</v>
      </c>
      <c r="S46" s="1">
        <f t="shared" si="29"/>
        <v>0</v>
      </c>
      <c r="T46" s="1">
        <f t="shared" si="29"/>
        <v>0</v>
      </c>
      <c r="U46" s="1">
        <f t="shared" si="29"/>
        <v>0</v>
      </c>
      <c r="V46" s="1">
        <f t="shared" si="29"/>
        <v>0</v>
      </c>
      <c r="W46" s="1">
        <f t="shared" si="29"/>
        <v>0</v>
      </c>
      <c r="X46" s="1">
        <f t="shared" si="29"/>
        <v>0</v>
      </c>
      <c r="Y46" s="1">
        <f t="shared" si="29"/>
        <v>0</v>
      </c>
      <c r="Z46" s="1">
        <f t="shared" si="29"/>
        <v>0</v>
      </c>
      <c r="AA46" s="1">
        <f t="shared" si="29"/>
        <v>0</v>
      </c>
      <c r="AB46" s="1">
        <f t="shared" si="29"/>
        <v>0</v>
      </c>
      <c r="AC46" s="1">
        <f t="shared" si="29"/>
        <v>0</v>
      </c>
      <c r="AD46" s="1">
        <f t="shared" si="29"/>
        <v>0</v>
      </c>
      <c r="AE46" s="1">
        <f t="shared" si="29"/>
        <v>0</v>
      </c>
      <c r="AF46" s="1">
        <f t="shared" si="29"/>
        <v>0</v>
      </c>
      <c r="AG46" s="1">
        <f t="shared" si="29"/>
        <v>0</v>
      </c>
      <c r="AH46" s="1">
        <f t="shared" si="29"/>
        <v>0</v>
      </c>
      <c r="AI46" s="1">
        <f t="shared" si="29"/>
        <v>0</v>
      </c>
      <c r="AJ46" s="1">
        <f t="shared" si="29"/>
        <v>0</v>
      </c>
      <c r="AK46" s="1">
        <f t="shared" si="29"/>
        <v>0</v>
      </c>
      <c r="AL46" s="1">
        <f t="shared" si="29"/>
        <v>0</v>
      </c>
      <c r="AM46" s="1">
        <f t="shared" si="29"/>
        <v>0</v>
      </c>
      <c r="AN46" s="1">
        <f t="shared" si="29"/>
        <v>0</v>
      </c>
      <c r="AO46" s="1">
        <f t="shared" si="29"/>
        <v>0</v>
      </c>
      <c r="AP46" s="1">
        <f t="shared" si="29"/>
        <v>0</v>
      </c>
      <c r="AQ46" s="1">
        <f t="shared" si="29"/>
        <v>0</v>
      </c>
      <c r="AR46" s="1">
        <f t="shared" si="29"/>
        <v>0</v>
      </c>
      <c r="AS46" s="1">
        <f t="shared" si="29"/>
        <v>0</v>
      </c>
      <c r="AT46" s="1">
        <f t="shared" si="29"/>
        <v>0</v>
      </c>
      <c r="AU46" s="1">
        <f t="shared" si="29"/>
        <v>0</v>
      </c>
      <c r="AV46" s="1">
        <f t="shared" si="29"/>
        <v>0</v>
      </c>
      <c r="AW46" s="1">
        <f t="shared" si="29"/>
        <v>0</v>
      </c>
      <c r="AX46" s="1">
        <f t="shared" si="29"/>
        <v>0</v>
      </c>
      <c r="AY46" s="1">
        <f t="shared" si="29"/>
        <v>0</v>
      </c>
      <c r="AZ46" s="1">
        <f t="shared" si="29"/>
        <v>0</v>
      </c>
      <c r="BA46" s="1">
        <f t="shared" si="29"/>
        <v>0</v>
      </c>
    </row>
    <row r="47" spans="1:54" ht="15.75" customHeight="1" x14ac:dyDescent="0.35">
      <c r="A47" s="5"/>
      <c r="B47" s="5"/>
      <c r="C47" s="5" t="s">
        <v>104</v>
      </c>
      <c r="D47" s="5"/>
      <c r="E47" s="5"/>
      <c r="F47" s="5"/>
      <c r="G47" s="5"/>
      <c r="H47" s="5"/>
      <c r="I47" s="5"/>
      <c r="J47" s="5"/>
      <c r="K47" s="5"/>
      <c r="L47" s="5"/>
      <c r="N47" s="1">
        <f t="shared" si="27"/>
        <v>0</v>
      </c>
      <c r="Q47" s="1">
        <f t="shared" ref="Q47:BA47" si="30">Q113</f>
        <v>0</v>
      </c>
      <c r="R47" s="1">
        <f t="shared" si="30"/>
        <v>0</v>
      </c>
      <c r="S47" s="1">
        <f t="shared" si="30"/>
        <v>0</v>
      </c>
      <c r="T47" s="1">
        <f t="shared" si="30"/>
        <v>0</v>
      </c>
      <c r="U47" s="1">
        <f t="shared" si="30"/>
        <v>0</v>
      </c>
      <c r="V47" s="1">
        <f t="shared" si="30"/>
        <v>0</v>
      </c>
      <c r="W47" s="1">
        <f t="shared" si="30"/>
        <v>0</v>
      </c>
      <c r="X47" s="1">
        <f t="shared" si="30"/>
        <v>0</v>
      </c>
      <c r="Y47" s="1">
        <f t="shared" si="30"/>
        <v>0</v>
      </c>
      <c r="Z47" s="1">
        <f t="shared" si="30"/>
        <v>0</v>
      </c>
      <c r="AA47" s="1">
        <f t="shared" si="30"/>
        <v>0</v>
      </c>
      <c r="AB47" s="1">
        <f t="shared" si="30"/>
        <v>0</v>
      </c>
      <c r="AC47" s="1">
        <f t="shared" si="30"/>
        <v>0</v>
      </c>
      <c r="AD47" s="1">
        <f t="shared" si="30"/>
        <v>0</v>
      </c>
      <c r="AE47" s="1">
        <f t="shared" si="30"/>
        <v>0</v>
      </c>
      <c r="AF47" s="1">
        <f t="shared" si="30"/>
        <v>0</v>
      </c>
      <c r="AG47" s="1">
        <f t="shared" si="30"/>
        <v>0</v>
      </c>
      <c r="AH47" s="1">
        <f t="shared" si="30"/>
        <v>0</v>
      </c>
      <c r="AI47" s="1">
        <f t="shared" si="30"/>
        <v>0</v>
      </c>
      <c r="AJ47" s="1">
        <f t="shared" si="30"/>
        <v>0</v>
      </c>
      <c r="AK47" s="1">
        <f t="shared" si="30"/>
        <v>0</v>
      </c>
      <c r="AL47" s="1">
        <f t="shared" si="30"/>
        <v>0</v>
      </c>
      <c r="AM47" s="1">
        <f t="shared" si="30"/>
        <v>0</v>
      </c>
      <c r="AN47" s="1">
        <f t="shared" si="30"/>
        <v>0</v>
      </c>
      <c r="AO47" s="1">
        <f t="shared" si="30"/>
        <v>0</v>
      </c>
      <c r="AP47" s="1">
        <f t="shared" si="30"/>
        <v>0</v>
      </c>
      <c r="AQ47" s="1">
        <f t="shared" si="30"/>
        <v>0</v>
      </c>
      <c r="AR47" s="1">
        <f t="shared" si="30"/>
        <v>0</v>
      </c>
      <c r="AS47" s="1">
        <f t="shared" si="30"/>
        <v>0</v>
      </c>
      <c r="AT47" s="1">
        <f t="shared" si="30"/>
        <v>0</v>
      </c>
      <c r="AU47" s="1">
        <f t="shared" si="30"/>
        <v>0</v>
      </c>
      <c r="AV47" s="1">
        <f t="shared" si="30"/>
        <v>0</v>
      </c>
      <c r="AW47" s="1">
        <f t="shared" si="30"/>
        <v>0</v>
      </c>
      <c r="AX47" s="1">
        <f t="shared" si="30"/>
        <v>0</v>
      </c>
      <c r="AY47" s="1">
        <f t="shared" si="30"/>
        <v>0</v>
      </c>
      <c r="AZ47" s="1">
        <f t="shared" si="30"/>
        <v>0</v>
      </c>
      <c r="BA47" s="1">
        <f t="shared" si="30"/>
        <v>0</v>
      </c>
    </row>
    <row r="48" spans="1:54" ht="15.75" customHeight="1" x14ac:dyDescent="0.35">
      <c r="A48" s="5"/>
      <c r="B48" s="5"/>
      <c r="C48" s="5" t="s">
        <v>103</v>
      </c>
      <c r="D48" s="5"/>
      <c r="E48" s="5"/>
      <c r="F48" s="5"/>
      <c r="G48" s="5"/>
      <c r="H48" s="5"/>
      <c r="I48" s="5"/>
      <c r="J48" s="5"/>
      <c r="K48" s="5"/>
      <c r="L48" s="5"/>
      <c r="N48" s="1">
        <f t="shared" si="27"/>
        <v>0</v>
      </c>
      <c r="Q48" s="1">
        <f t="shared" ref="Q48:BA48" si="31">Q121-Q124-Q123+Q138-Q140-Q141</f>
        <v>0</v>
      </c>
      <c r="R48" s="1">
        <f t="shared" si="31"/>
        <v>0</v>
      </c>
      <c r="S48" s="1">
        <f t="shared" si="31"/>
        <v>0</v>
      </c>
      <c r="T48" s="1">
        <f t="shared" si="31"/>
        <v>0</v>
      </c>
      <c r="U48" s="1">
        <f t="shared" si="31"/>
        <v>0</v>
      </c>
      <c r="V48" s="1">
        <f t="shared" si="31"/>
        <v>0</v>
      </c>
      <c r="W48" s="1">
        <f t="shared" si="31"/>
        <v>0</v>
      </c>
      <c r="X48" s="1">
        <f t="shared" si="31"/>
        <v>0</v>
      </c>
      <c r="Y48" s="1">
        <f t="shared" si="31"/>
        <v>0</v>
      </c>
      <c r="Z48" s="1">
        <f t="shared" si="31"/>
        <v>0</v>
      </c>
      <c r="AA48" s="1">
        <f t="shared" si="31"/>
        <v>0</v>
      </c>
      <c r="AB48" s="1">
        <f t="shared" si="31"/>
        <v>0</v>
      </c>
      <c r="AC48" s="1">
        <f t="shared" si="31"/>
        <v>0</v>
      </c>
      <c r="AD48" s="1">
        <f t="shared" si="31"/>
        <v>0</v>
      </c>
      <c r="AE48" s="1">
        <f t="shared" si="31"/>
        <v>0</v>
      </c>
      <c r="AF48" s="1">
        <f t="shared" si="31"/>
        <v>0</v>
      </c>
      <c r="AG48" s="1">
        <f t="shared" si="31"/>
        <v>0</v>
      </c>
      <c r="AH48" s="1">
        <f t="shared" si="31"/>
        <v>0</v>
      </c>
      <c r="AI48" s="1">
        <f t="shared" si="31"/>
        <v>0</v>
      </c>
      <c r="AJ48" s="1">
        <f t="shared" si="31"/>
        <v>0</v>
      </c>
      <c r="AK48" s="1">
        <f t="shared" si="31"/>
        <v>0</v>
      </c>
      <c r="AL48" s="1">
        <f t="shared" si="31"/>
        <v>0</v>
      </c>
      <c r="AM48" s="1">
        <f t="shared" si="31"/>
        <v>0</v>
      </c>
      <c r="AN48" s="1">
        <f t="shared" si="31"/>
        <v>0</v>
      </c>
      <c r="AO48" s="1">
        <f t="shared" si="31"/>
        <v>0</v>
      </c>
      <c r="AP48" s="1">
        <f t="shared" si="31"/>
        <v>0</v>
      </c>
      <c r="AQ48" s="1">
        <f t="shared" si="31"/>
        <v>0</v>
      </c>
      <c r="AR48" s="1">
        <f t="shared" si="31"/>
        <v>0</v>
      </c>
      <c r="AS48" s="1">
        <f t="shared" si="31"/>
        <v>0</v>
      </c>
      <c r="AT48" s="1">
        <f t="shared" si="31"/>
        <v>0</v>
      </c>
      <c r="AU48" s="1">
        <f t="shared" si="31"/>
        <v>0</v>
      </c>
      <c r="AV48" s="1">
        <f t="shared" si="31"/>
        <v>0</v>
      </c>
      <c r="AW48" s="1">
        <f t="shared" si="31"/>
        <v>0</v>
      </c>
      <c r="AX48" s="1">
        <f t="shared" si="31"/>
        <v>0</v>
      </c>
      <c r="AY48" s="1">
        <f t="shared" si="31"/>
        <v>0</v>
      </c>
      <c r="AZ48" s="1">
        <f t="shared" si="31"/>
        <v>0</v>
      </c>
      <c r="BA48" s="1">
        <f t="shared" si="31"/>
        <v>0</v>
      </c>
    </row>
    <row r="49" spans="1:54" ht="15.75" customHeight="1" x14ac:dyDescent="0.35">
      <c r="A49" s="5"/>
      <c r="B49" s="5" t="s">
        <v>20</v>
      </c>
      <c r="C49" s="5"/>
      <c r="D49" s="5"/>
      <c r="E49" s="5"/>
      <c r="F49" s="5"/>
      <c r="G49" s="5"/>
      <c r="H49" s="5"/>
      <c r="I49" s="5"/>
      <c r="J49" s="5"/>
      <c r="K49" s="5"/>
      <c r="L49" s="5"/>
      <c r="N49" s="1">
        <f t="shared" si="27"/>
        <v>0</v>
      </c>
      <c r="Q49" s="1">
        <f t="shared" ref="Q49:BA49" si="32">SUM(Q50:Q52)</f>
        <v>0</v>
      </c>
      <c r="R49" s="1">
        <f t="shared" si="32"/>
        <v>0</v>
      </c>
      <c r="S49" s="1">
        <f t="shared" si="32"/>
        <v>0</v>
      </c>
      <c r="T49" s="1">
        <f t="shared" si="32"/>
        <v>0</v>
      </c>
      <c r="U49" s="1">
        <f t="shared" si="32"/>
        <v>0</v>
      </c>
      <c r="V49" s="1">
        <f t="shared" si="32"/>
        <v>0</v>
      </c>
      <c r="W49" s="1">
        <f t="shared" si="32"/>
        <v>0</v>
      </c>
      <c r="X49" s="1">
        <f t="shared" si="32"/>
        <v>0</v>
      </c>
      <c r="Y49" s="1">
        <f t="shared" si="32"/>
        <v>0</v>
      </c>
      <c r="Z49" s="1">
        <f t="shared" si="32"/>
        <v>0</v>
      </c>
      <c r="AA49" s="1">
        <f t="shared" si="32"/>
        <v>0</v>
      </c>
      <c r="AB49" s="1">
        <f t="shared" si="32"/>
        <v>0</v>
      </c>
      <c r="AC49" s="1">
        <f t="shared" si="32"/>
        <v>0</v>
      </c>
      <c r="AD49" s="1">
        <f t="shared" si="32"/>
        <v>0</v>
      </c>
      <c r="AE49" s="1">
        <f t="shared" si="32"/>
        <v>0</v>
      </c>
      <c r="AF49" s="1">
        <f t="shared" si="32"/>
        <v>0</v>
      </c>
      <c r="AG49" s="1">
        <f t="shared" si="32"/>
        <v>0</v>
      </c>
      <c r="AH49" s="1">
        <f t="shared" si="32"/>
        <v>0</v>
      </c>
      <c r="AI49" s="1">
        <f t="shared" si="32"/>
        <v>0</v>
      </c>
      <c r="AJ49" s="1">
        <f t="shared" si="32"/>
        <v>0</v>
      </c>
      <c r="AK49" s="1">
        <f t="shared" si="32"/>
        <v>0</v>
      </c>
      <c r="AL49" s="1">
        <f t="shared" si="32"/>
        <v>0</v>
      </c>
      <c r="AM49" s="1">
        <f t="shared" si="32"/>
        <v>0</v>
      </c>
      <c r="AN49" s="1">
        <f t="shared" si="32"/>
        <v>0</v>
      </c>
      <c r="AO49" s="1">
        <f t="shared" si="32"/>
        <v>0</v>
      </c>
      <c r="AP49" s="1">
        <f t="shared" si="32"/>
        <v>0</v>
      </c>
      <c r="AQ49" s="1">
        <f t="shared" si="32"/>
        <v>0</v>
      </c>
      <c r="AR49" s="1">
        <f t="shared" si="32"/>
        <v>0</v>
      </c>
      <c r="AS49" s="1">
        <f t="shared" si="32"/>
        <v>0</v>
      </c>
      <c r="AT49" s="1">
        <f t="shared" si="32"/>
        <v>0</v>
      </c>
      <c r="AU49" s="1">
        <f t="shared" si="32"/>
        <v>0</v>
      </c>
      <c r="AV49" s="1">
        <f t="shared" si="32"/>
        <v>0</v>
      </c>
      <c r="AW49" s="1">
        <f t="shared" si="32"/>
        <v>0</v>
      </c>
      <c r="AX49" s="1">
        <f t="shared" si="32"/>
        <v>0</v>
      </c>
      <c r="AY49" s="1">
        <f t="shared" si="32"/>
        <v>0</v>
      </c>
      <c r="AZ49" s="1">
        <f t="shared" si="32"/>
        <v>0</v>
      </c>
      <c r="BA49" s="1">
        <f t="shared" si="32"/>
        <v>0</v>
      </c>
    </row>
    <row r="50" spans="1:54" ht="15.75" customHeight="1" x14ac:dyDescent="0.35">
      <c r="A50" s="5"/>
      <c r="B50" s="5"/>
      <c r="C50" s="5" t="s">
        <v>21</v>
      </c>
      <c r="D50" s="5"/>
      <c r="E50" s="5"/>
      <c r="F50" s="5"/>
      <c r="G50" s="5"/>
      <c r="H50" s="5"/>
      <c r="I50" s="5"/>
      <c r="J50" s="5"/>
      <c r="K50" s="5"/>
      <c r="L50" s="5"/>
      <c r="N50" s="1">
        <f t="shared" si="27"/>
        <v>0</v>
      </c>
      <c r="Q50" s="1">
        <f t="shared" ref="Q50:BA50" si="33">Q194</f>
        <v>0</v>
      </c>
      <c r="R50" s="1">
        <f t="shared" si="33"/>
        <v>0</v>
      </c>
      <c r="S50" s="1">
        <f t="shared" si="33"/>
        <v>0</v>
      </c>
      <c r="T50" s="1">
        <f t="shared" si="33"/>
        <v>0</v>
      </c>
      <c r="U50" s="1">
        <f t="shared" si="33"/>
        <v>0</v>
      </c>
      <c r="V50" s="1">
        <f t="shared" si="33"/>
        <v>0</v>
      </c>
      <c r="W50" s="1">
        <f t="shared" si="33"/>
        <v>0</v>
      </c>
      <c r="X50" s="1">
        <f t="shared" si="33"/>
        <v>0</v>
      </c>
      <c r="Y50" s="1">
        <f t="shared" si="33"/>
        <v>0</v>
      </c>
      <c r="Z50" s="1">
        <f t="shared" si="33"/>
        <v>0</v>
      </c>
      <c r="AA50" s="1">
        <f t="shared" si="33"/>
        <v>0</v>
      </c>
      <c r="AB50" s="1">
        <f t="shared" si="33"/>
        <v>0</v>
      </c>
      <c r="AC50" s="1">
        <f t="shared" si="33"/>
        <v>0</v>
      </c>
      <c r="AD50" s="1">
        <f t="shared" si="33"/>
        <v>0</v>
      </c>
      <c r="AE50" s="1">
        <f t="shared" si="33"/>
        <v>0</v>
      </c>
      <c r="AF50" s="1">
        <f t="shared" si="33"/>
        <v>0</v>
      </c>
      <c r="AG50" s="1">
        <f t="shared" si="33"/>
        <v>0</v>
      </c>
      <c r="AH50" s="1">
        <f t="shared" si="33"/>
        <v>0</v>
      </c>
      <c r="AI50" s="1">
        <f t="shared" si="33"/>
        <v>0</v>
      </c>
      <c r="AJ50" s="1">
        <f t="shared" si="33"/>
        <v>0</v>
      </c>
      <c r="AK50" s="1">
        <f t="shared" si="33"/>
        <v>0</v>
      </c>
      <c r="AL50" s="1">
        <f t="shared" si="33"/>
        <v>0</v>
      </c>
      <c r="AM50" s="1">
        <f t="shared" si="33"/>
        <v>0</v>
      </c>
      <c r="AN50" s="1">
        <f t="shared" si="33"/>
        <v>0</v>
      </c>
      <c r="AO50" s="1">
        <f t="shared" si="33"/>
        <v>0</v>
      </c>
      <c r="AP50" s="1">
        <f t="shared" si="33"/>
        <v>0</v>
      </c>
      <c r="AQ50" s="1">
        <f t="shared" si="33"/>
        <v>0</v>
      </c>
      <c r="AR50" s="1">
        <f t="shared" si="33"/>
        <v>0</v>
      </c>
      <c r="AS50" s="1">
        <f t="shared" si="33"/>
        <v>0</v>
      </c>
      <c r="AT50" s="1">
        <f t="shared" si="33"/>
        <v>0</v>
      </c>
      <c r="AU50" s="1">
        <f t="shared" si="33"/>
        <v>0</v>
      </c>
      <c r="AV50" s="1">
        <f t="shared" si="33"/>
        <v>0</v>
      </c>
      <c r="AW50" s="1">
        <f t="shared" si="33"/>
        <v>0</v>
      </c>
      <c r="AX50" s="1">
        <f t="shared" si="33"/>
        <v>0</v>
      </c>
      <c r="AY50" s="1">
        <f t="shared" si="33"/>
        <v>0</v>
      </c>
      <c r="AZ50" s="1">
        <f t="shared" si="33"/>
        <v>0</v>
      </c>
      <c r="BA50" s="1">
        <f t="shared" si="33"/>
        <v>0</v>
      </c>
    </row>
    <row r="51" spans="1:54" ht="15.75" customHeight="1" x14ac:dyDescent="0.35">
      <c r="A51" s="5"/>
      <c r="B51" s="5"/>
      <c r="C51" s="5" t="s">
        <v>103</v>
      </c>
      <c r="D51" s="5"/>
      <c r="E51" s="5"/>
      <c r="F51" s="5"/>
      <c r="G51" s="5"/>
      <c r="H51" s="5"/>
      <c r="I51" s="5"/>
      <c r="J51" s="5"/>
      <c r="K51" s="5"/>
      <c r="L51" s="5"/>
      <c r="N51" s="1">
        <f t="shared" si="27"/>
        <v>0</v>
      </c>
      <c r="Q51" s="1">
        <f>Q126+Q142</f>
        <v>0</v>
      </c>
      <c r="R51" s="1">
        <f t="shared" ref="R51:BA51" si="34">R126+R142</f>
        <v>0</v>
      </c>
      <c r="S51" s="1">
        <f t="shared" si="34"/>
        <v>0</v>
      </c>
      <c r="T51" s="1">
        <f t="shared" si="34"/>
        <v>0</v>
      </c>
      <c r="U51" s="1">
        <f t="shared" si="34"/>
        <v>0</v>
      </c>
      <c r="V51" s="1">
        <f t="shared" si="34"/>
        <v>0</v>
      </c>
      <c r="W51" s="1">
        <f t="shared" si="34"/>
        <v>0</v>
      </c>
      <c r="X51" s="1">
        <f t="shared" si="34"/>
        <v>0</v>
      </c>
      <c r="Y51" s="1">
        <f t="shared" si="34"/>
        <v>0</v>
      </c>
      <c r="Z51" s="1">
        <f t="shared" si="34"/>
        <v>0</v>
      </c>
      <c r="AA51" s="1">
        <f t="shared" si="34"/>
        <v>0</v>
      </c>
      <c r="AB51" s="1">
        <f t="shared" si="34"/>
        <v>0</v>
      </c>
      <c r="AC51" s="1">
        <f t="shared" si="34"/>
        <v>0</v>
      </c>
      <c r="AD51" s="1">
        <f t="shared" si="34"/>
        <v>0</v>
      </c>
      <c r="AE51" s="1">
        <f t="shared" si="34"/>
        <v>0</v>
      </c>
      <c r="AF51" s="1">
        <f t="shared" si="34"/>
        <v>0</v>
      </c>
      <c r="AG51" s="1">
        <f t="shared" si="34"/>
        <v>0</v>
      </c>
      <c r="AH51" s="1">
        <f t="shared" si="34"/>
        <v>0</v>
      </c>
      <c r="AI51" s="1">
        <f t="shared" si="34"/>
        <v>0</v>
      </c>
      <c r="AJ51" s="1">
        <f t="shared" si="34"/>
        <v>0</v>
      </c>
      <c r="AK51" s="1">
        <f t="shared" si="34"/>
        <v>0</v>
      </c>
      <c r="AL51" s="1">
        <f t="shared" si="34"/>
        <v>0</v>
      </c>
      <c r="AM51" s="1">
        <f t="shared" si="34"/>
        <v>0</v>
      </c>
      <c r="AN51" s="1">
        <f t="shared" si="34"/>
        <v>0</v>
      </c>
      <c r="AO51" s="1">
        <f t="shared" si="34"/>
        <v>0</v>
      </c>
      <c r="AP51" s="1">
        <f t="shared" si="34"/>
        <v>0</v>
      </c>
      <c r="AQ51" s="1">
        <f t="shared" si="34"/>
        <v>0</v>
      </c>
      <c r="AR51" s="1">
        <f t="shared" si="34"/>
        <v>0</v>
      </c>
      <c r="AS51" s="1">
        <f t="shared" si="34"/>
        <v>0</v>
      </c>
      <c r="AT51" s="1">
        <f t="shared" si="34"/>
        <v>0</v>
      </c>
      <c r="AU51" s="1">
        <f t="shared" si="34"/>
        <v>0</v>
      </c>
      <c r="AV51" s="1">
        <f t="shared" si="34"/>
        <v>0</v>
      </c>
      <c r="AW51" s="1">
        <f t="shared" si="34"/>
        <v>0</v>
      </c>
      <c r="AX51" s="1">
        <f t="shared" si="34"/>
        <v>0</v>
      </c>
      <c r="AY51" s="1">
        <f t="shared" si="34"/>
        <v>0</v>
      </c>
      <c r="AZ51" s="1">
        <f t="shared" si="34"/>
        <v>0</v>
      </c>
      <c r="BA51" s="1">
        <f t="shared" si="34"/>
        <v>0</v>
      </c>
    </row>
    <row r="52" spans="1:54" ht="15.75" customHeight="1" x14ac:dyDescent="0.35">
      <c r="A52" s="5"/>
      <c r="B52" s="5"/>
      <c r="C52" s="5" t="s">
        <v>147</v>
      </c>
      <c r="D52" s="5"/>
      <c r="E52" s="5"/>
      <c r="F52" s="5"/>
      <c r="G52" s="5"/>
      <c r="H52" s="5"/>
      <c r="I52" s="5"/>
      <c r="J52" s="5"/>
      <c r="K52" s="5"/>
      <c r="L52" s="5"/>
      <c r="N52" s="1">
        <f t="shared" si="27"/>
        <v>0</v>
      </c>
      <c r="Q52" s="1">
        <f t="shared" ref="Q52:BA52" si="35">-Q132-Q147</f>
        <v>0</v>
      </c>
      <c r="R52" s="1">
        <f t="shared" si="35"/>
        <v>0</v>
      </c>
      <c r="S52" s="1">
        <f t="shared" si="35"/>
        <v>0</v>
      </c>
      <c r="T52" s="1">
        <f t="shared" si="35"/>
        <v>0</v>
      </c>
      <c r="U52" s="1">
        <f t="shared" si="35"/>
        <v>0</v>
      </c>
      <c r="V52" s="1">
        <f t="shared" si="35"/>
        <v>0</v>
      </c>
      <c r="W52" s="1">
        <f t="shared" si="35"/>
        <v>0</v>
      </c>
      <c r="X52" s="1">
        <f t="shared" si="35"/>
        <v>0</v>
      </c>
      <c r="Y52" s="1">
        <f t="shared" si="35"/>
        <v>0</v>
      </c>
      <c r="Z52" s="1">
        <f t="shared" si="35"/>
        <v>0</v>
      </c>
      <c r="AA52" s="1">
        <f t="shared" si="35"/>
        <v>0</v>
      </c>
      <c r="AB52" s="1">
        <f t="shared" si="35"/>
        <v>0</v>
      </c>
      <c r="AC52" s="1">
        <f t="shared" si="35"/>
        <v>0</v>
      </c>
      <c r="AD52" s="1">
        <f t="shared" si="35"/>
        <v>0</v>
      </c>
      <c r="AE52" s="1">
        <f t="shared" si="35"/>
        <v>0</v>
      </c>
      <c r="AF52" s="1">
        <f t="shared" si="35"/>
        <v>0</v>
      </c>
      <c r="AG52" s="1">
        <f t="shared" si="35"/>
        <v>0</v>
      </c>
      <c r="AH52" s="1">
        <f t="shared" si="35"/>
        <v>0</v>
      </c>
      <c r="AI52" s="1">
        <f t="shared" si="35"/>
        <v>0</v>
      </c>
      <c r="AJ52" s="1">
        <f t="shared" si="35"/>
        <v>0</v>
      </c>
      <c r="AK52" s="1">
        <f t="shared" si="35"/>
        <v>0</v>
      </c>
      <c r="AL52" s="1">
        <f t="shared" si="35"/>
        <v>0</v>
      </c>
      <c r="AM52" s="1">
        <f t="shared" si="35"/>
        <v>0</v>
      </c>
      <c r="AN52" s="1">
        <f t="shared" si="35"/>
        <v>0</v>
      </c>
      <c r="AO52" s="1">
        <f t="shared" si="35"/>
        <v>0</v>
      </c>
      <c r="AP52" s="1">
        <f t="shared" si="35"/>
        <v>0</v>
      </c>
      <c r="AQ52" s="1">
        <f t="shared" si="35"/>
        <v>0</v>
      </c>
      <c r="AR52" s="1">
        <f t="shared" si="35"/>
        <v>0</v>
      </c>
      <c r="AS52" s="1">
        <f t="shared" si="35"/>
        <v>0</v>
      </c>
      <c r="AT52" s="1">
        <f t="shared" si="35"/>
        <v>0</v>
      </c>
      <c r="AU52" s="1">
        <f t="shared" si="35"/>
        <v>0</v>
      </c>
      <c r="AV52" s="1">
        <f t="shared" si="35"/>
        <v>0</v>
      </c>
      <c r="AW52" s="1">
        <f t="shared" si="35"/>
        <v>0</v>
      </c>
      <c r="AX52" s="1">
        <f t="shared" si="35"/>
        <v>0</v>
      </c>
      <c r="AY52" s="1">
        <f t="shared" si="35"/>
        <v>0</v>
      </c>
      <c r="AZ52" s="1">
        <f t="shared" si="35"/>
        <v>0</v>
      </c>
      <c r="BA52" s="1">
        <f t="shared" si="35"/>
        <v>0</v>
      </c>
    </row>
    <row r="53" spans="1:54" ht="15.75" customHeight="1" x14ac:dyDescent="0.35">
      <c r="A53" s="5"/>
      <c r="B53" s="5" t="s">
        <v>53</v>
      </c>
      <c r="D53" s="5"/>
      <c r="E53" s="5"/>
      <c r="F53" s="5"/>
      <c r="G53" s="5"/>
      <c r="H53" s="5"/>
      <c r="I53" s="5"/>
      <c r="J53" s="5"/>
      <c r="K53" s="5"/>
      <c r="L53" s="5"/>
      <c r="N53" s="1">
        <f t="shared" si="27"/>
        <v>0</v>
      </c>
      <c r="Q53" s="1">
        <f t="shared" ref="Q53:BA53" si="36">Q116</f>
        <v>0</v>
      </c>
      <c r="R53" s="1">
        <f t="shared" si="36"/>
        <v>0</v>
      </c>
      <c r="S53" s="1">
        <f t="shared" si="36"/>
        <v>0</v>
      </c>
      <c r="T53" s="1">
        <f t="shared" si="36"/>
        <v>0</v>
      </c>
      <c r="U53" s="1">
        <f t="shared" si="36"/>
        <v>0</v>
      </c>
      <c r="V53" s="1">
        <f t="shared" si="36"/>
        <v>0</v>
      </c>
      <c r="W53" s="1">
        <f t="shared" si="36"/>
        <v>0</v>
      </c>
      <c r="X53" s="1">
        <f t="shared" si="36"/>
        <v>0</v>
      </c>
      <c r="Y53" s="1">
        <f t="shared" si="36"/>
        <v>0</v>
      </c>
      <c r="Z53" s="1">
        <f t="shared" si="36"/>
        <v>0</v>
      </c>
      <c r="AA53" s="1">
        <f t="shared" si="36"/>
        <v>0</v>
      </c>
      <c r="AB53" s="1">
        <f t="shared" si="36"/>
        <v>0</v>
      </c>
      <c r="AC53" s="1">
        <f t="shared" si="36"/>
        <v>0</v>
      </c>
      <c r="AD53" s="1">
        <f t="shared" si="36"/>
        <v>0</v>
      </c>
      <c r="AE53" s="1">
        <f t="shared" si="36"/>
        <v>0</v>
      </c>
      <c r="AF53" s="1">
        <f t="shared" si="36"/>
        <v>0</v>
      </c>
      <c r="AG53" s="1">
        <f t="shared" si="36"/>
        <v>0</v>
      </c>
      <c r="AH53" s="1">
        <f t="shared" si="36"/>
        <v>0</v>
      </c>
      <c r="AI53" s="1">
        <f t="shared" si="36"/>
        <v>0</v>
      </c>
      <c r="AJ53" s="1">
        <f t="shared" si="36"/>
        <v>0</v>
      </c>
      <c r="AK53" s="1">
        <f t="shared" si="36"/>
        <v>0</v>
      </c>
      <c r="AL53" s="1">
        <f t="shared" si="36"/>
        <v>0</v>
      </c>
      <c r="AM53" s="1">
        <f t="shared" si="36"/>
        <v>0</v>
      </c>
      <c r="AN53" s="1">
        <f t="shared" si="36"/>
        <v>0</v>
      </c>
      <c r="AO53" s="1">
        <f t="shared" si="36"/>
        <v>0</v>
      </c>
      <c r="AP53" s="1">
        <f t="shared" si="36"/>
        <v>0</v>
      </c>
      <c r="AQ53" s="1">
        <f t="shared" si="36"/>
        <v>0</v>
      </c>
      <c r="AR53" s="1">
        <f t="shared" si="36"/>
        <v>0</v>
      </c>
      <c r="AS53" s="1">
        <f t="shared" si="36"/>
        <v>0</v>
      </c>
      <c r="AT53" s="1">
        <f t="shared" si="36"/>
        <v>0</v>
      </c>
      <c r="AU53" s="1">
        <f t="shared" si="36"/>
        <v>0</v>
      </c>
      <c r="AV53" s="1">
        <f t="shared" si="36"/>
        <v>0</v>
      </c>
      <c r="AW53" s="1">
        <f t="shared" si="36"/>
        <v>0</v>
      </c>
      <c r="AX53" s="1">
        <f t="shared" si="36"/>
        <v>0</v>
      </c>
      <c r="AY53" s="1">
        <f t="shared" si="36"/>
        <v>0</v>
      </c>
      <c r="AZ53" s="1">
        <f t="shared" si="36"/>
        <v>0</v>
      </c>
      <c r="BA53" s="1">
        <f t="shared" si="36"/>
        <v>0</v>
      </c>
    </row>
    <row r="54" spans="1:54" x14ac:dyDescent="0.35"/>
    <row r="55" spans="1:54" ht="15.75" customHeight="1" x14ac:dyDescent="0.35">
      <c r="A55" s="3" t="s">
        <v>22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4">
        <f>SUM(Q55:BA55)</f>
        <v>0</v>
      </c>
      <c r="O55" s="3"/>
      <c r="P55" s="3"/>
      <c r="Q55" s="4">
        <f t="shared" ref="Q55:BA55" si="37">SUM(Q35,Q45)</f>
        <v>0</v>
      </c>
      <c r="R55" s="4">
        <f t="shared" si="37"/>
        <v>0</v>
      </c>
      <c r="S55" s="4">
        <f t="shared" si="37"/>
        <v>0</v>
      </c>
      <c r="T55" s="4">
        <f t="shared" si="37"/>
        <v>0</v>
      </c>
      <c r="U55" s="4">
        <f t="shared" si="37"/>
        <v>0</v>
      </c>
      <c r="V55" s="4">
        <f t="shared" si="37"/>
        <v>0</v>
      </c>
      <c r="W55" s="4">
        <f t="shared" si="37"/>
        <v>0</v>
      </c>
      <c r="X55" s="4">
        <f t="shared" si="37"/>
        <v>0</v>
      </c>
      <c r="Y55" s="4">
        <f t="shared" si="37"/>
        <v>0</v>
      </c>
      <c r="Z55" s="4">
        <f t="shared" si="37"/>
        <v>0</v>
      </c>
      <c r="AA55" s="4">
        <f t="shared" si="37"/>
        <v>0</v>
      </c>
      <c r="AB55" s="4">
        <f t="shared" si="37"/>
        <v>0</v>
      </c>
      <c r="AC55" s="4">
        <f t="shared" si="37"/>
        <v>0</v>
      </c>
      <c r="AD55" s="4">
        <f t="shared" si="37"/>
        <v>0</v>
      </c>
      <c r="AE55" s="4">
        <f t="shared" si="37"/>
        <v>0</v>
      </c>
      <c r="AF55" s="4">
        <f t="shared" si="37"/>
        <v>0</v>
      </c>
      <c r="AG55" s="4">
        <f t="shared" si="37"/>
        <v>0</v>
      </c>
      <c r="AH55" s="4">
        <f t="shared" si="37"/>
        <v>0</v>
      </c>
      <c r="AI55" s="4">
        <f t="shared" si="37"/>
        <v>0</v>
      </c>
      <c r="AJ55" s="4">
        <f t="shared" si="37"/>
        <v>0</v>
      </c>
      <c r="AK55" s="4">
        <f t="shared" si="37"/>
        <v>0</v>
      </c>
      <c r="AL55" s="4">
        <f t="shared" si="37"/>
        <v>0</v>
      </c>
      <c r="AM55" s="4">
        <f t="shared" si="37"/>
        <v>0</v>
      </c>
      <c r="AN55" s="4">
        <f t="shared" si="37"/>
        <v>0</v>
      </c>
      <c r="AO55" s="4">
        <f t="shared" si="37"/>
        <v>0</v>
      </c>
      <c r="AP55" s="4">
        <f t="shared" si="37"/>
        <v>0</v>
      </c>
      <c r="AQ55" s="4">
        <f t="shared" si="37"/>
        <v>0</v>
      </c>
      <c r="AR55" s="4">
        <f t="shared" si="37"/>
        <v>0</v>
      </c>
      <c r="AS55" s="4">
        <f t="shared" si="37"/>
        <v>0</v>
      </c>
      <c r="AT55" s="4">
        <f t="shared" si="37"/>
        <v>0</v>
      </c>
      <c r="AU55" s="4">
        <f t="shared" si="37"/>
        <v>0</v>
      </c>
      <c r="AV55" s="4">
        <f t="shared" si="37"/>
        <v>0</v>
      </c>
      <c r="AW55" s="4">
        <f t="shared" si="37"/>
        <v>0</v>
      </c>
      <c r="AX55" s="4">
        <f t="shared" si="37"/>
        <v>0</v>
      </c>
      <c r="AY55" s="4">
        <f t="shared" si="37"/>
        <v>0</v>
      </c>
      <c r="AZ55" s="4">
        <f t="shared" si="37"/>
        <v>0</v>
      </c>
      <c r="BA55" s="4">
        <f t="shared" si="37"/>
        <v>0</v>
      </c>
    </row>
    <row r="56" spans="1:54" x14ac:dyDescent="0.35"/>
    <row r="57" spans="1:54" ht="15.75" customHeight="1" x14ac:dyDescent="0.35">
      <c r="A57" s="3" t="s">
        <v>23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4">
        <f>Q57</f>
        <v>0</v>
      </c>
      <c r="O57" s="3"/>
      <c r="P57" s="3"/>
      <c r="Q57" s="31">
        <v>0</v>
      </c>
      <c r="R57" s="4">
        <f t="shared" ref="R57:BA57" si="38">Q59</f>
        <v>0</v>
      </c>
      <c r="S57" s="4">
        <f t="shared" si="38"/>
        <v>0</v>
      </c>
      <c r="T57" s="4">
        <f t="shared" si="38"/>
        <v>0</v>
      </c>
      <c r="U57" s="4">
        <f t="shared" si="38"/>
        <v>0</v>
      </c>
      <c r="V57" s="4">
        <f t="shared" si="38"/>
        <v>0</v>
      </c>
      <c r="W57" s="4">
        <f t="shared" si="38"/>
        <v>0</v>
      </c>
      <c r="X57" s="4">
        <f t="shared" si="38"/>
        <v>0</v>
      </c>
      <c r="Y57" s="4">
        <f t="shared" si="38"/>
        <v>0</v>
      </c>
      <c r="Z57" s="4">
        <f t="shared" si="38"/>
        <v>0</v>
      </c>
      <c r="AA57" s="4">
        <f t="shared" si="38"/>
        <v>0</v>
      </c>
      <c r="AB57" s="4">
        <f t="shared" si="38"/>
        <v>0</v>
      </c>
      <c r="AC57" s="4">
        <f t="shared" si="38"/>
        <v>0</v>
      </c>
      <c r="AD57" s="4">
        <f t="shared" si="38"/>
        <v>0</v>
      </c>
      <c r="AE57" s="4">
        <f t="shared" si="38"/>
        <v>0</v>
      </c>
      <c r="AF57" s="4">
        <f t="shared" si="38"/>
        <v>0</v>
      </c>
      <c r="AG57" s="4">
        <f t="shared" si="38"/>
        <v>0</v>
      </c>
      <c r="AH57" s="4">
        <f t="shared" si="38"/>
        <v>0</v>
      </c>
      <c r="AI57" s="4">
        <f t="shared" si="38"/>
        <v>0</v>
      </c>
      <c r="AJ57" s="4">
        <f t="shared" si="38"/>
        <v>0</v>
      </c>
      <c r="AK57" s="4">
        <f t="shared" si="38"/>
        <v>0</v>
      </c>
      <c r="AL57" s="4">
        <f t="shared" si="38"/>
        <v>0</v>
      </c>
      <c r="AM57" s="4">
        <f t="shared" si="38"/>
        <v>0</v>
      </c>
      <c r="AN57" s="4">
        <f t="shared" si="38"/>
        <v>0</v>
      </c>
      <c r="AO57" s="4">
        <f t="shared" si="38"/>
        <v>0</v>
      </c>
      <c r="AP57" s="4">
        <f t="shared" si="38"/>
        <v>0</v>
      </c>
      <c r="AQ57" s="4">
        <f t="shared" si="38"/>
        <v>0</v>
      </c>
      <c r="AR57" s="4">
        <f t="shared" si="38"/>
        <v>0</v>
      </c>
      <c r="AS57" s="4">
        <f t="shared" si="38"/>
        <v>0</v>
      </c>
      <c r="AT57" s="4">
        <f t="shared" si="38"/>
        <v>0</v>
      </c>
      <c r="AU57" s="4">
        <f t="shared" si="38"/>
        <v>0</v>
      </c>
      <c r="AV57" s="4">
        <f t="shared" si="38"/>
        <v>0</v>
      </c>
      <c r="AW57" s="4">
        <f t="shared" si="38"/>
        <v>0</v>
      </c>
      <c r="AX57" s="4">
        <f t="shared" si="38"/>
        <v>0</v>
      </c>
      <c r="AY57" s="4">
        <f t="shared" si="38"/>
        <v>0</v>
      </c>
      <c r="AZ57" s="4">
        <f t="shared" si="38"/>
        <v>0</v>
      </c>
      <c r="BA57" s="4">
        <f t="shared" si="38"/>
        <v>0</v>
      </c>
    </row>
    <row r="58" spans="1:54" x14ac:dyDescent="0.35"/>
    <row r="59" spans="1:54" ht="15.75" customHeight="1" x14ac:dyDescent="0.35">
      <c r="A59" s="3" t="s">
        <v>24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4">
        <f>BA59</f>
        <v>0</v>
      </c>
      <c r="O59" s="3"/>
      <c r="P59" s="3"/>
      <c r="Q59" s="4">
        <f t="shared" ref="Q59:BA59" si="39">SUM(Q55,Q57)</f>
        <v>0</v>
      </c>
      <c r="R59" s="4">
        <f t="shared" si="39"/>
        <v>0</v>
      </c>
      <c r="S59" s="4">
        <f t="shared" si="39"/>
        <v>0</v>
      </c>
      <c r="T59" s="4">
        <f t="shared" si="39"/>
        <v>0</v>
      </c>
      <c r="U59" s="4">
        <f t="shared" si="39"/>
        <v>0</v>
      </c>
      <c r="V59" s="4">
        <f t="shared" si="39"/>
        <v>0</v>
      </c>
      <c r="W59" s="4">
        <f t="shared" si="39"/>
        <v>0</v>
      </c>
      <c r="X59" s="4">
        <f t="shared" si="39"/>
        <v>0</v>
      </c>
      <c r="Y59" s="4">
        <f t="shared" si="39"/>
        <v>0</v>
      </c>
      <c r="Z59" s="4">
        <f t="shared" si="39"/>
        <v>0</v>
      </c>
      <c r="AA59" s="4">
        <f t="shared" si="39"/>
        <v>0</v>
      </c>
      <c r="AB59" s="4">
        <f t="shared" si="39"/>
        <v>0</v>
      </c>
      <c r="AC59" s="4">
        <f t="shared" si="39"/>
        <v>0</v>
      </c>
      <c r="AD59" s="4">
        <f t="shared" si="39"/>
        <v>0</v>
      </c>
      <c r="AE59" s="4">
        <f t="shared" si="39"/>
        <v>0</v>
      </c>
      <c r="AF59" s="4">
        <f t="shared" si="39"/>
        <v>0</v>
      </c>
      <c r="AG59" s="4">
        <f t="shared" si="39"/>
        <v>0</v>
      </c>
      <c r="AH59" s="4">
        <f t="shared" si="39"/>
        <v>0</v>
      </c>
      <c r="AI59" s="4">
        <f t="shared" si="39"/>
        <v>0</v>
      </c>
      <c r="AJ59" s="4">
        <f t="shared" si="39"/>
        <v>0</v>
      </c>
      <c r="AK59" s="4">
        <f t="shared" si="39"/>
        <v>0</v>
      </c>
      <c r="AL59" s="4">
        <f t="shared" si="39"/>
        <v>0</v>
      </c>
      <c r="AM59" s="4">
        <f t="shared" si="39"/>
        <v>0</v>
      </c>
      <c r="AN59" s="4">
        <f t="shared" si="39"/>
        <v>0</v>
      </c>
      <c r="AO59" s="4">
        <f t="shared" si="39"/>
        <v>0</v>
      </c>
      <c r="AP59" s="4">
        <f t="shared" si="39"/>
        <v>0</v>
      </c>
      <c r="AQ59" s="4">
        <f t="shared" si="39"/>
        <v>0</v>
      </c>
      <c r="AR59" s="4">
        <f t="shared" si="39"/>
        <v>0</v>
      </c>
      <c r="AS59" s="4">
        <f t="shared" si="39"/>
        <v>0</v>
      </c>
      <c r="AT59" s="4">
        <f t="shared" si="39"/>
        <v>0</v>
      </c>
      <c r="AU59" s="4">
        <f t="shared" si="39"/>
        <v>0</v>
      </c>
      <c r="AV59" s="4">
        <f t="shared" si="39"/>
        <v>0</v>
      </c>
      <c r="AW59" s="4">
        <f t="shared" si="39"/>
        <v>0</v>
      </c>
      <c r="AX59" s="4">
        <f t="shared" si="39"/>
        <v>0</v>
      </c>
      <c r="AY59" s="4">
        <f t="shared" si="39"/>
        <v>0</v>
      </c>
      <c r="AZ59" s="4">
        <f t="shared" si="39"/>
        <v>0</v>
      </c>
      <c r="BA59" s="4">
        <f t="shared" si="39"/>
        <v>0</v>
      </c>
    </row>
    <row r="60" spans="1:54" x14ac:dyDescent="0.35"/>
    <row r="61" spans="1:54" ht="15.75" customHeight="1" x14ac:dyDescent="0.35">
      <c r="A61" s="5" t="s">
        <v>86</v>
      </c>
      <c r="B61" s="5"/>
      <c r="C61" s="5"/>
      <c r="D61" s="5"/>
      <c r="E61" s="5"/>
      <c r="F61" s="5"/>
      <c r="G61" s="5"/>
      <c r="H61" s="5"/>
      <c r="I61" s="5"/>
      <c r="J61" s="5"/>
      <c r="K61" s="5"/>
      <c r="N61" s="18">
        <f>_xlfn.MINIFS(Q61:BA61,Q61:BA61,"&gt;"&amp;0)</f>
        <v>0</v>
      </c>
      <c r="Q61" s="17">
        <f t="shared" ref="Q61:BA61" si="40">-IFERROR(SUM(Q35,Q57)/SUM(Q128,-Q132),0)*(OEt.w2-OEp.w2)</f>
        <v>0</v>
      </c>
      <c r="R61" s="17">
        <f t="shared" si="40"/>
        <v>0</v>
      </c>
      <c r="S61" s="17">
        <f t="shared" si="40"/>
        <v>0</v>
      </c>
      <c r="T61" s="17">
        <f t="shared" si="40"/>
        <v>0</v>
      </c>
      <c r="U61" s="17">
        <f t="shared" si="40"/>
        <v>0</v>
      </c>
      <c r="V61" s="17">
        <f t="shared" si="40"/>
        <v>0</v>
      </c>
      <c r="W61" s="17">
        <f t="shared" si="40"/>
        <v>0</v>
      </c>
      <c r="X61" s="17">
        <f t="shared" si="40"/>
        <v>0</v>
      </c>
      <c r="Y61" s="17">
        <f t="shared" si="40"/>
        <v>0</v>
      </c>
      <c r="Z61" s="17">
        <f t="shared" si="40"/>
        <v>0</v>
      </c>
      <c r="AA61" s="17">
        <f t="shared" si="40"/>
        <v>0</v>
      </c>
      <c r="AB61" s="17">
        <f t="shared" si="40"/>
        <v>0</v>
      </c>
      <c r="AC61" s="17">
        <f t="shared" si="40"/>
        <v>0</v>
      </c>
      <c r="AD61" s="17">
        <f t="shared" si="40"/>
        <v>0</v>
      </c>
      <c r="AE61" s="17">
        <f t="shared" si="40"/>
        <v>0</v>
      </c>
      <c r="AF61" s="17">
        <f t="shared" si="40"/>
        <v>0</v>
      </c>
      <c r="AG61" s="17">
        <f t="shared" si="40"/>
        <v>0</v>
      </c>
      <c r="AH61" s="17">
        <f t="shared" si="40"/>
        <v>0</v>
      </c>
      <c r="AI61" s="17">
        <f t="shared" si="40"/>
        <v>0</v>
      </c>
      <c r="AJ61" s="17">
        <f t="shared" si="40"/>
        <v>0</v>
      </c>
      <c r="AK61" s="17">
        <f t="shared" si="40"/>
        <v>0</v>
      </c>
      <c r="AL61" s="17">
        <f t="shared" si="40"/>
        <v>0</v>
      </c>
      <c r="AM61" s="17">
        <f t="shared" si="40"/>
        <v>0</v>
      </c>
      <c r="AN61" s="17">
        <f t="shared" si="40"/>
        <v>0</v>
      </c>
      <c r="AO61" s="17">
        <f t="shared" si="40"/>
        <v>0</v>
      </c>
      <c r="AP61" s="17">
        <f t="shared" si="40"/>
        <v>0</v>
      </c>
      <c r="AQ61" s="17">
        <f t="shared" si="40"/>
        <v>0</v>
      </c>
      <c r="AR61" s="17">
        <f t="shared" si="40"/>
        <v>0</v>
      </c>
      <c r="AS61" s="17">
        <f t="shared" si="40"/>
        <v>0</v>
      </c>
      <c r="AT61" s="17">
        <f t="shared" si="40"/>
        <v>0</v>
      </c>
      <c r="AU61" s="17">
        <f t="shared" si="40"/>
        <v>0</v>
      </c>
      <c r="AV61" s="17">
        <f t="shared" si="40"/>
        <v>0</v>
      </c>
      <c r="AW61" s="17">
        <f t="shared" si="40"/>
        <v>0</v>
      </c>
      <c r="AX61" s="17">
        <f t="shared" si="40"/>
        <v>0</v>
      </c>
      <c r="AY61" s="17">
        <f t="shared" si="40"/>
        <v>0</v>
      </c>
      <c r="AZ61" s="17">
        <f t="shared" si="40"/>
        <v>0</v>
      </c>
      <c r="BA61" s="17">
        <f t="shared" si="40"/>
        <v>0</v>
      </c>
    </row>
    <row r="62" spans="1:54" x14ac:dyDescent="0.35"/>
    <row r="63" spans="1:54" ht="15.75" customHeight="1" thickBot="1" x14ac:dyDescent="0.4">
      <c r="A63" s="44" t="s">
        <v>25</v>
      </c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5"/>
    </row>
    <row r="64" spans="1:54" ht="15" thickTop="1" x14ac:dyDescent="0.35"/>
    <row r="65" spans="2:53" ht="15.75" customHeight="1" x14ac:dyDescent="0.35">
      <c r="B65" s="5" t="s">
        <v>26</v>
      </c>
      <c r="C65" s="5"/>
      <c r="D65" s="5"/>
      <c r="E65" s="5"/>
      <c r="F65" s="5"/>
      <c r="G65" s="5"/>
      <c r="H65" s="5"/>
      <c r="I65" s="5"/>
      <c r="J65" s="5"/>
      <c r="K65" s="5"/>
      <c r="N65" s="1">
        <f>Q65</f>
        <v>0</v>
      </c>
      <c r="Q65" s="13">
        <v>0</v>
      </c>
      <c r="R65" s="1">
        <f t="shared" ref="R65:BA65" si="41">Q84</f>
        <v>0</v>
      </c>
      <c r="S65" s="1">
        <f t="shared" si="41"/>
        <v>0</v>
      </c>
      <c r="T65" s="1">
        <f t="shared" si="41"/>
        <v>0</v>
      </c>
      <c r="U65" s="1">
        <f t="shared" si="41"/>
        <v>0</v>
      </c>
      <c r="V65" s="1">
        <f t="shared" si="41"/>
        <v>0</v>
      </c>
      <c r="W65" s="1">
        <f t="shared" si="41"/>
        <v>0</v>
      </c>
      <c r="X65" s="1">
        <f t="shared" si="41"/>
        <v>0</v>
      </c>
      <c r="Y65" s="1">
        <f t="shared" si="41"/>
        <v>0</v>
      </c>
      <c r="Z65" s="1">
        <f t="shared" si="41"/>
        <v>0</v>
      </c>
      <c r="AA65" s="1">
        <f t="shared" si="41"/>
        <v>0</v>
      </c>
      <c r="AB65" s="1">
        <f t="shared" si="41"/>
        <v>0</v>
      </c>
      <c r="AC65" s="1">
        <f t="shared" si="41"/>
        <v>0</v>
      </c>
      <c r="AD65" s="1">
        <f t="shared" si="41"/>
        <v>0</v>
      </c>
      <c r="AE65" s="1">
        <f t="shared" si="41"/>
        <v>0</v>
      </c>
      <c r="AF65" s="1">
        <f t="shared" si="41"/>
        <v>0</v>
      </c>
      <c r="AG65" s="1">
        <f t="shared" si="41"/>
        <v>0</v>
      </c>
      <c r="AH65" s="1">
        <f t="shared" si="41"/>
        <v>0</v>
      </c>
      <c r="AI65" s="1">
        <f t="shared" si="41"/>
        <v>0</v>
      </c>
      <c r="AJ65" s="1">
        <f t="shared" si="41"/>
        <v>0</v>
      </c>
      <c r="AK65" s="1">
        <f t="shared" si="41"/>
        <v>0</v>
      </c>
      <c r="AL65" s="1">
        <f t="shared" si="41"/>
        <v>0</v>
      </c>
      <c r="AM65" s="1">
        <f t="shared" si="41"/>
        <v>0</v>
      </c>
      <c r="AN65" s="1">
        <f t="shared" si="41"/>
        <v>0</v>
      </c>
      <c r="AO65" s="1">
        <f t="shared" si="41"/>
        <v>0</v>
      </c>
      <c r="AP65" s="1">
        <f t="shared" si="41"/>
        <v>0</v>
      </c>
      <c r="AQ65" s="1">
        <f t="shared" si="41"/>
        <v>0</v>
      </c>
      <c r="AR65" s="1">
        <f t="shared" si="41"/>
        <v>0</v>
      </c>
      <c r="AS65" s="1">
        <f t="shared" si="41"/>
        <v>0</v>
      </c>
      <c r="AT65" s="1">
        <f t="shared" si="41"/>
        <v>0</v>
      </c>
      <c r="AU65" s="1">
        <f t="shared" si="41"/>
        <v>0</v>
      </c>
      <c r="AV65" s="1">
        <f t="shared" si="41"/>
        <v>0</v>
      </c>
      <c r="AW65" s="1">
        <f t="shared" si="41"/>
        <v>0</v>
      </c>
      <c r="AX65" s="1">
        <f t="shared" si="41"/>
        <v>0</v>
      </c>
      <c r="AY65" s="1">
        <f t="shared" si="41"/>
        <v>0</v>
      </c>
      <c r="AZ65" s="1">
        <f t="shared" si="41"/>
        <v>0</v>
      </c>
      <c r="BA65" s="1">
        <f t="shared" si="41"/>
        <v>0</v>
      </c>
    </row>
    <row r="66" spans="2:53" ht="15.75" customHeight="1" x14ac:dyDescent="0.35">
      <c r="B66" s="5"/>
      <c r="C66" s="5" t="s">
        <v>1</v>
      </c>
      <c r="D66" s="5"/>
      <c r="E66" s="5"/>
      <c r="F66" s="5"/>
      <c r="G66" s="5"/>
      <c r="H66" s="5"/>
      <c r="I66" s="5"/>
      <c r="J66" s="5"/>
      <c r="K66" s="5"/>
      <c r="N66" s="1">
        <f t="shared" ref="N66:N83" si="42">SUM(Q66:BA66)</f>
        <v>0</v>
      </c>
      <c r="Q66" s="1">
        <f t="shared" ref="Q66:BA66" si="43">SUM(Q67:Q71)</f>
        <v>0</v>
      </c>
      <c r="R66" s="1">
        <f t="shared" si="43"/>
        <v>0</v>
      </c>
      <c r="S66" s="1">
        <f t="shared" si="43"/>
        <v>0</v>
      </c>
      <c r="T66" s="1">
        <f t="shared" si="43"/>
        <v>0</v>
      </c>
      <c r="U66" s="1">
        <f t="shared" si="43"/>
        <v>0</v>
      </c>
      <c r="V66" s="1">
        <f t="shared" si="43"/>
        <v>0</v>
      </c>
      <c r="W66" s="1">
        <f t="shared" si="43"/>
        <v>0</v>
      </c>
      <c r="X66" s="1">
        <f t="shared" si="43"/>
        <v>0</v>
      </c>
      <c r="Y66" s="1">
        <f t="shared" si="43"/>
        <v>0</v>
      </c>
      <c r="Z66" s="1">
        <f t="shared" si="43"/>
        <v>0</v>
      </c>
      <c r="AA66" s="1">
        <f t="shared" si="43"/>
        <v>0</v>
      </c>
      <c r="AB66" s="1">
        <f t="shared" si="43"/>
        <v>0</v>
      </c>
      <c r="AC66" s="1">
        <f t="shared" si="43"/>
        <v>0</v>
      </c>
      <c r="AD66" s="1">
        <f t="shared" si="43"/>
        <v>0</v>
      </c>
      <c r="AE66" s="1">
        <f t="shared" si="43"/>
        <v>0</v>
      </c>
      <c r="AF66" s="1">
        <f t="shared" si="43"/>
        <v>0</v>
      </c>
      <c r="AG66" s="1">
        <f t="shared" si="43"/>
        <v>0</v>
      </c>
      <c r="AH66" s="1">
        <f t="shared" si="43"/>
        <v>0</v>
      </c>
      <c r="AI66" s="1">
        <f t="shared" si="43"/>
        <v>0</v>
      </c>
      <c r="AJ66" s="1">
        <f t="shared" si="43"/>
        <v>0</v>
      </c>
      <c r="AK66" s="1">
        <f t="shared" si="43"/>
        <v>0</v>
      </c>
      <c r="AL66" s="1">
        <f t="shared" si="43"/>
        <v>0</v>
      </c>
      <c r="AM66" s="1">
        <f t="shared" si="43"/>
        <v>0</v>
      </c>
      <c r="AN66" s="1">
        <f t="shared" si="43"/>
        <v>0</v>
      </c>
      <c r="AO66" s="1">
        <f t="shared" si="43"/>
        <v>0</v>
      </c>
      <c r="AP66" s="1">
        <f t="shared" si="43"/>
        <v>0</v>
      </c>
      <c r="AQ66" s="1">
        <f t="shared" si="43"/>
        <v>0</v>
      </c>
      <c r="AR66" s="1">
        <f t="shared" si="43"/>
        <v>0</v>
      </c>
      <c r="AS66" s="1">
        <f t="shared" si="43"/>
        <v>0</v>
      </c>
      <c r="AT66" s="1">
        <f t="shared" si="43"/>
        <v>0</v>
      </c>
      <c r="AU66" s="1">
        <f t="shared" si="43"/>
        <v>0</v>
      </c>
      <c r="AV66" s="1">
        <f t="shared" si="43"/>
        <v>0</v>
      </c>
      <c r="AW66" s="1">
        <f t="shared" si="43"/>
        <v>0</v>
      </c>
      <c r="AX66" s="1">
        <f t="shared" si="43"/>
        <v>0</v>
      </c>
      <c r="AY66" s="1">
        <f t="shared" si="43"/>
        <v>0</v>
      </c>
      <c r="AZ66" s="1">
        <f t="shared" si="43"/>
        <v>0</v>
      </c>
      <c r="BA66" s="1">
        <f t="shared" si="43"/>
        <v>0</v>
      </c>
    </row>
    <row r="67" spans="2:53" ht="15.75" customHeight="1" outlineLevel="1" x14ac:dyDescent="0.35">
      <c r="B67" s="5"/>
      <c r="C67" s="5"/>
      <c r="D67" s="5" t="s">
        <v>99</v>
      </c>
      <c r="E67" s="5"/>
      <c r="F67" s="5"/>
      <c r="G67" s="5"/>
      <c r="H67" s="5"/>
      <c r="I67" s="5"/>
      <c r="J67" s="5"/>
      <c r="K67" s="5"/>
      <c r="N67" s="1">
        <f t="shared" si="42"/>
        <v>0</v>
      </c>
      <c r="Q67" s="1">
        <f>ABS(Q176)</f>
        <v>0</v>
      </c>
      <c r="R67" s="1">
        <f t="shared" ref="R67:BA67" si="44">ABS(R176)</f>
        <v>0</v>
      </c>
      <c r="S67" s="1">
        <f t="shared" si="44"/>
        <v>0</v>
      </c>
      <c r="T67" s="1">
        <f t="shared" si="44"/>
        <v>0</v>
      </c>
      <c r="U67" s="1">
        <f t="shared" si="44"/>
        <v>0</v>
      </c>
      <c r="V67" s="1">
        <f t="shared" si="44"/>
        <v>0</v>
      </c>
      <c r="W67" s="1">
        <f t="shared" si="44"/>
        <v>0</v>
      </c>
      <c r="X67" s="1">
        <f t="shared" si="44"/>
        <v>0</v>
      </c>
      <c r="Y67" s="1">
        <f t="shared" si="44"/>
        <v>0</v>
      </c>
      <c r="Z67" s="1">
        <f t="shared" si="44"/>
        <v>0</v>
      </c>
      <c r="AA67" s="1">
        <f t="shared" si="44"/>
        <v>0</v>
      </c>
      <c r="AB67" s="1">
        <f t="shared" si="44"/>
        <v>0</v>
      </c>
      <c r="AC67" s="1">
        <f t="shared" si="44"/>
        <v>0</v>
      </c>
      <c r="AD67" s="1">
        <f t="shared" si="44"/>
        <v>0</v>
      </c>
      <c r="AE67" s="1">
        <f t="shared" si="44"/>
        <v>0</v>
      </c>
      <c r="AF67" s="1">
        <f t="shared" si="44"/>
        <v>0</v>
      </c>
      <c r="AG67" s="1">
        <f t="shared" si="44"/>
        <v>0</v>
      </c>
      <c r="AH67" s="1">
        <f t="shared" si="44"/>
        <v>0</v>
      </c>
      <c r="AI67" s="1">
        <f t="shared" si="44"/>
        <v>0</v>
      </c>
      <c r="AJ67" s="1">
        <f t="shared" si="44"/>
        <v>0</v>
      </c>
      <c r="AK67" s="1">
        <f t="shared" si="44"/>
        <v>0</v>
      </c>
      <c r="AL67" s="1">
        <f t="shared" si="44"/>
        <v>0</v>
      </c>
      <c r="AM67" s="1">
        <f t="shared" si="44"/>
        <v>0</v>
      </c>
      <c r="AN67" s="1">
        <f t="shared" si="44"/>
        <v>0</v>
      </c>
      <c r="AO67" s="1">
        <f t="shared" si="44"/>
        <v>0</v>
      </c>
      <c r="AP67" s="1">
        <f t="shared" si="44"/>
        <v>0</v>
      </c>
      <c r="AQ67" s="1">
        <f t="shared" si="44"/>
        <v>0</v>
      </c>
      <c r="AR67" s="1">
        <f t="shared" si="44"/>
        <v>0</v>
      </c>
      <c r="AS67" s="1">
        <f t="shared" si="44"/>
        <v>0</v>
      </c>
      <c r="AT67" s="1">
        <f t="shared" si="44"/>
        <v>0</v>
      </c>
      <c r="AU67" s="1">
        <f t="shared" si="44"/>
        <v>0</v>
      </c>
      <c r="AV67" s="1">
        <f t="shared" si="44"/>
        <v>0</v>
      </c>
      <c r="AW67" s="1">
        <f t="shared" si="44"/>
        <v>0</v>
      </c>
      <c r="AX67" s="1">
        <f t="shared" si="44"/>
        <v>0</v>
      </c>
      <c r="AY67" s="1">
        <f t="shared" si="44"/>
        <v>0</v>
      </c>
      <c r="AZ67" s="1">
        <f t="shared" si="44"/>
        <v>0</v>
      </c>
      <c r="BA67" s="1">
        <f t="shared" si="44"/>
        <v>0</v>
      </c>
    </row>
    <row r="68" spans="2:53" ht="15.75" customHeight="1" outlineLevel="1" x14ac:dyDescent="0.35">
      <c r="B68" s="5"/>
      <c r="C68" s="5"/>
      <c r="D68" s="5" t="s">
        <v>100</v>
      </c>
      <c r="E68" s="5"/>
      <c r="F68" s="5"/>
      <c r="G68" s="5"/>
      <c r="H68" s="5"/>
      <c r="I68" s="5"/>
      <c r="J68" s="5"/>
      <c r="K68" s="5"/>
      <c r="N68" s="1">
        <f t="shared" si="42"/>
        <v>0</v>
      </c>
      <c r="Q68" s="1">
        <f>ABS(Q177)</f>
        <v>0</v>
      </c>
      <c r="R68" s="1">
        <f t="shared" ref="R68:BA68" si="45">ABS(R177)</f>
        <v>0</v>
      </c>
      <c r="S68" s="1">
        <f t="shared" si="45"/>
        <v>0</v>
      </c>
      <c r="T68" s="1">
        <f t="shared" si="45"/>
        <v>0</v>
      </c>
      <c r="U68" s="1">
        <f t="shared" si="45"/>
        <v>0</v>
      </c>
      <c r="V68" s="1">
        <f t="shared" si="45"/>
        <v>0</v>
      </c>
      <c r="W68" s="1">
        <f t="shared" si="45"/>
        <v>0</v>
      </c>
      <c r="X68" s="1">
        <f t="shared" si="45"/>
        <v>0</v>
      </c>
      <c r="Y68" s="1">
        <f t="shared" si="45"/>
        <v>0</v>
      </c>
      <c r="Z68" s="1">
        <f t="shared" si="45"/>
        <v>0</v>
      </c>
      <c r="AA68" s="1">
        <f t="shared" si="45"/>
        <v>0</v>
      </c>
      <c r="AB68" s="1">
        <f t="shared" si="45"/>
        <v>0</v>
      </c>
      <c r="AC68" s="1">
        <f t="shared" si="45"/>
        <v>0</v>
      </c>
      <c r="AD68" s="1">
        <f t="shared" si="45"/>
        <v>0</v>
      </c>
      <c r="AE68" s="1">
        <f t="shared" si="45"/>
        <v>0</v>
      </c>
      <c r="AF68" s="1">
        <f t="shared" si="45"/>
        <v>0</v>
      </c>
      <c r="AG68" s="1">
        <f t="shared" si="45"/>
        <v>0</v>
      </c>
      <c r="AH68" s="1">
        <f t="shared" si="45"/>
        <v>0</v>
      </c>
      <c r="AI68" s="1">
        <f t="shared" si="45"/>
        <v>0</v>
      </c>
      <c r="AJ68" s="1">
        <f t="shared" si="45"/>
        <v>0</v>
      </c>
      <c r="AK68" s="1">
        <f t="shared" si="45"/>
        <v>0</v>
      </c>
      <c r="AL68" s="1">
        <f t="shared" si="45"/>
        <v>0</v>
      </c>
      <c r="AM68" s="1">
        <f t="shared" si="45"/>
        <v>0</v>
      </c>
      <c r="AN68" s="1">
        <f t="shared" si="45"/>
        <v>0</v>
      </c>
      <c r="AO68" s="1">
        <f t="shared" si="45"/>
        <v>0</v>
      </c>
      <c r="AP68" s="1">
        <f t="shared" si="45"/>
        <v>0</v>
      </c>
      <c r="AQ68" s="1">
        <f t="shared" si="45"/>
        <v>0</v>
      </c>
      <c r="AR68" s="1">
        <f t="shared" si="45"/>
        <v>0</v>
      </c>
      <c r="AS68" s="1">
        <f t="shared" si="45"/>
        <v>0</v>
      </c>
      <c r="AT68" s="1">
        <f t="shared" si="45"/>
        <v>0</v>
      </c>
      <c r="AU68" s="1">
        <f t="shared" si="45"/>
        <v>0</v>
      </c>
      <c r="AV68" s="1">
        <f t="shared" si="45"/>
        <v>0</v>
      </c>
      <c r="AW68" s="1">
        <f t="shared" si="45"/>
        <v>0</v>
      </c>
      <c r="AX68" s="1">
        <f t="shared" si="45"/>
        <v>0</v>
      </c>
      <c r="AY68" s="1">
        <f t="shared" si="45"/>
        <v>0</v>
      </c>
      <c r="AZ68" s="1">
        <f t="shared" si="45"/>
        <v>0</v>
      </c>
      <c r="BA68" s="1">
        <f t="shared" si="45"/>
        <v>0</v>
      </c>
    </row>
    <row r="69" spans="2:53" ht="15.75" customHeight="1" outlineLevel="1" x14ac:dyDescent="0.35">
      <c r="B69" s="5"/>
      <c r="C69" s="5"/>
      <c r="D69" s="5" t="s">
        <v>66</v>
      </c>
      <c r="E69" s="5"/>
      <c r="F69" s="5"/>
      <c r="G69" s="5"/>
      <c r="H69" s="5"/>
      <c r="I69" s="5"/>
      <c r="J69" s="5"/>
      <c r="K69" s="5"/>
      <c r="N69" s="1">
        <f t="shared" si="42"/>
        <v>0</v>
      </c>
      <c r="Q69" s="1">
        <f>ABS(Q178)</f>
        <v>0</v>
      </c>
      <c r="R69" s="1">
        <f t="shared" ref="R69:BA69" si="46">ABS(R178)</f>
        <v>0</v>
      </c>
      <c r="S69" s="1">
        <f t="shared" si="46"/>
        <v>0</v>
      </c>
      <c r="T69" s="1">
        <f t="shared" si="46"/>
        <v>0</v>
      </c>
      <c r="U69" s="1">
        <f t="shared" si="46"/>
        <v>0</v>
      </c>
      <c r="V69" s="1">
        <f t="shared" si="46"/>
        <v>0</v>
      </c>
      <c r="W69" s="1">
        <f t="shared" si="46"/>
        <v>0</v>
      </c>
      <c r="X69" s="1">
        <f t="shared" si="46"/>
        <v>0</v>
      </c>
      <c r="Y69" s="1">
        <f t="shared" si="46"/>
        <v>0</v>
      </c>
      <c r="Z69" s="1">
        <f t="shared" si="46"/>
        <v>0</v>
      </c>
      <c r="AA69" s="1">
        <f t="shared" si="46"/>
        <v>0</v>
      </c>
      <c r="AB69" s="1">
        <f t="shared" si="46"/>
        <v>0</v>
      </c>
      <c r="AC69" s="1">
        <f t="shared" si="46"/>
        <v>0</v>
      </c>
      <c r="AD69" s="1">
        <f t="shared" si="46"/>
        <v>0</v>
      </c>
      <c r="AE69" s="1">
        <f t="shared" si="46"/>
        <v>0</v>
      </c>
      <c r="AF69" s="1">
        <f t="shared" si="46"/>
        <v>0</v>
      </c>
      <c r="AG69" s="1">
        <f t="shared" si="46"/>
        <v>0</v>
      </c>
      <c r="AH69" s="1">
        <f t="shared" si="46"/>
        <v>0</v>
      </c>
      <c r="AI69" s="1">
        <f t="shared" si="46"/>
        <v>0</v>
      </c>
      <c r="AJ69" s="1">
        <f t="shared" si="46"/>
        <v>0</v>
      </c>
      <c r="AK69" s="1">
        <f t="shared" si="46"/>
        <v>0</v>
      </c>
      <c r="AL69" s="1">
        <f t="shared" si="46"/>
        <v>0</v>
      </c>
      <c r="AM69" s="1">
        <f t="shared" si="46"/>
        <v>0</v>
      </c>
      <c r="AN69" s="1">
        <f t="shared" si="46"/>
        <v>0</v>
      </c>
      <c r="AO69" s="1">
        <f t="shared" si="46"/>
        <v>0</v>
      </c>
      <c r="AP69" s="1">
        <f t="shared" si="46"/>
        <v>0</v>
      </c>
      <c r="AQ69" s="1">
        <f t="shared" si="46"/>
        <v>0</v>
      </c>
      <c r="AR69" s="1">
        <f t="shared" si="46"/>
        <v>0</v>
      </c>
      <c r="AS69" s="1">
        <f t="shared" si="46"/>
        <v>0</v>
      </c>
      <c r="AT69" s="1">
        <f t="shared" si="46"/>
        <v>0</v>
      </c>
      <c r="AU69" s="1">
        <f t="shared" si="46"/>
        <v>0</v>
      </c>
      <c r="AV69" s="1">
        <f t="shared" si="46"/>
        <v>0</v>
      </c>
      <c r="AW69" s="1">
        <f t="shared" si="46"/>
        <v>0</v>
      </c>
      <c r="AX69" s="1">
        <f t="shared" si="46"/>
        <v>0</v>
      </c>
      <c r="AY69" s="1">
        <f t="shared" si="46"/>
        <v>0</v>
      </c>
      <c r="AZ69" s="1">
        <f t="shared" si="46"/>
        <v>0</v>
      </c>
      <c r="BA69" s="1">
        <f t="shared" si="46"/>
        <v>0</v>
      </c>
    </row>
    <row r="70" spans="2:53" ht="15.75" customHeight="1" outlineLevel="1" x14ac:dyDescent="0.35">
      <c r="B70" s="5"/>
      <c r="C70" s="5"/>
      <c r="D70" s="5" t="s">
        <v>72</v>
      </c>
      <c r="E70" s="5"/>
      <c r="F70" s="5"/>
      <c r="G70" s="5"/>
      <c r="H70" s="5"/>
      <c r="I70" s="5"/>
      <c r="J70" s="5"/>
      <c r="K70" s="5"/>
      <c r="N70" s="1">
        <f t="shared" si="42"/>
        <v>0</v>
      </c>
      <c r="Q70" s="1">
        <f t="shared" ref="Q70:BA71" si="47">Q123+Q140</f>
        <v>0</v>
      </c>
      <c r="R70" s="1">
        <f t="shared" si="47"/>
        <v>0</v>
      </c>
      <c r="S70" s="1">
        <f t="shared" si="47"/>
        <v>0</v>
      </c>
      <c r="T70" s="1">
        <f t="shared" si="47"/>
        <v>0</v>
      </c>
      <c r="U70" s="1">
        <f t="shared" si="47"/>
        <v>0</v>
      </c>
      <c r="V70" s="1">
        <f t="shared" si="47"/>
        <v>0</v>
      </c>
      <c r="W70" s="1">
        <f t="shared" si="47"/>
        <v>0</v>
      </c>
      <c r="X70" s="1">
        <f t="shared" si="47"/>
        <v>0</v>
      </c>
      <c r="Y70" s="1">
        <f t="shared" si="47"/>
        <v>0</v>
      </c>
      <c r="Z70" s="1">
        <f t="shared" si="47"/>
        <v>0</v>
      </c>
      <c r="AA70" s="1">
        <f t="shared" si="47"/>
        <v>0</v>
      </c>
      <c r="AB70" s="1">
        <f t="shared" si="47"/>
        <v>0</v>
      </c>
      <c r="AC70" s="1">
        <f t="shared" si="47"/>
        <v>0</v>
      </c>
      <c r="AD70" s="1">
        <f t="shared" si="47"/>
        <v>0</v>
      </c>
      <c r="AE70" s="1">
        <f t="shared" si="47"/>
        <v>0</v>
      </c>
      <c r="AF70" s="1">
        <f t="shared" si="47"/>
        <v>0</v>
      </c>
      <c r="AG70" s="1">
        <f t="shared" si="47"/>
        <v>0</v>
      </c>
      <c r="AH70" s="1">
        <f t="shared" si="47"/>
        <v>0</v>
      </c>
      <c r="AI70" s="1">
        <f t="shared" si="47"/>
        <v>0</v>
      </c>
      <c r="AJ70" s="1">
        <f t="shared" si="47"/>
        <v>0</v>
      </c>
      <c r="AK70" s="1">
        <f t="shared" si="47"/>
        <v>0</v>
      </c>
      <c r="AL70" s="1">
        <f t="shared" si="47"/>
        <v>0</v>
      </c>
      <c r="AM70" s="1">
        <f t="shared" si="47"/>
        <v>0</v>
      </c>
      <c r="AN70" s="1">
        <f t="shared" si="47"/>
        <v>0</v>
      </c>
      <c r="AO70" s="1">
        <f t="shared" si="47"/>
        <v>0</v>
      </c>
      <c r="AP70" s="1">
        <f t="shared" si="47"/>
        <v>0</v>
      </c>
      <c r="AQ70" s="1">
        <f t="shared" si="47"/>
        <v>0</v>
      </c>
      <c r="AR70" s="1">
        <f t="shared" si="47"/>
        <v>0</v>
      </c>
      <c r="AS70" s="1">
        <f t="shared" si="47"/>
        <v>0</v>
      </c>
      <c r="AT70" s="1">
        <f t="shared" si="47"/>
        <v>0</v>
      </c>
      <c r="AU70" s="1">
        <f t="shared" si="47"/>
        <v>0</v>
      </c>
      <c r="AV70" s="1">
        <f t="shared" si="47"/>
        <v>0</v>
      </c>
      <c r="AW70" s="1">
        <f t="shared" si="47"/>
        <v>0</v>
      </c>
      <c r="AX70" s="1">
        <f t="shared" si="47"/>
        <v>0</v>
      </c>
      <c r="AY70" s="1">
        <f t="shared" si="47"/>
        <v>0</v>
      </c>
      <c r="AZ70" s="1">
        <f t="shared" si="47"/>
        <v>0</v>
      </c>
      <c r="BA70" s="1">
        <f t="shared" si="47"/>
        <v>0</v>
      </c>
    </row>
    <row r="71" spans="2:53" ht="15.75" customHeight="1" outlineLevel="1" x14ac:dyDescent="0.35">
      <c r="B71" s="5"/>
      <c r="C71" s="5"/>
      <c r="D71" s="5" t="s">
        <v>50</v>
      </c>
      <c r="E71" s="5"/>
      <c r="F71" s="5"/>
      <c r="G71" s="5"/>
      <c r="H71" s="5"/>
      <c r="I71" s="5"/>
      <c r="J71" s="5"/>
      <c r="K71" s="5"/>
      <c r="N71" s="1">
        <f t="shared" si="42"/>
        <v>0</v>
      </c>
      <c r="Q71" s="1">
        <f t="shared" si="47"/>
        <v>0</v>
      </c>
      <c r="R71" s="1">
        <f t="shared" si="47"/>
        <v>0</v>
      </c>
      <c r="S71" s="1">
        <f>S124+S141</f>
        <v>0</v>
      </c>
      <c r="T71" s="1">
        <f t="shared" si="47"/>
        <v>0</v>
      </c>
      <c r="U71" s="1">
        <f t="shared" si="47"/>
        <v>0</v>
      </c>
      <c r="V71" s="1">
        <f t="shared" si="47"/>
        <v>0</v>
      </c>
      <c r="W71" s="1">
        <f t="shared" si="47"/>
        <v>0</v>
      </c>
      <c r="X71" s="1">
        <f t="shared" si="47"/>
        <v>0</v>
      </c>
      <c r="Y71" s="1">
        <f t="shared" si="47"/>
        <v>0</v>
      </c>
      <c r="Z71" s="1">
        <f t="shared" si="47"/>
        <v>0</v>
      </c>
      <c r="AA71" s="1">
        <f t="shared" si="47"/>
        <v>0</v>
      </c>
      <c r="AB71" s="1">
        <f t="shared" si="47"/>
        <v>0</v>
      </c>
      <c r="AC71" s="1">
        <f t="shared" si="47"/>
        <v>0</v>
      </c>
      <c r="AD71" s="1">
        <f t="shared" si="47"/>
        <v>0</v>
      </c>
      <c r="AE71" s="1">
        <f t="shared" si="47"/>
        <v>0</v>
      </c>
      <c r="AF71" s="1">
        <f t="shared" si="47"/>
        <v>0</v>
      </c>
      <c r="AG71" s="1">
        <f t="shared" si="47"/>
        <v>0</v>
      </c>
      <c r="AH71" s="1">
        <f t="shared" si="47"/>
        <v>0</v>
      </c>
      <c r="AI71" s="1">
        <f t="shared" si="47"/>
        <v>0</v>
      </c>
      <c r="AJ71" s="1">
        <f t="shared" si="47"/>
        <v>0</v>
      </c>
      <c r="AK71" s="1">
        <f t="shared" si="47"/>
        <v>0</v>
      </c>
      <c r="AL71" s="1">
        <f t="shared" si="47"/>
        <v>0</v>
      </c>
      <c r="AM71" s="1">
        <f t="shared" si="47"/>
        <v>0</v>
      </c>
      <c r="AN71" s="1">
        <f t="shared" si="47"/>
        <v>0</v>
      </c>
      <c r="AO71" s="1">
        <f t="shared" si="47"/>
        <v>0</v>
      </c>
      <c r="AP71" s="1">
        <f t="shared" si="47"/>
        <v>0</v>
      </c>
      <c r="AQ71" s="1">
        <f t="shared" si="47"/>
        <v>0</v>
      </c>
      <c r="AR71" s="1">
        <f t="shared" si="47"/>
        <v>0</v>
      </c>
      <c r="AS71" s="1">
        <f t="shared" si="47"/>
        <v>0</v>
      </c>
      <c r="AT71" s="1">
        <f t="shared" si="47"/>
        <v>0</v>
      </c>
      <c r="AU71" s="1">
        <f t="shared" si="47"/>
        <v>0</v>
      </c>
      <c r="AV71" s="1">
        <f t="shared" si="47"/>
        <v>0</v>
      </c>
      <c r="AW71" s="1">
        <f t="shared" si="47"/>
        <v>0</v>
      </c>
      <c r="AX71" s="1">
        <f t="shared" si="47"/>
        <v>0</v>
      </c>
      <c r="AY71" s="1">
        <f t="shared" si="47"/>
        <v>0</v>
      </c>
      <c r="AZ71" s="1">
        <f t="shared" si="47"/>
        <v>0</v>
      </c>
      <c r="BA71" s="1">
        <f t="shared" si="47"/>
        <v>0</v>
      </c>
    </row>
    <row r="72" spans="2:53" ht="15.75" customHeight="1" x14ac:dyDescent="0.35">
      <c r="B72" s="5"/>
      <c r="C72" s="5" t="s">
        <v>3</v>
      </c>
      <c r="D72" s="5"/>
      <c r="E72" s="5"/>
      <c r="F72" s="5"/>
      <c r="G72" s="5"/>
      <c r="H72" s="5"/>
      <c r="I72" s="5"/>
      <c r="J72" s="5"/>
      <c r="K72" s="5"/>
      <c r="N72" s="1">
        <f t="shared" si="42"/>
        <v>0</v>
      </c>
      <c r="Q72" s="1">
        <f t="shared" ref="Q72:BA72" si="48">SUM(Q73:Q74)</f>
        <v>0</v>
      </c>
      <c r="R72" s="1">
        <f t="shared" si="48"/>
        <v>0</v>
      </c>
      <c r="S72" s="1">
        <f t="shared" si="48"/>
        <v>0</v>
      </c>
      <c r="T72" s="1">
        <f t="shared" si="48"/>
        <v>0</v>
      </c>
      <c r="U72" s="1">
        <f t="shared" si="48"/>
        <v>0</v>
      </c>
      <c r="V72" s="1">
        <f t="shared" si="48"/>
        <v>0</v>
      </c>
      <c r="W72" s="1">
        <f t="shared" si="48"/>
        <v>0</v>
      </c>
      <c r="X72" s="1">
        <f t="shared" si="48"/>
        <v>0</v>
      </c>
      <c r="Y72" s="1">
        <f t="shared" si="48"/>
        <v>0</v>
      </c>
      <c r="Z72" s="1">
        <f t="shared" si="48"/>
        <v>0</v>
      </c>
      <c r="AA72" s="1">
        <f t="shared" si="48"/>
        <v>0</v>
      </c>
      <c r="AB72" s="1">
        <f t="shared" si="48"/>
        <v>0</v>
      </c>
      <c r="AC72" s="1">
        <f t="shared" si="48"/>
        <v>0</v>
      </c>
      <c r="AD72" s="1">
        <f t="shared" si="48"/>
        <v>0</v>
      </c>
      <c r="AE72" s="1">
        <f t="shared" si="48"/>
        <v>0</v>
      </c>
      <c r="AF72" s="1">
        <f t="shared" si="48"/>
        <v>0</v>
      </c>
      <c r="AG72" s="1">
        <f t="shared" si="48"/>
        <v>0</v>
      </c>
      <c r="AH72" s="1">
        <f t="shared" si="48"/>
        <v>0</v>
      </c>
      <c r="AI72" s="1">
        <f t="shared" si="48"/>
        <v>0</v>
      </c>
      <c r="AJ72" s="1">
        <f t="shared" si="48"/>
        <v>0</v>
      </c>
      <c r="AK72" s="1">
        <f t="shared" si="48"/>
        <v>0</v>
      </c>
      <c r="AL72" s="1">
        <f t="shared" si="48"/>
        <v>0</v>
      </c>
      <c r="AM72" s="1">
        <f t="shared" si="48"/>
        <v>0</v>
      </c>
      <c r="AN72" s="1">
        <f t="shared" si="48"/>
        <v>0</v>
      </c>
      <c r="AO72" s="1">
        <f t="shared" si="48"/>
        <v>0</v>
      </c>
      <c r="AP72" s="1">
        <f t="shared" si="48"/>
        <v>0</v>
      </c>
      <c r="AQ72" s="1">
        <f t="shared" si="48"/>
        <v>0</v>
      </c>
      <c r="AR72" s="1">
        <f t="shared" si="48"/>
        <v>0</v>
      </c>
      <c r="AS72" s="1">
        <f t="shared" si="48"/>
        <v>0</v>
      </c>
      <c r="AT72" s="1">
        <f t="shared" si="48"/>
        <v>0</v>
      </c>
      <c r="AU72" s="1">
        <f t="shared" si="48"/>
        <v>0</v>
      </c>
      <c r="AV72" s="1">
        <f t="shared" si="48"/>
        <v>0</v>
      </c>
      <c r="AW72" s="1">
        <f t="shared" si="48"/>
        <v>0</v>
      </c>
      <c r="AX72" s="1">
        <f t="shared" si="48"/>
        <v>0</v>
      </c>
      <c r="AY72" s="1">
        <f t="shared" si="48"/>
        <v>0</v>
      </c>
      <c r="AZ72" s="1">
        <f t="shared" si="48"/>
        <v>0</v>
      </c>
      <c r="BA72" s="1">
        <f t="shared" si="48"/>
        <v>0</v>
      </c>
    </row>
    <row r="73" spans="2:53" ht="15.75" customHeight="1" outlineLevel="1" x14ac:dyDescent="0.35">
      <c r="B73" s="5"/>
      <c r="C73" s="5"/>
      <c r="D73" s="5" t="s">
        <v>6</v>
      </c>
      <c r="E73" s="5"/>
      <c r="F73" s="5"/>
      <c r="G73" s="5"/>
      <c r="H73" s="5"/>
      <c r="I73" s="5"/>
      <c r="J73" s="5"/>
      <c r="K73" s="5"/>
      <c r="N73" s="1">
        <f t="shared" si="42"/>
        <v>0</v>
      </c>
      <c r="Q73" s="1">
        <f>ABS(Założenia!$M$43)*'zakładka techniczna'!Q$10*OEt.w2</f>
        <v>0</v>
      </c>
      <c r="R73" s="1">
        <f>ABS(Założenia!$M$43)*'zakładka techniczna'!R$10*OEt.w2</f>
        <v>0</v>
      </c>
      <c r="S73" s="1">
        <f>ABS(Założenia!$M$43)*'zakładka techniczna'!S$10*OEt.w2</f>
        <v>0</v>
      </c>
      <c r="T73" s="1">
        <f>ABS(Założenia!$M$43)*'zakładka techniczna'!T$10*OEt.w2</f>
        <v>0</v>
      </c>
      <c r="U73" s="1">
        <f>ABS(Założenia!$M$43)*'zakładka techniczna'!U$10*OEt.w2</f>
        <v>0</v>
      </c>
      <c r="V73" s="1">
        <f>ABS(Założenia!$M$43)*'zakładka techniczna'!V$10*OEt.w2</f>
        <v>0</v>
      </c>
      <c r="W73" s="1">
        <f>ABS(Założenia!$M$43)*'zakładka techniczna'!W$10*OEt.w2</f>
        <v>0</v>
      </c>
      <c r="X73" s="1">
        <f>ABS(Założenia!$M$43)*'zakładka techniczna'!X$10*OEt.w2</f>
        <v>0</v>
      </c>
      <c r="Y73" s="1">
        <f>ABS(Założenia!$M$43)*'zakładka techniczna'!Y$10*OEt.w2</f>
        <v>0</v>
      </c>
      <c r="Z73" s="1">
        <f>ABS(Założenia!$M$43)*'zakładka techniczna'!Z$10*OEt.w2</f>
        <v>0</v>
      </c>
      <c r="AA73" s="1">
        <f>ABS(Założenia!$M$43)*'zakładka techniczna'!AA$10*OEt.w2</f>
        <v>0</v>
      </c>
      <c r="AB73" s="1">
        <f>ABS(Założenia!$M$43)*'zakładka techniczna'!AB$10*OEt.w2</f>
        <v>0</v>
      </c>
      <c r="AC73" s="1">
        <f>ABS(Założenia!$M$43)*'zakładka techniczna'!AC$10*OEt.w2</f>
        <v>0</v>
      </c>
      <c r="AD73" s="1">
        <f>ABS(Założenia!$M$43)*'zakładka techniczna'!AD$10*OEt.w2</f>
        <v>0</v>
      </c>
      <c r="AE73" s="1">
        <f>ABS(Założenia!$M$43)*'zakładka techniczna'!AE$10*OEt.w2</f>
        <v>0</v>
      </c>
      <c r="AF73" s="1">
        <f>ABS(Założenia!$M$43)*'zakładka techniczna'!AF$10*OEt.w2</f>
        <v>0</v>
      </c>
      <c r="AG73" s="1">
        <f>ABS(Założenia!$M$43)*'zakładka techniczna'!AG$10*OEt.w2</f>
        <v>0</v>
      </c>
      <c r="AH73" s="1">
        <f>ABS(Założenia!$M$43)*'zakładka techniczna'!AH$10*OEt.w2</f>
        <v>0</v>
      </c>
      <c r="AI73" s="1">
        <f>ABS(Założenia!$M$43)*'zakładka techniczna'!AI$10*OEt.w2</f>
        <v>0</v>
      </c>
      <c r="AJ73" s="1">
        <f>ABS(Założenia!$M$43)*'zakładka techniczna'!AJ$10*OEt.w2</f>
        <v>0</v>
      </c>
      <c r="AK73" s="1">
        <f>ABS(Założenia!$M$43)*'zakładka techniczna'!AK$10*OEt.w2</f>
        <v>0</v>
      </c>
      <c r="AL73" s="1">
        <f>ABS(Założenia!$M$43)*'zakładka techniczna'!AL$10*OEt.w2</f>
        <v>0</v>
      </c>
      <c r="AM73" s="1">
        <f>ABS(Założenia!$M$43)*'zakładka techniczna'!AM$10*OEt.w2</f>
        <v>0</v>
      </c>
      <c r="AN73" s="1">
        <f>ABS(Założenia!$M$43)*'zakładka techniczna'!AN$10*OEt.w2</f>
        <v>0</v>
      </c>
      <c r="AO73" s="1">
        <f>ABS(Założenia!$M$43)*'zakładka techniczna'!AO$10*OEt.w2</f>
        <v>0</v>
      </c>
      <c r="AP73" s="1">
        <f>ABS(Założenia!$M$43)*'zakładka techniczna'!AP$10*OEt.w2</f>
        <v>0</v>
      </c>
      <c r="AQ73" s="1">
        <f>ABS(Założenia!$M$43)*'zakładka techniczna'!AQ$10*OEt.w2</f>
        <v>0</v>
      </c>
      <c r="AR73" s="1">
        <f>ABS(Założenia!$M$43)*'zakładka techniczna'!AR$10*OEt.w2</f>
        <v>0</v>
      </c>
      <c r="AS73" s="1">
        <f>ABS(Założenia!$M$43)*'zakładka techniczna'!AS$10*OEt.w2</f>
        <v>0</v>
      </c>
      <c r="AT73" s="1">
        <f>ABS(Założenia!$M$43)*'zakładka techniczna'!AT$10*OEt.w2</f>
        <v>0</v>
      </c>
      <c r="AU73" s="1">
        <f>ABS(Założenia!$M$43)*'zakładka techniczna'!AU$10*OEt.w2</f>
        <v>0</v>
      </c>
      <c r="AV73" s="1">
        <f>ABS(Założenia!$M$43)*'zakładka techniczna'!AV$10*OEt.w2</f>
        <v>0</v>
      </c>
      <c r="AW73" s="1">
        <f>ABS(Założenia!$M$43)*'zakładka techniczna'!AW$10*OEt.w2</f>
        <v>0</v>
      </c>
      <c r="AX73" s="1">
        <f>ABS(Założenia!$M$43)*'zakładka techniczna'!AX$10*OEt.w2</f>
        <v>0</v>
      </c>
      <c r="AY73" s="1">
        <f>ABS(Założenia!$M$43)*'zakładka techniczna'!AY$10*OEt.w2</f>
        <v>0</v>
      </c>
      <c r="AZ73" s="1">
        <f>ABS(Założenia!$M$43)*'zakładka techniczna'!AZ$10*OEt.w2</f>
        <v>0</v>
      </c>
      <c r="BA73" s="1">
        <f>ABS(Założenia!$M$43)*'zakładka techniczna'!BA$10*OEt.w2</f>
        <v>0</v>
      </c>
    </row>
    <row r="74" spans="2:53" ht="15.75" customHeight="1" outlineLevel="1" x14ac:dyDescent="0.35">
      <c r="B74" s="5"/>
      <c r="C74" s="5"/>
      <c r="D74" s="5" t="s">
        <v>142</v>
      </c>
      <c r="E74" s="5"/>
      <c r="F74" s="5"/>
      <c r="G74" s="5"/>
      <c r="H74" s="5"/>
      <c r="I74" s="5"/>
      <c r="J74" s="5"/>
      <c r="K74" s="5"/>
      <c r="N74" s="1">
        <f t="shared" si="42"/>
        <v>0</v>
      </c>
      <c r="Q74" s="1">
        <f>ABS(IFERROR(INDEX(Założenia!$M$45:$M$81,MATCH(Q1,Założenia!$J$45:$J$81,0)),0))*'zakładka techniczna'!Q$10*(w.2="tak")</f>
        <v>0</v>
      </c>
      <c r="R74" s="1">
        <f>ABS(IFERROR(INDEX(Założenia!$M$45:$M$81,MATCH(R1,Założenia!$J$45:$J$81,0)),0))*'zakładka techniczna'!R$10*(w.2="tak")</f>
        <v>0</v>
      </c>
      <c r="S74" s="1">
        <f>ABS(IFERROR(INDEX(Założenia!$M$45:$M$81,MATCH(S1,Założenia!$J$45:$J$81,0)),0))*'zakładka techniczna'!S$10*(w.2="tak")</f>
        <v>0</v>
      </c>
      <c r="T74" s="1">
        <f>ABS(IFERROR(INDEX(Założenia!$M$45:$M$81,MATCH(T1,Założenia!$J$45:$J$81,0)),0))*'zakładka techniczna'!T$10*(w.2="tak")</f>
        <v>0</v>
      </c>
      <c r="U74" s="1">
        <f>ABS(IFERROR(INDEX(Założenia!$M$45:$M$81,MATCH(U1,Założenia!$J$45:$J$81,0)),0))*'zakładka techniczna'!U$10*(w.2="tak")</f>
        <v>0</v>
      </c>
      <c r="V74" s="1">
        <f>ABS(IFERROR(INDEX(Założenia!$M$45:$M$81,MATCH(V1,Założenia!$J$45:$J$81,0)),0))*'zakładka techniczna'!V$10*(w.2="tak")</f>
        <v>0</v>
      </c>
      <c r="W74" s="1">
        <f>ABS(IFERROR(INDEX(Założenia!$M$45:$M$81,MATCH(W1,Założenia!$J$45:$J$81,0)),0))*'zakładka techniczna'!W$10*(w.2="tak")</f>
        <v>0</v>
      </c>
      <c r="X74" s="1">
        <f>ABS(IFERROR(INDEX(Założenia!$M$45:$M$81,MATCH(X1,Założenia!$J$45:$J$81,0)),0))*'zakładka techniczna'!X$10*(w.2="tak")</f>
        <v>0</v>
      </c>
      <c r="Y74" s="1">
        <f>ABS(IFERROR(INDEX(Założenia!$M$45:$M$81,MATCH(Y1,Założenia!$J$45:$J$81,0)),0))*'zakładka techniczna'!Y$10*(w.2="tak")</f>
        <v>0</v>
      </c>
      <c r="Z74" s="1">
        <f>ABS(IFERROR(INDEX(Założenia!$M$45:$M$81,MATCH(Z1,Założenia!$J$45:$J$81,0)),0))*'zakładka techniczna'!Z$10*(w.2="tak")</f>
        <v>0</v>
      </c>
      <c r="AA74" s="1">
        <f>ABS(IFERROR(INDEX(Założenia!$M$45:$M$81,MATCH(AA1,Założenia!$J$45:$J$81,0)),0))*'zakładka techniczna'!AA$10*(w.2="tak")</f>
        <v>0</v>
      </c>
      <c r="AB74" s="1">
        <f>ABS(IFERROR(INDEX(Założenia!$M$45:$M$81,MATCH(AB1,Założenia!$J$45:$J$81,0)),0))*'zakładka techniczna'!AB$10*(w.2="tak")</f>
        <v>0</v>
      </c>
      <c r="AC74" s="1">
        <f>ABS(IFERROR(INDEX(Założenia!$M$45:$M$81,MATCH(AC1,Założenia!$J$45:$J$81,0)),0))*'zakładka techniczna'!AC$10*(w.2="tak")</f>
        <v>0</v>
      </c>
      <c r="AD74" s="1">
        <f>ABS(IFERROR(INDEX(Założenia!$M$45:$M$81,MATCH(AD1,Założenia!$J$45:$J$81,0)),0))*'zakładka techniczna'!AD$10*(w.2="tak")</f>
        <v>0</v>
      </c>
      <c r="AE74" s="1">
        <f>ABS(IFERROR(INDEX(Założenia!$M$45:$M$81,MATCH(AE1,Założenia!$J$45:$J$81,0)),0))*'zakładka techniczna'!AE$10*(w.2="tak")</f>
        <v>0</v>
      </c>
      <c r="AF74" s="1">
        <f>ABS(IFERROR(INDEX(Założenia!$M$45:$M$81,MATCH(AF1,Założenia!$J$45:$J$81,0)),0))*'zakładka techniczna'!AF$10*(w.2="tak")</f>
        <v>0</v>
      </c>
      <c r="AG74" s="1">
        <f>ABS(IFERROR(INDEX(Założenia!$M$45:$M$81,MATCH(AG1,Założenia!$J$45:$J$81,0)),0))*'zakładka techniczna'!AG$10*(w.2="tak")</f>
        <v>0</v>
      </c>
      <c r="AH74" s="1">
        <f>ABS(IFERROR(INDEX(Założenia!$M$45:$M$81,MATCH(AH1,Założenia!$J$45:$J$81,0)),0))*'zakładka techniczna'!AH$10*(w.2="tak")</f>
        <v>0</v>
      </c>
      <c r="AI74" s="1">
        <f>ABS(IFERROR(INDEX(Założenia!$M$45:$M$81,MATCH(AI1,Założenia!$J$45:$J$81,0)),0))*'zakładka techniczna'!AI$10*(w.2="tak")</f>
        <v>0</v>
      </c>
      <c r="AJ74" s="1">
        <f>ABS(IFERROR(INDEX(Założenia!$M$45:$M$81,MATCH(AJ1,Założenia!$J$45:$J$81,0)),0))*'zakładka techniczna'!AJ$10*(w.2="tak")</f>
        <v>0</v>
      </c>
      <c r="AK74" s="1">
        <f>ABS(IFERROR(INDEX(Założenia!$M$45:$M$81,MATCH(AK1,Założenia!$J$45:$J$81,0)),0))*'zakładka techniczna'!AK$10*(w.2="tak")</f>
        <v>0</v>
      </c>
      <c r="AL74" s="1">
        <f>ABS(IFERROR(INDEX(Założenia!$M$45:$M$81,MATCH(AL1,Założenia!$J$45:$J$81,0)),0))*'zakładka techniczna'!AL$10*(w.2="tak")</f>
        <v>0</v>
      </c>
      <c r="AM74" s="1">
        <f>ABS(IFERROR(INDEX(Założenia!$M$45:$M$81,MATCH(AM1,Założenia!$J$45:$J$81,0)),0))*'zakładka techniczna'!AM$10*(w.2="tak")</f>
        <v>0</v>
      </c>
      <c r="AN74" s="1">
        <f>ABS(IFERROR(INDEX(Założenia!$M$45:$M$81,MATCH(AN1,Założenia!$J$45:$J$81,0)),0))*'zakładka techniczna'!AN$10*(w.2="tak")</f>
        <v>0</v>
      </c>
      <c r="AO74" s="1">
        <f>ABS(IFERROR(INDEX(Założenia!$M$45:$M$81,MATCH(AO1,Założenia!$J$45:$J$81,0)),0))*'zakładka techniczna'!AO$10*(w.2="tak")</f>
        <v>0</v>
      </c>
      <c r="AP74" s="1">
        <f>ABS(IFERROR(INDEX(Założenia!$M$45:$M$81,MATCH(AP1,Założenia!$J$45:$J$81,0)),0))*'zakładka techniczna'!AP$10*(w.2="tak")</f>
        <v>0</v>
      </c>
      <c r="AQ74" s="1">
        <f>ABS(IFERROR(INDEX(Założenia!$M$45:$M$81,MATCH(AQ1,Założenia!$J$45:$J$81,0)),0))*'zakładka techniczna'!AQ$10*(w.2="tak")</f>
        <v>0</v>
      </c>
      <c r="AR74" s="1">
        <f>ABS(IFERROR(INDEX(Założenia!$M$45:$M$81,MATCH(AR1,Założenia!$J$45:$J$81,0)),0))*'zakładka techniczna'!AR$10*(w.2="tak")</f>
        <v>0</v>
      </c>
      <c r="AS74" s="1">
        <f>ABS(IFERROR(INDEX(Założenia!$M$45:$M$81,MATCH(AS1,Założenia!$J$45:$J$81,0)),0))*'zakładka techniczna'!AS$10*(w.2="tak")</f>
        <v>0</v>
      </c>
      <c r="AT74" s="1">
        <f>ABS(IFERROR(INDEX(Założenia!$M$45:$M$81,MATCH(AT1,Założenia!$J$45:$J$81,0)),0))*'zakładka techniczna'!AT$10*(w.2="tak")</f>
        <v>0</v>
      </c>
      <c r="AU74" s="1">
        <f>ABS(IFERROR(INDEX(Założenia!$M$45:$M$81,MATCH(AU1,Założenia!$J$45:$J$81,0)),0))*'zakładka techniczna'!AU$10*(w.2="tak")</f>
        <v>0</v>
      </c>
      <c r="AV74" s="1">
        <f>ABS(IFERROR(INDEX(Założenia!$M$45:$M$81,MATCH(AV1,Założenia!$J$45:$J$81,0)),0))*'zakładka techniczna'!AV$10*(w.2="tak")</f>
        <v>0</v>
      </c>
      <c r="AW74" s="1">
        <f>ABS(IFERROR(INDEX(Założenia!$M$45:$M$81,MATCH(AW1,Założenia!$J$45:$J$81,0)),0))*'zakładka techniczna'!AW$10*(w.2="tak")</f>
        <v>0</v>
      </c>
      <c r="AX74" s="1">
        <f>ABS(IFERROR(INDEX(Założenia!$M$45:$M$81,MATCH(AX1,Założenia!$J$45:$J$81,0)),0))*'zakładka techniczna'!AX$10*(w.2="tak")</f>
        <v>0</v>
      </c>
      <c r="AY74" s="1">
        <f>ABS(IFERROR(INDEX(Założenia!$M$45:$M$81,MATCH(AY1,Założenia!$J$45:$J$81,0)),0))*'zakładka techniczna'!AY$10*(w.2="tak")</f>
        <v>0</v>
      </c>
      <c r="AZ74" s="1">
        <f>ABS(IFERROR(INDEX(Założenia!$M$45:$M$81,MATCH(AZ1,Założenia!$J$45:$J$81,0)),0))*'zakładka techniczna'!AZ$10*(w.2="tak")</f>
        <v>0</v>
      </c>
      <c r="BA74" s="1">
        <f>ABS(IFERROR(INDEX(Założenia!$M$45:$M$81,MATCH(BA1,Założenia!$J$45:$J$81,0)),0))*'zakładka techniczna'!BA$10*(w.2="tak")</f>
        <v>0</v>
      </c>
    </row>
    <row r="75" spans="2:53" ht="15.75" customHeight="1" x14ac:dyDescent="0.35">
      <c r="B75" s="5"/>
      <c r="C75" s="5" t="s">
        <v>2</v>
      </c>
      <c r="D75" s="5"/>
      <c r="E75" s="5"/>
      <c r="F75" s="5"/>
      <c r="G75" s="5"/>
      <c r="H75" s="5"/>
      <c r="I75" s="5"/>
      <c r="J75" s="5"/>
      <c r="K75" s="5"/>
      <c r="N75" s="1">
        <f t="shared" si="42"/>
        <v>0</v>
      </c>
      <c r="Q75" s="1">
        <f t="shared" ref="Q75:BA75" si="49">SUM(Q76,Q77)</f>
        <v>0</v>
      </c>
      <c r="R75" s="1">
        <f t="shared" si="49"/>
        <v>0</v>
      </c>
      <c r="S75" s="1">
        <f t="shared" si="49"/>
        <v>0</v>
      </c>
      <c r="T75" s="1">
        <f t="shared" si="49"/>
        <v>0</v>
      </c>
      <c r="U75" s="1">
        <f t="shared" si="49"/>
        <v>0</v>
      </c>
      <c r="V75" s="1">
        <f t="shared" si="49"/>
        <v>0</v>
      </c>
      <c r="W75" s="1">
        <f t="shared" si="49"/>
        <v>0</v>
      </c>
      <c r="X75" s="1">
        <f t="shared" si="49"/>
        <v>0</v>
      </c>
      <c r="Y75" s="1">
        <f t="shared" si="49"/>
        <v>0</v>
      </c>
      <c r="Z75" s="1">
        <f t="shared" si="49"/>
        <v>0</v>
      </c>
      <c r="AA75" s="1">
        <f t="shared" si="49"/>
        <v>0</v>
      </c>
      <c r="AB75" s="1">
        <f t="shared" si="49"/>
        <v>0</v>
      </c>
      <c r="AC75" s="1">
        <f t="shared" si="49"/>
        <v>0</v>
      </c>
      <c r="AD75" s="1">
        <f t="shared" si="49"/>
        <v>0</v>
      </c>
      <c r="AE75" s="1">
        <f t="shared" si="49"/>
        <v>0</v>
      </c>
      <c r="AF75" s="1">
        <f t="shared" si="49"/>
        <v>0</v>
      </c>
      <c r="AG75" s="1">
        <f t="shared" si="49"/>
        <v>0</v>
      </c>
      <c r="AH75" s="1">
        <f t="shared" si="49"/>
        <v>0</v>
      </c>
      <c r="AI75" s="1">
        <f t="shared" si="49"/>
        <v>0</v>
      </c>
      <c r="AJ75" s="1">
        <f t="shared" si="49"/>
        <v>0</v>
      </c>
      <c r="AK75" s="1">
        <f t="shared" si="49"/>
        <v>0</v>
      </c>
      <c r="AL75" s="1">
        <f t="shared" si="49"/>
        <v>0</v>
      </c>
      <c r="AM75" s="1">
        <f t="shared" si="49"/>
        <v>0</v>
      </c>
      <c r="AN75" s="1">
        <f t="shared" si="49"/>
        <v>0</v>
      </c>
      <c r="AO75" s="1">
        <f t="shared" si="49"/>
        <v>0</v>
      </c>
      <c r="AP75" s="1">
        <f t="shared" si="49"/>
        <v>0</v>
      </c>
      <c r="AQ75" s="1">
        <f t="shared" si="49"/>
        <v>0</v>
      </c>
      <c r="AR75" s="1">
        <f t="shared" si="49"/>
        <v>0</v>
      </c>
      <c r="AS75" s="1">
        <f t="shared" si="49"/>
        <v>0</v>
      </c>
      <c r="AT75" s="1">
        <f t="shared" si="49"/>
        <v>0</v>
      </c>
      <c r="AU75" s="1">
        <f t="shared" si="49"/>
        <v>0</v>
      </c>
      <c r="AV75" s="1">
        <f t="shared" si="49"/>
        <v>0</v>
      </c>
      <c r="AW75" s="1">
        <f t="shared" si="49"/>
        <v>0</v>
      </c>
      <c r="AX75" s="1">
        <f t="shared" si="49"/>
        <v>0</v>
      </c>
      <c r="AY75" s="1">
        <f t="shared" si="49"/>
        <v>0</v>
      </c>
      <c r="AZ75" s="1">
        <f t="shared" si="49"/>
        <v>0</v>
      </c>
      <c r="BA75" s="1">
        <f t="shared" si="49"/>
        <v>0</v>
      </c>
    </row>
    <row r="76" spans="2:53" ht="15.75" customHeight="1" outlineLevel="1" x14ac:dyDescent="0.35">
      <c r="B76" s="5"/>
      <c r="C76" s="5"/>
      <c r="D76" s="5" t="s">
        <v>147</v>
      </c>
      <c r="E76" s="5"/>
      <c r="F76" s="5"/>
      <c r="G76" s="5"/>
      <c r="H76" s="5"/>
      <c r="I76" s="5"/>
      <c r="J76" s="5"/>
      <c r="K76" s="5"/>
      <c r="N76" s="1">
        <f t="shared" si="42"/>
        <v>0</v>
      </c>
      <c r="Q76" s="1">
        <f t="shared" ref="Q76:BA76" si="50">Q132+Q147</f>
        <v>0</v>
      </c>
      <c r="R76" s="1">
        <f t="shared" si="50"/>
        <v>0</v>
      </c>
      <c r="S76" s="1">
        <f t="shared" si="50"/>
        <v>0</v>
      </c>
      <c r="T76" s="1">
        <f t="shared" si="50"/>
        <v>0</v>
      </c>
      <c r="U76" s="1">
        <f t="shared" si="50"/>
        <v>0</v>
      </c>
      <c r="V76" s="1">
        <f t="shared" si="50"/>
        <v>0</v>
      </c>
      <c r="W76" s="1">
        <f t="shared" si="50"/>
        <v>0</v>
      </c>
      <c r="X76" s="1">
        <f t="shared" si="50"/>
        <v>0</v>
      </c>
      <c r="Y76" s="1">
        <f t="shared" si="50"/>
        <v>0</v>
      </c>
      <c r="Z76" s="1">
        <f t="shared" si="50"/>
        <v>0</v>
      </c>
      <c r="AA76" s="1">
        <f t="shared" si="50"/>
        <v>0</v>
      </c>
      <c r="AB76" s="1">
        <f t="shared" si="50"/>
        <v>0</v>
      </c>
      <c r="AC76" s="1">
        <f t="shared" si="50"/>
        <v>0</v>
      </c>
      <c r="AD76" s="1">
        <f t="shared" si="50"/>
        <v>0</v>
      </c>
      <c r="AE76" s="1">
        <f t="shared" si="50"/>
        <v>0</v>
      </c>
      <c r="AF76" s="1">
        <f t="shared" si="50"/>
        <v>0</v>
      </c>
      <c r="AG76" s="1">
        <f t="shared" si="50"/>
        <v>0</v>
      </c>
      <c r="AH76" s="1">
        <f t="shared" si="50"/>
        <v>0</v>
      </c>
      <c r="AI76" s="1">
        <f t="shared" si="50"/>
        <v>0</v>
      </c>
      <c r="AJ76" s="1">
        <f t="shared" si="50"/>
        <v>0</v>
      </c>
      <c r="AK76" s="1">
        <f t="shared" si="50"/>
        <v>0</v>
      </c>
      <c r="AL76" s="1">
        <f t="shared" si="50"/>
        <v>0</v>
      </c>
      <c r="AM76" s="1">
        <f t="shared" si="50"/>
        <v>0</v>
      </c>
      <c r="AN76" s="1">
        <f t="shared" si="50"/>
        <v>0</v>
      </c>
      <c r="AO76" s="1">
        <f t="shared" si="50"/>
        <v>0</v>
      </c>
      <c r="AP76" s="1">
        <f t="shared" si="50"/>
        <v>0</v>
      </c>
      <c r="AQ76" s="1">
        <f t="shared" si="50"/>
        <v>0</v>
      </c>
      <c r="AR76" s="1">
        <f t="shared" si="50"/>
        <v>0</v>
      </c>
      <c r="AS76" s="1">
        <f t="shared" si="50"/>
        <v>0</v>
      </c>
      <c r="AT76" s="1">
        <f t="shared" si="50"/>
        <v>0</v>
      </c>
      <c r="AU76" s="1">
        <f t="shared" si="50"/>
        <v>0</v>
      </c>
      <c r="AV76" s="1">
        <f t="shared" si="50"/>
        <v>0</v>
      </c>
      <c r="AW76" s="1">
        <f t="shared" si="50"/>
        <v>0</v>
      </c>
      <c r="AX76" s="1">
        <f t="shared" si="50"/>
        <v>0</v>
      </c>
      <c r="AY76" s="1">
        <f t="shared" si="50"/>
        <v>0</v>
      </c>
      <c r="AZ76" s="1">
        <f t="shared" si="50"/>
        <v>0</v>
      </c>
      <c r="BA76" s="1">
        <f t="shared" si="50"/>
        <v>0</v>
      </c>
    </row>
    <row r="77" spans="2:53" ht="15.75" customHeight="1" outlineLevel="1" x14ac:dyDescent="0.35">
      <c r="B77" s="5"/>
      <c r="C77" s="5"/>
      <c r="D77" s="5" t="s">
        <v>52</v>
      </c>
      <c r="E77" s="5"/>
      <c r="F77" s="5"/>
      <c r="G77" s="5"/>
      <c r="H77" s="5"/>
      <c r="I77" s="5"/>
      <c r="J77" s="5"/>
      <c r="K77" s="5"/>
      <c r="N77" s="1">
        <f t="shared" si="42"/>
        <v>0</v>
      </c>
      <c r="Q77" s="1">
        <f>Założenia!$M$190*OEt.w2</f>
        <v>0</v>
      </c>
      <c r="R77" s="1">
        <f>Założenia!$M$190*'zakładka techniczna'!R$10*OEt.w2</f>
        <v>0</v>
      </c>
      <c r="S77" s="1">
        <f>Założenia!$M$190*'zakładka techniczna'!S$10*OEt.w2</f>
        <v>0</v>
      </c>
      <c r="T77" s="1">
        <f>Założenia!$M$190*'zakładka techniczna'!T$10*OEt.w2</f>
        <v>0</v>
      </c>
      <c r="U77" s="1">
        <f>Założenia!$M$190*'zakładka techniczna'!U$10*OEt.w2</f>
        <v>0</v>
      </c>
      <c r="V77" s="1">
        <f>Założenia!$M$190*'zakładka techniczna'!V$10*OEt.w2</f>
        <v>0</v>
      </c>
      <c r="W77" s="1">
        <f>Założenia!$M$190*'zakładka techniczna'!W$10*OEt.w2</f>
        <v>0</v>
      </c>
      <c r="X77" s="1">
        <f>Założenia!$M$190*'zakładka techniczna'!X$10*OEt.w2</f>
        <v>0</v>
      </c>
      <c r="Y77" s="1">
        <f>Założenia!$M$190*'zakładka techniczna'!Y$10*OEt.w2</f>
        <v>0</v>
      </c>
      <c r="Z77" s="1">
        <f>Założenia!$M$190*'zakładka techniczna'!Z$10*OEt.w2</f>
        <v>0</v>
      </c>
      <c r="AA77" s="1">
        <f>Założenia!$M$190*'zakładka techniczna'!AA$10*OEt.w2</f>
        <v>0</v>
      </c>
      <c r="AB77" s="1">
        <f>Założenia!$M$190*'zakładka techniczna'!AB$10*OEt.w2</f>
        <v>0</v>
      </c>
      <c r="AC77" s="1">
        <f>Założenia!$M$190*'zakładka techniczna'!AC$10*OEt.w2</f>
        <v>0</v>
      </c>
      <c r="AD77" s="1">
        <f>Założenia!$M$190*'zakładka techniczna'!AD$10*OEt.w2</f>
        <v>0</v>
      </c>
      <c r="AE77" s="1">
        <f>Założenia!$M$190*'zakładka techniczna'!AE$10*OEt.w2</f>
        <v>0</v>
      </c>
      <c r="AF77" s="1">
        <f>Założenia!$M$190*'zakładka techniczna'!AF$10*OEt.w2</f>
        <v>0</v>
      </c>
      <c r="AG77" s="1">
        <f>Założenia!$M$190*'zakładka techniczna'!AG$10*OEt.w2</f>
        <v>0</v>
      </c>
      <c r="AH77" s="1">
        <f>Założenia!$M$190*'zakładka techniczna'!AH$10*OEt.w2</f>
        <v>0</v>
      </c>
      <c r="AI77" s="1">
        <f>Założenia!$M$190*'zakładka techniczna'!AI$10*OEt.w2</f>
        <v>0</v>
      </c>
      <c r="AJ77" s="1">
        <f>Założenia!$M$190*'zakładka techniczna'!AJ$10*OEt.w2</f>
        <v>0</v>
      </c>
      <c r="AK77" s="1">
        <f>Założenia!$M$190*'zakładka techniczna'!AK$10*OEt.w2</f>
        <v>0</v>
      </c>
      <c r="AL77" s="1">
        <f>Założenia!$M$190*'zakładka techniczna'!AL$10*OEt.w2</f>
        <v>0</v>
      </c>
      <c r="AM77" s="1">
        <f>Założenia!$M$190*'zakładka techniczna'!AM$10*OEt.w2</f>
        <v>0</v>
      </c>
      <c r="AN77" s="1">
        <f>Założenia!$M$190*'zakładka techniczna'!AN$10*OEt.w2</f>
        <v>0</v>
      </c>
      <c r="AO77" s="1">
        <f>Założenia!$M$190*'zakładka techniczna'!AO$10*OEt.w2</f>
        <v>0</v>
      </c>
      <c r="AP77" s="1">
        <f>Założenia!$M$190*'zakładka techniczna'!AP$10*OEt.w2</f>
        <v>0</v>
      </c>
      <c r="AQ77" s="1">
        <f>Założenia!$M$190*'zakładka techniczna'!AQ$10*OEt.w2</f>
        <v>0</v>
      </c>
      <c r="AR77" s="1">
        <f>Założenia!$M$190*'zakładka techniczna'!AR$10*OEt.w2</f>
        <v>0</v>
      </c>
      <c r="AS77" s="1">
        <f>Założenia!$M$190*'zakładka techniczna'!AS$10*OEt.w2</f>
        <v>0</v>
      </c>
      <c r="AT77" s="1">
        <f>Założenia!$M$190*'zakładka techniczna'!AT$10*OEt.w2</f>
        <v>0</v>
      </c>
      <c r="AU77" s="1">
        <f>Założenia!$M$190*'zakładka techniczna'!AU$10*OEt.w2</f>
        <v>0</v>
      </c>
      <c r="AV77" s="1">
        <f>Założenia!$M$190*'zakładka techniczna'!AV$10*OEt.w2</f>
        <v>0</v>
      </c>
      <c r="AW77" s="1">
        <f>Założenia!$M$190*'zakładka techniczna'!AW$10*OEt.w2</f>
        <v>0</v>
      </c>
      <c r="AX77" s="1">
        <f>Założenia!$M$190*'zakładka techniczna'!AX$10*OEt.w2</f>
        <v>0</v>
      </c>
      <c r="AY77" s="1">
        <f>Założenia!$M$190*'zakładka techniczna'!AY$10*OEt.w2</f>
        <v>0</v>
      </c>
      <c r="AZ77" s="1">
        <f>Założenia!$M$190*'zakładka techniczna'!AZ$10*OEt.w2</f>
        <v>0</v>
      </c>
      <c r="BA77" s="1">
        <f>Założenia!$M$190*'zakładka techniczna'!BA$10*OEt.w2</f>
        <v>0</v>
      </c>
    </row>
    <row r="78" spans="2:53" ht="15.75" customHeight="1" outlineLevel="1" x14ac:dyDescent="0.35">
      <c r="B78" s="5"/>
      <c r="C78" s="5" t="s">
        <v>28</v>
      </c>
      <c r="D78" s="5"/>
      <c r="E78" s="5"/>
      <c r="F78" s="5"/>
      <c r="G78" s="5"/>
      <c r="H78" s="5"/>
      <c r="I78" s="5"/>
      <c r="J78" s="5"/>
      <c r="K78" s="5"/>
      <c r="N78" s="1">
        <f t="shared" si="42"/>
        <v>0</v>
      </c>
      <c r="Q78" s="1">
        <f t="shared" ref="Q78:BA78" si="51">SUM(Q79,Q82)</f>
        <v>0</v>
      </c>
      <c r="R78" s="1">
        <f t="shared" si="51"/>
        <v>0</v>
      </c>
      <c r="S78" s="1">
        <f t="shared" si="51"/>
        <v>0</v>
      </c>
      <c r="T78" s="1">
        <f t="shared" si="51"/>
        <v>0</v>
      </c>
      <c r="U78" s="1">
        <f t="shared" si="51"/>
        <v>0</v>
      </c>
      <c r="V78" s="1">
        <f t="shared" si="51"/>
        <v>0</v>
      </c>
      <c r="W78" s="1">
        <f t="shared" si="51"/>
        <v>0</v>
      </c>
      <c r="X78" s="1">
        <f t="shared" si="51"/>
        <v>0</v>
      </c>
      <c r="Y78" s="1">
        <f t="shared" si="51"/>
        <v>0</v>
      </c>
      <c r="Z78" s="1">
        <f t="shared" si="51"/>
        <v>0</v>
      </c>
      <c r="AA78" s="1">
        <f t="shared" si="51"/>
        <v>0</v>
      </c>
      <c r="AB78" s="1">
        <f t="shared" si="51"/>
        <v>0</v>
      </c>
      <c r="AC78" s="1">
        <f t="shared" si="51"/>
        <v>0</v>
      </c>
      <c r="AD78" s="1">
        <f t="shared" si="51"/>
        <v>0</v>
      </c>
      <c r="AE78" s="1">
        <f t="shared" si="51"/>
        <v>0</v>
      </c>
      <c r="AF78" s="1">
        <f t="shared" si="51"/>
        <v>0</v>
      </c>
      <c r="AG78" s="1">
        <f t="shared" si="51"/>
        <v>0</v>
      </c>
      <c r="AH78" s="1">
        <f t="shared" si="51"/>
        <v>0</v>
      </c>
      <c r="AI78" s="1">
        <f t="shared" si="51"/>
        <v>0</v>
      </c>
      <c r="AJ78" s="1">
        <f t="shared" si="51"/>
        <v>0</v>
      </c>
      <c r="AK78" s="1">
        <f t="shared" si="51"/>
        <v>0</v>
      </c>
      <c r="AL78" s="1">
        <f t="shared" si="51"/>
        <v>0</v>
      </c>
      <c r="AM78" s="1">
        <f t="shared" si="51"/>
        <v>0</v>
      </c>
      <c r="AN78" s="1">
        <f t="shared" si="51"/>
        <v>0</v>
      </c>
      <c r="AO78" s="1">
        <f t="shared" si="51"/>
        <v>0</v>
      </c>
      <c r="AP78" s="1">
        <f t="shared" si="51"/>
        <v>0</v>
      </c>
      <c r="AQ78" s="1">
        <f t="shared" si="51"/>
        <v>0</v>
      </c>
      <c r="AR78" s="1">
        <f t="shared" si="51"/>
        <v>0</v>
      </c>
      <c r="AS78" s="1">
        <f t="shared" si="51"/>
        <v>0</v>
      </c>
      <c r="AT78" s="1">
        <f t="shared" si="51"/>
        <v>0</v>
      </c>
      <c r="AU78" s="1">
        <f t="shared" si="51"/>
        <v>0</v>
      </c>
      <c r="AV78" s="1">
        <f t="shared" si="51"/>
        <v>0</v>
      </c>
      <c r="AW78" s="1">
        <f t="shared" si="51"/>
        <v>0</v>
      </c>
      <c r="AX78" s="1">
        <f t="shared" si="51"/>
        <v>0</v>
      </c>
      <c r="AY78" s="1">
        <f t="shared" si="51"/>
        <v>0</v>
      </c>
      <c r="AZ78" s="1">
        <f t="shared" si="51"/>
        <v>0</v>
      </c>
      <c r="BA78" s="1">
        <f t="shared" si="51"/>
        <v>0</v>
      </c>
    </row>
    <row r="79" spans="2:53" ht="15.75" customHeight="1" outlineLevel="1" x14ac:dyDescent="0.35">
      <c r="B79" s="5"/>
      <c r="C79" s="5"/>
      <c r="D79" s="5" t="s">
        <v>154</v>
      </c>
      <c r="E79" s="5"/>
      <c r="F79" s="5"/>
      <c r="G79" s="5"/>
      <c r="H79" s="5"/>
      <c r="I79" s="5"/>
      <c r="J79" s="5"/>
      <c r="K79" s="5"/>
      <c r="N79" s="1">
        <f t="shared" si="42"/>
        <v>0</v>
      </c>
      <c r="Q79" s="1">
        <f t="shared" ref="Q79:BA79" si="52">SUM(Q80:Q81)</f>
        <v>0</v>
      </c>
      <c r="R79" s="1">
        <f t="shared" si="52"/>
        <v>0</v>
      </c>
      <c r="S79" s="1">
        <f t="shared" si="52"/>
        <v>0</v>
      </c>
      <c r="T79" s="1">
        <f t="shared" si="52"/>
        <v>0</v>
      </c>
      <c r="U79" s="1">
        <f t="shared" si="52"/>
        <v>0</v>
      </c>
      <c r="V79" s="1">
        <f t="shared" si="52"/>
        <v>0</v>
      </c>
      <c r="W79" s="1">
        <f t="shared" si="52"/>
        <v>0</v>
      </c>
      <c r="X79" s="1">
        <f t="shared" si="52"/>
        <v>0</v>
      </c>
      <c r="Y79" s="1">
        <f t="shared" si="52"/>
        <v>0</v>
      </c>
      <c r="Z79" s="1">
        <f t="shared" si="52"/>
        <v>0</v>
      </c>
      <c r="AA79" s="1">
        <f t="shared" si="52"/>
        <v>0</v>
      </c>
      <c r="AB79" s="1">
        <f t="shared" si="52"/>
        <v>0</v>
      </c>
      <c r="AC79" s="1">
        <f t="shared" si="52"/>
        <v>0</v>
      </c>
      <c r="AD79" s="1">
        <f t="shared" si="52"/>
        <v>0</v>
      </c>
      <c r="AE79" s="1">
        <f t="shared" si="52"/>
        <v>0</v>
      </c>
      <c r="AF79" s="1">
        <f t="shared" si="52"/>
        <v>0</v>
      </c>
      <c r="AG79" s="1">
        <f t="shared" si="52"/>
        <v>0</v>
      </c>
      <c r="AH79" s="1">
        <f t="shared" si="52"/>
        <v>0</v>
      </c>
      <c r="AI79" s="1">
        <f t="shared" si="52"/>
        <v>0</v>
      </c>
      <c r="AJ79" s="1">
        <f t="shared" si="52"/>
        <v>0</v>
      </c>
      <c r="AK79" s="1">
        <f t="shared" si="52"/>
        <v>0</v>
      </c>
      <c r="AL79" s="1">
        <f t="shared" si="52"/>
        <v>0</v>
      </c>
      <c r="AM79" s="1">
        <f t="shared" si="52"/>
        <v>0</v>
      </c>
      <c r="AN79" s="1">
        <f t="shared" si="52"/>
        <v>0</v>
      </c>
      <c r="AO79" s="1">
        <f t="shared" si="52"/>
        <v>0</v>
      </c>
      <c r="AP79" s="1">
        <f t="shared" si="52"/>
        <v>0</v>
      </c>
      <c r="AQ79" s="1">
        <f t="shared" si="52"/>
        <v>0</v>
      </c>
      <c r="AR79" s="1">
        <f t="shared" si="52"/>
        <v>0</v>
      </c>
      <c r="AS79" s="1">
        <f t="shared" si="52"/>
        <v>0</v>
      </c>
      <c r="AT79" s="1">
        <f t="shared" si="52"/>
        <v>0</v>
      </c>
      <c r="AU79" s="1">
        <f t="shared" si="52"/>
        <v>0</v>
      </c>
      <c r="AV79" s="1">
        <f t="shared" si="52"/>
        <v>0</v>
      </c>
      <c r="AW79" s="1">
        <f t="shared" si="52"/>
        <v>0</v>
      </c>
      <c r="AX79" s="1">
        <f t="shared" si="52"/>
        <v>0</v>
      </c>
      <c r="AY79" s="1">
        <f t="shared" si="52"/>
        <v>0</v>
      </c>
      <c r="AZ79" s="1">
        <f t="shared" si="52"/>
        <v>0</v>
      </c>
      <c r="BA79" s="1">
        <f t="shared" si="52"/>
        <v>0</v>
      </c>
    </row>
    <row r="80" spans="2:53" ht="15.75" customHeight="1" outlineLevel="1" x14ac:dyDescent="0.35">
      <c r="B80" s="5"/>
      <c r="C80" s="5"/>
      <c r="D80" s="5"/>
      <c r="E80" s="5" t="s">
        <v>157</v>
      </c>
      <c r="F80" s="5"/>
      <c r="G80" s="5"/>
      <c r="H80" s="5"/>
      <c r="I80" s="5"/>
      <c r="J80" s="5"/>
      <c r="K80" s="5"/>
      <c r="N80" s="1">
        <f t="shared" si="42"/>
        <v>0</v>
      </c>
      <c r="Q80" s="1">
        <f t="shared" ref="Q80:BA80" si="53">Q171</f>
        <v>0</v>
      </c>
      <c r="R80" s="1">
        <f t="shared" si="53"/>
        <v>0</v>
      </c>
      <c r="S80" s="1">
        <f t="shared" si="53"/>
        <v>0</v>
      </c>
      <c r="T80" s="1">
        <f t="shared" si="53"/>
        <v>0</v>
      </c>
      <c r="U80" s="1">
        <f t="shared" si="53"/>
        <v>0</v>
      </c>
      <c r="V80" s="1">
        <f t="shared" si="53"/>
        <v>0</v>
      </c>
      <c r="W80" s="1">
        <f t="shared" si="53"/>
        <v>0</v>
      </c>
      <c r="X80" s="1">
        <f t="shared" si="53"/>
        <v>0</v>
      </c>
      <c r="Y80" s="1">
        <f t="shared" si="53"/>
        <v>0</v>
      </c>
      <c r="Z80" s="1">
        <f t="shared" si="53"/>
        <v>0</v>
      </c>
      <c r="AA80" s="1">
        <f t="shared" si="53"/>
        <v>0</v>
      </c>
      <c r="AB80" s="1">
        <f t="shared" si="53"/>
        <v>0</v>
      </c>
      <c r="AC80" s="1">
        <f t="shared" si="53"/>
        <v>0</v>
      </c>
      <c r="AD80" s="1">
        <f t="shared" si="53"/>
        <v>0</v>
      </c>
      <c r="AE80" s="1">
        <f t="shared" si="53"/>
        <v>0</v>
      </c>
      <c r="AF80" s="1">
        <f t="shared" si="53"/>
        <v>0</v>
      </c>
      <c r="AG80" s="1">
        <f t="shared" si="53"/>
        <v>0</v>
      </c>
      <c r="AH80" s="1">
        <f t="shared" si="53"/>
        <v>0</v>
      </c>
      <c r="AI80" s="1">
        <f t="shared" si="53"/>
        <v>0</v>
      </c>
      <c r="AJ80" s="1">
        <f t="shared" si="53"/>
        <v>0</v>
      </c>
      <c r="AK80" s="1">
        <f t="shared" si="53"/>
        <v>0</v>
      </c>
      <c r="AL80" s="1">
        <f t="shared" si="53"/>
        <v>0</v>
      </c>
      <c r="AM80" s="1">
        <f t="shared" si="53"/>
        <v>0</v>
      </c>
      <c r="AN80" s="1">
        <f t="shared" si="53"/>
        <v>0</v>
      </c>
      <c r="AO80" s="1">
        <f t="shared" si="53"/>
        <v>0</v>
      </c>
      <c r="AP80" s="1">
        <f t="shared" si="53"/>
        <v>0</v>
      </c>
      <c r="AQ80" s="1">
        <f t="shared" si="53"/>
        <v>0</v>
      </c>
      <c r="AR80" s="1">
        <f t="shared" si="53"/>
        <v>0</v>
      </c>
      <c r="AS80" s="1">
        <f t="shared" si="53"/>
        <v>0</v>
      </c>
      <c r="AT80" s="1">
        <f t="shared" si="53"/>
        <v>0</v>
      </c>
      <c r="AU80" s="1">
        <f t="shared" si="53"/>
        <v>0</v>
      </c>
      <c r="AV80" s="1">
        <f t="shared" si="53"/>
        <v>0</v>
      </c>
      <c r="AW80" s="1">
        <f t="shared" si="53"/>
        <v>0</v>
      </c>
      <c r="AX80" s="1">
        <f t="shared" si="53"/>
        <v>0</v>
      </c>
      <c r="AY80" s="1">
        <f t="shared" si="53"/>
        <v>0</v>
      </c>
      <c r="AZ80" s="1">
        <f t="shared" si="53"/>
        <v>0</v>
      </c>
      <c r="BA80" s="1">
        <f t="shared" si="53"/>
        <v>0</v>
      </c>
    </row>
    <row r="81" spans="1:54" ht="15.75" customHeight="1" outlineLevel="1" x14ac:dyDescent="0.35">
      <c r="B81" s="5"/>
      <c r="C81" s="5"/>
      <c r="D81" s="5"/>
      <c r="E81" s="5" t="s">
        <v>158</v>
      </c>
      <c r="F81" s="5"/>
      <c r="G81" s="5"/>
      <c r="H81" s="5"/>
      <c r="I81" s="5"/>
      <c r="J81" s="5"/>
      <c r="K81" s="5"/>
      <c r="N81" s="1">
        <f t="shared" si="42"/>
        <v>0</v>
      </c>
      <c r="Q81" s="1">
        <f t="shared" ref="Q81:BA81" si="54">Q168</f>
        <v>0</v>
      </c>
      <c r="R81" s="1">
        <f t="shared" si="54"/>
        <v>0</v>
      </c>
      <c r="S81" s="1">
        <f t="shared" si="54"/>
        <v>0</v>
      </c>
      <c r="T81" s="1">
        <f t="shared" si="54"/>
        <v>0</v>
      </c>
      <c r="U81" s="1">
        <f t="shared" si="54"/>
        <v>0</v>
      </c>
      <c r="V81" s="1">
        <f t="shared" si="54"/>
        <v>0</v>
      </c>
      <c r="W81" s="1">
        <f t="shared" si="54"/>
        <v>0</v>
      </c>
      <c r="X81" s="1">
        <f t="shared" si="54"/>
        <v>0</v>
      </c>
      <c r="Y81" s="1">
        <f t="shared" si="54"/>
        <v>0</v>
      </c>
      <c r="Z81" s="1">
        <f t="shared" si="54"/>
        <v>0</v>
      </c>
      <c r="AA81" s="1">
        <f t="shared" si="54"/>
        <v>0</v>
      </c>
      <c r="AB81" s="1">
        <f t="shared" si="54"/>
        <v>0</v>
      </c>
      <c r="AC81" s="1">
        <f t="shared" si="54"/>
        <v>0</v>
      </c>
      <c r="AD81" s="1">
        <f t="shared" si="54"/>
        <v>0</v>
      </c>
      <c r="AE81" s="1">
        <f t="shared" si="54"/>
        <v>0</v>
      </c>
      <c r="AF81" s="1">
        <f t="shared" si="54"/>
        <v>0</v>
      </c>
      <c r="AG81" s="1">
        <f t="shared" si="54"/>
        <v>0</v>
      </c>
      <c r="AH81" s="1">
        <f t="shared" si="54"/>
        <v>0</v>
      </c>
      <c r="AI81" s="1">
        <f t="shared" si="54"/>
        <v>0</v>
      </c>
      <c r="AJ81" s="1">
        <f t="shared" si="54"/>
        <v>0</v>
      </c>
      <c r="AK81" s="1">
        <f t="shared" si="54"/>
        <v>0</v>
      </c>
      <c r="AL81" s="1">
        <f t="shared" si="54"/>
        <v>0</v>
      </c>
      <c r="AM81" s="1">
        <f t="shared" si="54"/>
        <v>0</v>
      </c>
      <c r="AN81" s="1">
        <f t="shared" si="54"/>
        <v>0</v>
      </c>
      <c r="AO81" s="1">
        <f t="shared" si="54"/>
        <v>0</v>
      </c>
      <c r="AP81" s="1">
        <f t="shared" si="54"/>
        <v>0</v>
      </c>
      <c r="AQ81" s="1">
        <f t="shared" si="54"/>
        <v>0</v>
      </c>
      <c r="AR81" s="1">
        <f t="shared" si="54"/>
        <v>0</v>
      </c>
      <c r="AS81" s="1">
        <f t="shared" si="54"/>
        <v>0</v>
      </c>
      <c r="AT81" s="1">
        <f t="shared" si="54"/>
        <v>0</v>
      </c>
      <c r="AU81" s="1">
        <f t="shared" si="54"/>
        <v>0</v>
      </c>
      <c r="AV81" s="1">
        <f t="shared" si="54"/>
        <v>0</v>
      </c>
      <c r="AW81" s="1">
        <f t="shared" si="54"/>
        <v>0</v>
      </c>
      <c r="AX81" s="1">
        <f t="shared" si="54"/>
        <v>0</v>
      </c>
      <c r="AY81" s="1">
        <f t="shared" si="54"/>
        <v>0</v>
      </c>
      <c r="AZ81" s="1">
        <f t="shared" si="54"/>
        <v>0</v>
      </c>
      <c r="BA81" s="1">
        <f t="shared" si="54"/>
        <v>0</v>
      </c>
    </row>
    <row r="82" spans="1:54" ht="15.75" customHeight="1" outlineLevel="1" x14ac:dyDescent="0.35">
      <c r="B82" s="5"/>
      <c r="C82" s="5"/>
      <c r="D82" s="5" t="s">
        <v>155</v>
      </c>
      <c r="E82" s="5"/>
      <c r="F82" s="5"/>
      <c r="G82" s="5"/>
      <c r="H82" s="5"/>
      <c r="I82" s="5"/>
      <c r="J82" s="5"/>
      <c r="K82" s="5"/>
      <c r="N82" s="1">
        <f t="shared" si="42"/>
        <v>0</v>
      </c>
      <c r="Q82" s="1">
        <f t="shared" ref="Q82:BA82" si="55">Q156</f>
        <v>0</v>
      </c>
      <c r="R82" s="1">
        <f t="shared" si="55"/>
        <v>0</v>
      </c>
      <c r="S82" s="1">
        <f t="shared" si="55"/>
        <v>0</v>
      </c>
      <c r="T82" s="1">
        <f t="shared" si="55"/>
        <v>0</v>
      </c>
      <c r="U82" s="1">
        <f t="shared" si="55"/>
        <v>0</v>
      </c>
      <c r="V82" s="1">
        <f t="shared" si="55"/>
        <v>0</v>
      </c>
      <c r="W82" s="1">
        <f t="shared" si="55"/>
        <v>0</v>
      </c>
      <c r="X82" s="1">
        <f t="shared" si="55"/>
        <v>0</v>
      </c>
      <c r="Y82" s="1">
        <f t="shared" si="55"/>
        <v>0</v>
      </c>
      <c r="Z82" s="1">
        <f t="shared" si="55"/>
        <v>0</v>
      </c>
      <c r="AA82" s="1">
        <f t="shared" si="55"/>
        <v>0</v>
      </c>
      <c r="AB82" s="1">
        <f t="shared" si="55"/>
        <v>0</v>
      </c>
      <c r="AC82" s="1">
        <f t="shared" si="55"/>
        <v>0</v>
      </c>
      <c r="AD82" s="1">
        <f t="shared" si="55"/>
        <v>0</v>
      </c>
      <c r="AE82" s="1">
        <f t="shared" si="55"/>
        <v>0</v>
      </c>
      <c r="AF82" s="1">
        <f t="shared" si="55"/>
        <v>0</v>
      </c>
      <c r="AG82" s="1">
        <f t="shared" si="55"/>
        <v>0</v>
      </c>
      <c r="AH82" s="1">
        <f t="shared" si="55"/>
        <v>0</v>
      </c>
      <c r="AI82" s="1">
        <f t="shared" si="55"/>
        <v>0</v>
      </c>
      <c r="AJ82" s="1">
        <f t="shared" si="55"/>
        <v>0</v>
      </c>
      <c r="AK82" s="1">
        <f t="shared" si="55"/>
        <v>0</v>
      </c>
      <c r="AL82" s="1">
        <f t="shared" si="55"/>
        <v>0</v>
      </c>
      <c r="AM82" s="1">
        <f t="shared" si="55"/>
        <v>0</v>
      </c>
      <c r="AN82" s="1">
        <f t="shared" si="55"/>
        <v>0</v>
      </c>
      <c r="AO82" s="1">
        <f t="shared" si="55"/>
        <v>0</v>
      </c>
      <c r="AP82" s="1">
        <f t="shared" si="55"/>
        <v>0</v>
      </c>
      <c r="AQ82" s="1">
        <f t="shared" si="55"/>
        <v>0</v>
      </c>
      <c r="AR82" s="1">
        <f t="shared" si="55"/>
        <v>0</v>
      </c>
      <c r="AS82" s="1">
        <f t="shared" si="55"/>
        <v>0</v>
      </c>
      <c r="AT82" s="1">
        <f t="shared" si="55"/>
        <v>0</v>
      </c>
      <c r="AU82" s="1">
        <f t="shared" si="55"/>
        <v>0</v>
      </c>
      <c r="AV82" s="1">
        <f t="shared" si="55"/>
        <v>0</v>
      </c>
      <c r="AW82" s="1">
        <f t="shared" si="55"/>
        <v>0</v>
      </c>
      <c r="AX82" s="1">
        <f t="shared" si="55"/>
        <v>0</v>
      </c>
      <c r="AY82" s="1">
        <f t="shared" si="55"/>
        <v>0</v>
      </c>
      <c r="AZ82" s="1">
        <f t="shared" si="55"/>
        <v>0</v>
      </c>
      <c r="BA82" s="1">
        <f t="shared" si="55"/>
        <v>0</v>
      </c>
    </row>
    <row r="83" spans="1:54" ht="15.75" customHeight="1" x14ac:dyDescent="0.35">
      <c r="B83" s="5"/>
      <c r="C83" s="5" t="s">
        <v>17</v>
      </c>
      <c r="D83" s="5"/>
      <c r="E83" s="5"/>
      <c r="F83" s="5"/>
      <c r="G83" s="5"/>
      <c r="H83" s="5"/>
      <c r="I83" s="5"/>
      <c r="J83" s="5"/>
      <c r="K83" s="5"/>
      <c r="N83" s="1">
        <f t="shared" si="42"/>
        <v>0</v>
      </c>
      <c r="Q83" s="1">
        <f t="shared" ref="Q83:BA83" si="56">-Q88</f>
        <v>0</v>
      </c>
      <c r="R83" s="1">
        <f t="shared" si="56"/>
        <v>0</v>
      </c>
      <c r="S83" s="1">
        <f t="shared" si="56"/>
        <v>0</v>
      </c>
      <c r="T83" s="1">
        <f t="shared" si="56"/>
        <v>0</v>
      </c>
      <c r="U83" s="1">
        <f t="shared" si="56"/>
        <v>0</v>
      </c>
      <c r="V83" s="1">
        <f t="shared" si="56"/>
        <v>0</v>
      </c>
      <c r="W83" s="1">
        <f t="shared" si="56"/>
        <v>0</v>
      </c>
      <c r="X83" s="1">
        <f t="shared" si="56"/>
        <v>0</v>
      </c>
      <c r="Y83" s="1">
        <f>-Y88</f>
        <v>0</v>
      </c>
      <c r="Z83" s="1">
        <f t="shared" si="56"/>
        <v>0</v>
      </c>
      <c r="AA83" s="1">
        <f t="shared" si="56"/>
        <v>0</v>
      </c>
      <c r="AB83" s="1">
        <f t="shared" si="56"/>
        <v>0</v>
      </c>
      <c r="AC83" s="1">
        <f t="shared" si="56"/>
        <v>0</v>
      </c>
      <c r="AD83" s="1">
        <f t="shared" si="56"/>
        <v>0</v>
      </c>
      <c r="AE83" s="1">
        <f t="shared" si="56"/>
        <v>0</v>
      </c>
      <c r="AF83" s="1">
        <f t="shared" si="56"/>
        <v>0</v>
      </c>
      <c r="AG83" s="1">
        <f t="shared" si="56"/>
        <v>0</v>
      </c>
      <c r="AH83" s="1">
        <f t="shared" si="56"/>
        <v>0</v>
      </c>
      <c r="AI83" s="1">
        <f t="shared" si="56"/>
        <v>0</v>
      </c>
      <c r="AJ83" s="1">
        <f t="shared" si="56"/>
        <v>0</v>
      </c>
      <c r="AK83" s="1">
        <f t="shared" si="56"/>
        <v>0</v>
      </c>
      <c r="AL83" s="1">
        <f t="shared" si="56"/>
        <v>0</v>
      </c>
      <c r="AM83" s="1">
        <f t="shared" si="56"/>
        <v>0</v>
      </c>
      <c r="AN83" s="1">
        <f t="shared" si="56"/>
        <v>0</v>
      </c>
      <c r="AO83" s="1">
        <f t="shared" si="56"/>
        <v>0</v>
      </c>
      <c r="AP83" s="1">
        <f t="shared" si="56"/>
        <v>0</v>
      </c>
      <c r="AQ83" s="1">
        <f t="shared" si="56"/>
        <v>0</v>
      </c>
      <c r="AR83" s="1">
        <f t="shared" si="56"/>
        <v>0</v>
      </c>
      <c r="AS83" s="1">
        <f t="shared" si="56"/>
        <v>0</v>
      </c>
      <c r="AT83" s="1">
        <f t="shared" si="56"/>
        <v>0</v>
      </c>
      <c r="AU83" s="1">
        <f t="shared" si="56"/>
        <v>0</v>
      </c>
      <c r="AV83" s="1">
        <f t="shared" si="56"/>
        <v>0</v>
      </c>
      <c r="AW83" s="1">
        <f t="shared" si="56"/>
        <v>0</v>
      </c>
      <c r="AX83" s="1">
        <f t="shared" si="56"/>
        <v>0</v>
      </c>
      <c r="AY83" s="1">
        <f t="shared" si="56"/>
        <v>0</v>
      </c>
      <c r="AZ83" s="1">
        <f t="shared" si="56"/>
        <v>0</v>
      </c>
      <c r="BA83" s="1">
        <f t="shared" si="56"/>
        <v>0</v>
      </c>
    </row>
    <row r="84" spans="1:54" ht="15.75" customHeight="1" x14ac:dyDescent="0.35">
      <c r="B84" s="5" t="s">
        <v>27</v>
      </c>
      <c r="C84" s="5"/>
      <c r="D84" s="5"/>
      <c r="E84" s="5"/>
      <c r="F84" s="5"/>
      <c r="G84" s="5"/>
      <c r="H84" s="5"/>
      <c r="I84" s="5"/>
      <c r="J84" s="5"/>
      <c r="K84" s="5"/>
      <c r="N84" s="1">
        <f>SUM(N65,N66,N78,N72,N75,N83)</f>
        <v>0</v>
      </c>
      <c r="Q84" s="1">
        <f t="shared" ref="Q84:BA84" si="57">SUM(Q65,Q66,Q78,Q72,Q75,Q83)</f>
        <v>0</v>
      </c>
      <c r="R84" s="1">
        <f t="shared" si="57"/>
        <v>0</v>
      </c>
      <c r="S84" s="1">
        <f t="shared" si="57"/>
        <v>0</v>
      </c>
      <c r="T84" s="1">
        <f t="shared" si="57"/>
        <v>0</v>
      </c>
      <c r="U84" s="1">
        <f t="shared" si="57"/>
        <v>0</v>
      </c>
      <c r="V84" s="1">
        <f t="shared" si="57"/>
        <v>0</v>
      </c>
      <c r="W84" s="1">
        <f t="shared" si="57"/>
        <v>0</v>
      </c>
      <c r="X84" s="1">
        <f t="shared" si="57"/>
        <v>0</v>
      </c>
      <c r="Y84" s="1">
        <f t="shared" si="57"/>
        <v>0</v>
      </c>
      <c r="Z84" s="1">
        <f t="shared" si="57"/>
        <v>0</v>
      </c>
      <c r="AA84" s="1">
        <f t="shared" si="57"/>
        <v>0</v>
      </c>
      <c r="AB84" s="1">
        <f t="shared" si="57"/>
        <v>0</v>
      </c>
      <c r="AC84" s="1">
        <f t="shared" si="57"/>
        <v>0</v>
      </c>
      <c r="AD84" s="1">
        <f t="shared" si="57"/>
        <v>0</v>
      </c>
      <c r="AE84" s="1">
        <f t="shared" si="57"/>
        <v>0</v>
      </c>
      <c r="AF84" s="1">
        <f t="shared" si="57"/>
        <v>0</v>
      </c>
      <c r="AG84" s="1">
        <f t="shared" si="57"/>
        <v>0</v>
      </c>
      <c r="AH84" s="1">
        <f t="shared" si="57"/>
        <v>0</v>
      </c>
      <c r="AI84" s="1">
        <f t="shared" si="57"/>
        <v>0</v>
      </c>
      <c r="AJ84" s="1">
        <f t="shared" si="57"/>
        <v>0</v>
      </c>
      <c r="AK84" s="1">
        <f t="shared" si="57"/>
        <v>0</v>
      </c>
      <c r="AL84" s="1">
        <f t="shared" si="57"/>
        <v>0</v>
      </c>
      <c r="AM84" s="1">
        <f t="shared" si="57"/>
        <v>0</v>
      </c>
      <c r="AN84" s="1">
        <f t="shared" si="57"/>
        <v>0</v>
      </c>
      <c r="AO84" s="1">
        <f t="shared" si="57"/>
        <v>0</v>
      </c>
      <c r="AP84" s="1">
        <f t="shared" si="57"/>
        <v>0</v>
      </c>
      <c r="AQ84" s="1">
        <f t="shared" si="57"/>
        <v>0</v>
      </c>
      <c r="AR84" s="1">
        <f t="shared" si="57"/>
        <v>0</v>
      </c>
      <c r="AS84" s="1">
        <f t="shared" si="57"/>
        <v>0</v>
      </c>
      <c r="AT84" s="1">
        <f t="shared" si="57"/>
        <v>0</v>
      </c>
      <c r="AU84" s="1">
        <f t="shared" si="57"/>
        <v>0</v>
      </c>
      <c r="AV84" s="1">
        <f t="shared" si="57"/>
        <v>0</v>
      </c>
      <c r="AW84" s="1">
        <f t="shared" si="57"/>
        <v>0</v>
      </c>
      <c r="AX84" s="1">
        <f t="shared" si="57"/>
        <v>0</v>
      </c>
      <c r="AY84" s="1">
        <f t="shared" si="57"/>
        <v>0</v>
      </c>
      <c r="AZ84" s="1">
        <f t="shared" si="57"/>
        <v>0</v>
      </c>
      <c r="BA84" s="1">
        <f t="shared" si="57"/>
        <v>0</v>
      </c>
    </row>
    <row r="85" spans="1:54" x14ac:dyDescent="0.35"/>
    <row r="86" spans="1:54" ht="15.75" customHeight="1" thickBot="1" x14ac:dyDescent="0.4">
      <c r="A86" s="44" t="s">
        <v>152</v>
      </c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5"/>
    </row>
    <row r="87" spans="1:54" ht="15" thickTop="1" x14ac:dyDescent="0.35"/>
    <row r="88" spans="1:54" ht="15.75" customHeight="1" x14ac:dyDescent="0.35">
      <c r="B88" s="9" t="s">
        <v>153</v>
      </c>
      <c r="C88" s="9"/>
      <c r="D88" s="9"/>
      <c r="E88" s="9"/>
      <c r="F88" s="9"/>
      <c r="G88" s="9"/>
      <c r="H88" s="9"/>
      <c r="I88" s="9"/>
      <c r="J88" s="9"/>
      <c r="K88" s="9"/>
      <c r="L88" s="8"/>
      <c r="M88" s="8"/>
      <c r="N88" s="10">
        <f>SUM(Q88:BA88)</f>
        <v>0</v>
      </c>
      <c r="O88" s="8"/>
      <c r="P88" s="8"/>
      <c r="Q88" s="10">
        <f t="shared" ref="Q88:BA88" si="58">SUM(Q89,Q101,Q95,Q98)</f>
        <v>0</v>
      </c>
      <c r="R88" s="10">
        <f t="shared" si="58"/>
        <v>0</v>
      </c>
      <c r="S88" s="10">
        <f t="shared" si="58"/>
        <v>0</v>
      </c>
      <c r="T88" s="10">
        <f t="shared" si="58"/>
        <v>0</v>
      </c>
      <c r="U88" s="10">
        <f t="shared" si="58"/>
        <v>0</v>
      </c>
      <c r="V88" s="10">
        <f t="shared" si="58"/>
        <v>0</v>
      </c>
      <c r="W88" s="10">
        <f t="shared" si="58"/>
        <v>0</v>
      </c>
      <c r="X88" s="10">
        <f>SUM(X89,X101,X95,X98)</f>
        <v>0</v>
      </c>
      <c r="Y88" s="10">
        <f t="shared" si="58"/>
        <v>0</v>
      </c>
      <c r="Z88" s="10">
        <f t="shared" si="58"/>
        <v>0</v>
      </c>
      <c r="AA88" s="10">
        <f t="shared" si="58"/>
        <v>0</v>
      </c>
      <c r="AB88" s="10">
        <f t="shared" si="58"/>
        <v>0</v>
      </c>
      <c r="AC88" s="10">
        <f t="shared" si="58"/>
        <v>0</v>
      </c>
      <c r="AD88" s="10">
        <f t="shared" si="58"/>
        <v>0</v>
      </c>
      <c r="AE88" s="10">
        <f t="shared" si="58"/>
        <v>0</v>
      </c>
      <c r="AF88" s="10">
        <f t="shared" si="58"/>
        <v>0</v>
      </c>
      <c r="AG88" s="10">
        <f t="shared" si="58"/>
        <v>0</v>
      </c>
      <c r="AH88" s="10">
        <f t="shared" si="58"/>
        <v>0</v>
      </c>
      <c r="AI88" s="10">
        <f t="shared" si="58"/>
        <v>0</v>
      </c>
      <c r="AJ88" s="10">
        <f t="shared" si="58"/>
        <v>0</v>
      </c>
      <c r="AK88" s="10">
        <f t="shared" si="58"/>
        <v>0</v>
      </c>
      <c r="AL88" s="10">
        <f t="shared" si="58"/>
        <v>0</v>
      </c>
      <c r="AM88" s="10">
        <f t="shared" si="58"/>
        <v>0</v>
      </c>
      <c r="AN88" s="10">
        <f t="shared" si="58"/>
        <v>0</v>
      </c>
      <c r="AO88" s="10">
        <f t="shared" si="58"/>
        <v>0</v>
      </c>
      <c r="AP88" s="10">
        <f t="shared" si="58"/>
        <v>0</v>
      </c>
      <c r="AQ88" s="10">
        <f t="shared" si="58"/>
        <v>0</v>
      </c>
      <c r="AR88" s="10">
        <f t="shared" si="58"/>
        <v>0</v>
      </c>
      <c r="AS88" s="10">
        <f t="shared" si="58"/>
        <v>0</v>
      </c>
      <c r="AT88" s="10">
        <f t="shared" si="58"/>
        <v>0</v>
      </c>
      <c r="AU88" s="10">
        <f t="shared" si="58"/>
        <v>0</v>
      </c>
      <c r="AV88" s="10">
        <f t="shared" si="58"/>
        <v>0</v>
      </c>
      <c r="AW88" s="10">
        <f t="shared" si="58"/>
        <v>0</v>
      </c>
      <c r="AX88" s="10">
        <f t="shared" si="58"/>
        <v>0</v>
      </c>
      <c r="AY88" s="10">
        <f t="shared" si="58"/>
        <v>0</v>
      </c>
      <c r="AZ88" s="10">
        <f t="shared" si="58"/>
        <v>0</v>
      </c>
      <c r="BA88" s="10">
        <f t="shared" si="58"/>
        <v>0</v>
      </c>
    </row>
    <row r="89" spans="1:54" ht="15.75" customHeight="1" x14ac:dyDescent="0.35">
      <c r="B89" s="5"/>
      <c r="C89" s="5" t="s">
        <v>148</v>
      </c>
      <c r="D89" s="5"/>
      <c r="E89" s="5"/>
      <c r="F89" s="5"/>
      <c r="G89" s="5"/>
      <c r="H89" s="5"/>
      <c r="I89" s="5"/>
      <c r="J89" s="5"/>
      <c r="K89" s="5"/>
      <c r="N89" s="11">
        <f>SUM(Q89:BA89)</f>
        <v>0</v>
      </c>
      <c r="Q89" s="11">
        <f>IFERROR(SUM(SUM($Q$67:Q$71,-ABS(Założenia!$M$167),-ABS(Założenia!$M$168))/SUM(OEt.w2)*OEt.w2,ABS(SUM(Założenia!$M$167:$M$168))*OEp.w2),0)</f>
        <v>0</v>
      </c>
      <c r="R89" s="11">
        <f>IFERROR(SUM(SUM($Q$67:R$71,-ABS(Założenia!$M$167),-ABS(Założenia!$M$168))/SUM(OEt.w2)*OEt.w2,ABS(SUM(Założenia!$M$167:$M$168))*OEp.w2),0)</f>
        <v>0</v>
      </c>
      <c r="S89" s="11">
        <f>IFERROR(SUM(SUM($Q$67:S$71,-ABS(Założenia!$M$167),-ABS(Założenia!$M$168))/SUM(OEt.w2)*OEt.w2,ABS(SUM(Założenia!$M$167:$M$168))*OEp.w2),0)</f>
        <v>0</v>
      </c>
      <c r="T89" s="11">
        <f>IFERROR(SUM(SUM($Q$67:T$71,-ABS(Założenia!$M$167),-ABS(Założenia!$M$168))/SUM(OEt.w2)*OEt.w2,ABS(SUM(Założenia!$M$167:$M$168))*OEp.w2),0)</f>
        <v>0</v>
      </c>
      <c r="U89" s="11">
        <f>IFERROR(SUM(SUM($Q$67:U$71,-ABS(Założenia!$M$167),-ABS(Założenia!$M$168))/SUM(OEt.w2)*OEt.w2,ABS(SUM(Założenia!$M$167:$M$168))*OEp.w2),0)</f>
        <v>0</v>
      </c>
      <c r="V89" s="11">
        <f>IFERROR(SUM(SUM($Q$67:V$71,-ABS(Założenia!$M$167),-ABS(Założenia!$M$168))/SUM(OEt.w2)*OEt.w2,ABS(SUM(Założenia!$M$167:$M$168))*OEp.w2),0)</f>
        <v>0</v>
      </c>
      <c r="W89" s="11">
        <f>IFERROR(SUM(SUM($Q$67:W$71,-ABS(Założenia!$M$167),-ABS(Założenia!$M$168))/SUM(OEt.w2)*OEt.w2,ABS(SUM(Założenia!$M$167:$M$168))*OEp.w2),0)</f>
        <v>0</v>
      </c>
      <c r="X89" s="11">
        <f>IFERROR(SUM(SUM($Q$67:X$71,-ABS(Założenia!$M$167),-ABS(Założenia!$M$168))/SUM(OEt.w2)*OEt.w2,ABS(SUM(Założenia!$M$167:$M$168))*OEp.w2),0)</f>
        <v>0</v>
      </c>
      <c r="Y89" s="11">
        <f>IFERROR(SUM(SUM($Q$67:Y$71,-ABS(Założenia!$M$167),-ABS(Założenia!$M$168))/SUM(OEt.w2)*OEt.w2,ABS(SUM(Założenia!$M$167:$M$168))*OEp.w2),0)</f>
        <v>0</v>
      </c>
      <c r="Z89" s="11">
        <f>IFERROR(SUM(SUM($Q$67:Z$71,-ABS(Założenia!$M$167),-ABS(Założenia!$M$168))/SUM(OEt.w2)*OEt.w2,ABS(SUM(Założenia!$M$167:$M$168))*OEp.w2),0)</f>
        <v>0</v>
      </c>
      <c r="AA89" s="11">
        <f>IFERROR(SUM(SUM($Q$67:AA$71,-ABS(Założenia!$M$167),-ABS(Założenia!$M$168))/SUM(OEt.w2)*OEt.w2,ABS(SUM(Założenia!$M$167:$M$168))*OEp.w2),0)</f>
        <v>0</v>
      </c>
      <c r="AB89" s="11">
        <f>IFERROR(SUM(SUM($Q$67:AB$71,-ABS(Założenia!$M$167),-ABS(Założenia!$M$168))/SUM(OEt.w2)*OEt.w2,ABS(SUM(Założenia!$M$167:$M$168))*OEp.w2),0)</f>
        <v>0</v>
      </c>
      <c r="AC89" s="11">
        <f>IFERROR(SUM(SUM($Q$67:AC$71,-ABS(Założenia!$M$167),-ABS(Założenia!$M$168))/SUM(OEt.w2)*OEt.w2,ABS(SUM(Założenia!$M$167:$M$168))*OEp.w2),0)</f>
        <v>0</v>
      </c>
      <c r="AD89" s="11">
        <f>IFERROR(SUM(SUM($Q$67:AD$71,-ABS(Założenia!$M$167),-ABS(Założenia!$M$168))/SUM(OEt.w2)*OEt.w2,ABS(SUM(Założenia!$M$167:$M$168))*OEp.w2),0)</f>
        <v>0</v>
      </c>
      <c r="AE89" s="11">
        <f>IFERROR(SUM(SUM($Q$67:AE$71,-ABS(Założenia!$M$167),-ABS(Założenia!$M$168))/SUM(OEt.w2)*OEt.w2,ABS(SUM(Założenia!$M$167:$M$168))*OEp.w2),0)</f>
        <v>0</v>
      </c>
      <c r="AF89" s="11">
        <f>IFERROR(SUM(SUM($Q$67:AF$71,-ABS(Założenia!$M$167),-ABS(Założenia!$M$168))/SUM(OEt.w2)*OEt.w2,ABS(SUM(Założenia!$M$167:$M$168))*OEp.w2),0)</f>
        <v>0</v>
      </c>
      <c r="AG89" s="11">
        <f>IFERROR(SUM(SUM($Q$67:AG$71,-ABS(Założenia!$M$167),-ABS(Założenia!$M$168))/SUM(OEt.w2)*OEt.w2,ABS(SUM(Założenia!$M$167:$M$168))*OEp.w2),0)</f>
        <v>0</v>
      </c>
      <c r="AH89" s="11">
        <f>IFERROR(SUM(SUM($Q$67:AH$71,-ABS(Założenia!$M$167),-ABS(Założenia!$M$168))/SUM(OEt.w2)*OEt.w2,ABS(SUM(Założenia!$M$167:$M$168))*OEp.w2),0)</f>
        <v>0</v>
      </c>
      <c r="AI89" s="11">
        <f>IFERROR(SUM(SUM($Q$67:AI$71,-ABS(Założenia!$M$167),-ABS(Założenia!$M$168))/SUM(OEt.w2)*OEt.w2,ABS(SUM(Założenia!$M$167:$M$168))*OEp.w2),0)</f>
        <v>0</v>
      </c>
      <c r="AJ89" s="11">
        <f>IFERROR(SUM(SUM($Q$67:AJ$71,-ABS(Założenia!$M$167),-ABS(Założenia!$M$168))/SUM(OEt.w2)*OEt.w2,ABS(SUM(Założenia!$M$167:$M$168))*OEp.w2),0)</f>
        <v>0</v>
      </c>
      <c r="AK89" s="11">
        <f>IFERROR(SUM(SUM($Q$67:AK$71,-ABS(Założenia!$M$167),-ABS(Założenia!$M$168))/SUM(OEt.w2)*OEt.w2,ABS(SUM(Założenia!$M$167:$M$168))*OEp.w2),0)</f>
        <v>0</v>
      </c>
      <c r="AL89" s="11">
        <f>IFERROR(SUM(SUM($Q$67:AL$71,-ABS(Założenia!$M$167),-ABS(Założenia!$M$168))/SUM(OEt.w2)*OEt.w2,ABS(SUM(Założenia!$M$167:$M$168))*OEp.w2),0)</f>
        <v>0</v>
      </c>
      <c r="AM89" s="11">
        <f>IFERROR(SUM(SUM($Q$67:AM$71,-ABS(Założenia!$M$167),-ABS(Założenia!$M$168))/SUM(OEt.w2)*OEt.w2,ABS(SUM(Założenia!$M$167:$M$168))*OEp.w2),0)</f>
        <v>0</v>
      </c>
      <c r="AN89" s="11">
        <f>IFERROR(SUM(SUM($Q$67:AN$71,-ABS(Założenia!$M$167),-ABS(Założenia!$M$168))/SUM(OEt.w2)*OEt.w2,ABS(SUM(Założenia!$M$167:$M$168))*OEp.w2),0)</f>
        <v>0</v>
      </c>
      <c r="AO89" s="11">
        <f>IFERROR(SUM(SUM($Q$67:AO$71,-ABS(Założenia!$M$167),-ABS(Założenia!$M$168))/SUM(OEt.w2)*OEt.w2,ABS(SUM(Założenia!$M$167:$M$168))*OEp.w2),0)</f>
        <v>0</v>
      </c>
      <c r="AP89" s="11">
        <f>IFERROR(SUM(SUM($Q$67:AP$71,-ABS(Założenia!$M$167),-ABS(Założenia!$M$168))/SUM(OEt.w2)*OEt.w2,ABS(SUM(Założenia!$M$167:$M$168))*OEp.w2),0)</f>
        <v>0</v>
      </c>
      <c r="AQ89" s="11">
        <f>IFERROR(SUM(SUM($Q$67:AQ$71,-ABS(Założenia!$M$167),-ABS(Założenia!$M$168))/SUM(OEt.w2)*OEt.w2,ABS(SUM(Założenia!$M$167:$M$168))*OEp.w2),0)</f>
        <v>0</v>
      </c>
      <c r="AR89" s="11">
        <f>IFERROR(SUM(SUM($Q$67:AR$71,-ABS(Założenia!$M$167),-ABS(Założenia!$M$168))/SUM(OEt.w2)*OEt.w2,ABS(SUM(Założenia!$M$167:$M$168))*OEp.w2),0)</f>
        <v>0</v>
      </c>
      <c r="AS89" s="11">
        <f>IFERROR(SUM(SUM($Q$67:AS$71,-ABS(Założenia!$M$167),-ABS(Założenia!$M$168))/SUM(OEt.w2)*OEt.w2,ABS(SUM(Założenia!$M$167:$M$168))*OEp.w2),0)</f>
        <v>0</v>
      </c>
      <c r="AT89" s="11">
        <f>IFERROR(SUM(SUM($Q$67:AT$71,-ABS(Założenia!$M$167),-ABS(Założenia!$M$168))/SUM(OEt.w2)*OEt.w2,ABS(SUM(Założenia!$M$167:$M$168))*OEp.w2),0)</f>
        <v>0</v>
      </c>
      <c r="AU89" s="11">
        <f>IFERROR(SUM(SUM($Q$67:AU$71,-ABS(Założenia!$M$167),-ABS(Założenia!$M$168))/SUM(OEt.w2)*OEt.w2,ABS(SUM(Założenia!$M$167:$M$168))*OEp.w2),0)</f>
        <v>0</v>
      </c>
      <c r="AV89" s="11">
        <f>IFERROR(SUM(SUM($Q$67:AV$71,-ABS(Założenia!$M$167),-ABS(Założenia!$M$168))/SUM(OEt.w2)*OEt.w2,ABS(SUM(Założenia!$M$167:$M$168))*OEp.w2),0)</f>
        <v>0</v>
      </c>
      <c r="AW89" s="11">
        <f>IFERROR(SUM(SUM($Q$67:AW$71,-ABS(Założenia!$M$167),-ABS(Założenia!$M$168))/SUM(OEt.w2)*OEt.w2,ABS(SUM(Założenia!$M$167:$M$168))*OEp.w2),0)</f>
        <v>0</v>
      </c>
      <c r="AX89" s="11">
        <f>IFERROR(SUM(SUM($Q$67:AX$71,-ABS(Założenia!$M$167),-ABS(Założenia!$M$168))/SUM(OEt.w2)*OEt.w2,ABS(SUM(Założenia!$M$167:$M$168))*OEp.w2),0)</f>
        <v>0</v>
      </c>
      <c r="AY89" s="11">
        <f>IFERROR(SUM(SUM($Q$67:AY$71,-ABS(Założenia!$M$167),-ABS(Założenia!$M$168))/SUM(OEt.w2)*OEt.w2,ABS(SUM(Założenia!$M$167:$M$168))*OEp.w2),0)</f>
        <v>0</v>
      </c>
      <c r="AZ89" s="11">
        <f>IFERROR(SUM(SUM($Q$67:AZ$71,-ABS(Założenia!$M$167),-ABS(Założenia!$M$168))/SUM(OEt.w2)*OEt.w2,ABS(SUM(Założenia!$M$167:$M$168))*OEp.w2),0)</f>
        <v>0</v>
      </c>
      <c r="BA89" s="11">
        <f>IFERROR(SUM(SUM($Q$67:BA$71,-ABS(Założenia!$M$167),-ABS(Założenia!$M$168))/SUM(OEt.w2)*OEt.w2,ABS(SUM(Założenia!$M$167:$M$168))*OEp.w2),0)</f>
        <v>0</v>
      </c>
    </row>
    <row r="90" spans="1:54" ht="15.75" customHeight="1" x14ac:dyDescent="0.35">
      <c r="B90" s="5"/>
      <c r="C90" s="5"/>
      <c r="D90" s="5" t="s">
        <v>99</v>
      </c>
      <c r="E90" s="5"/>
      <c r="F90" s="5"/>
      <c r="G90" s="5"/>
      <c r="H90" s="5"/>
      <c r="I90" s="5"/>
      <c r="J90" s="5"/>
      <c r="K90" s="5"/>
      <c r="N90" s="14">
        <f>N67</f>
        <v>0</v>
      </c>
      <c r="Q90" s="11">
        <f>IFERROR($N90/$N$89*Q$89,0)</f>
        <v>0</v>
      </c>
      <c r="R90" s="11">
        <f t="shared" ref="R90:BA94" si="59">IFERROR($N90/$N$89*R$89,0)</f>
        <v>0</v>
      </c>
      <c r="S90" s="11">
        <f t="shared" si="59"/>
        <v>0</v>
      </c>
      <c r="T90" s="11">
        <f t="shared" si="59"/>
        <v>0</v>
      </c>
      <c r="U90" s="11">
        <f t="shared" si="59"/>
        <v>0</v>
      </c>
      <c r="V90" s="11">
        <f t="shared" si="59"/>
        <v>0</v>
      </c>
      <c r="W90" s="11">
        <f t="shared" si="59"/>
        <v>0</v>
      </c>
      <c r="X90" s="11">
        <f t="shared" si="59"/>
        <v>0</v>
      </c>
      <c r="Y90" s="11">
        <f t="shared" si="59"/>
        <v>0</v>
      </c>
      <c r="Z90" s="11">
        <f t="shared" si="59"/>
        <v>0</v>
      </c>
      <c r="AA90" s="11">
        <f t="shared" si="59"/>
        <v>0</v>
      </c>
      <c r="AB90" s="11">
        <f t="shared" si="59"/>
        <v>0</v>
      </c>
      <c r="AC90" s="11">
        <f t="shared" si="59"/>
        <v>0</v>
      </c>
      <c r="AD90" s="11">
        <f t="shared" si="59"/>
        <v>0</v>
      </c>
      <c r="AE90" s="11">
        <f t="shared" si="59"/>
        <v>0</v>
      </c>
      <c r="AF90" s="11">
        <f t="shared" si="59"/>
        <v>0</v>
      </c>
      <c r="AG90" s="11">
        <f t="shared" si="59"/>
        <v>0</v>
      </c>
      <c r="AH90" s="11">
        <f t="shared" si="59"/>
        <v>0</v>
      </c>
      <c r="AI90" s="11">
        <f t="shared" si="59"/>
        <v>0</v>
      </c>
      <c r="AJ90" s="11">
        <f t="shared" si="59"/>
        <v>0</v>
      </c>
      <c r="AK90" s="11">
        <f t="shared" si="59"/>
        <v>0</v>
      </c>
      <c r="AL90" s="11">
        <f t="shared" si="59"/>
        <v>0</v>
      </c>
      <c r="AM90" s="11">
        <f t="shared" si="59"/>
        <v>0</v>
      </c>
      <c r="AN90" s="11">
        <f t="shared" si="59"/>
        <v>0</v>
      </c>
      <c r="AO90" s="11">
        <f t="shared" si="59"/>
        <v>0</v>
      </c>
      <c r="AP90" s="11">
        <f t="shared" si="59"/>
        <v>0</v>
      </c>
      <c r="AQ90" s="11">
        <f t="shared" si="59"/>
        <v>0</v>
      </c>
      <c r="AR90" s="11">
        <f t="shared" si="59"/>
        <v>0</v>
      </c>
      <c r="AS90" s="11">
        <f t="shared" si="59"/>
        <v>0</v>
      </c>
      <c r="AT90" s="11">
        <f t="shared" si="59"/>
        <v>0</v>
      </c>
      <c r="AU90" s="11">
        <f t="shared" si="59"/>
        <v>0</v>
      </c>
      <c r="AV90" s="11">
        <f t="shared" si="59"/>
        <v>0</v>
      </c>
      <c r="AW90" s="11">
        <f t="shared" si="59"/>
        <v>0</v>
      </c>
      <c r="AX90" s="11">
        <f t="shared" si="59"/>
        <v>0</v>
      </c>
      <c r="AY90" s="11">
        <f t="shared" si="59"/>
        <v>0</v>
      </c>
      <c r="AZ90" s="11">
        <f t="shared" si="59"/>
        <v>0</v>
      </c>
      <c r="BA90" s="11">
        <f t="shared" si="59"/>
        <v>0</v>
      </c>
    </row>
    <row r="91" spans="1:54" ht="15.75" customHeight="1" x14ac:dyDescent="0.35">
      <c r="B91" s="5"/>
      <c r="C91" s="5"/>
      <c r="D91" s="5" t="s">
        <v>100</v>
      </c>
      <c r="E91" s="5"/>
      <c r="F91" s="5"/>
      <c r="G91" s="5"/>
      <c r="H91" s="5"/>
      <c r="I91" s="5"/>
      <c r="J91" s="5"/>
      <c r="K91" s="5"/>
      <c r="N91" s="14">
        <f>N68</f>
        <v>0</v>
      </c>
      <c r="Q91" s="11">
        <f>IFERROR($N91/$N$89*Q$89,0)</f>
        <v>0</v>
      </c>
      <c r="R91" s="11">
        <f t="shared" si="59"/>
        <v>0</v>
      </c>
      <c r="S91" s="11">
        <f t="shared" si="59"/>
        <v>0</v>
      </c>
      <c r="T91" s="11">
        <f t="shared" si="59"/>
        <v>0</v>
      </c>
      <c r="U91" s="11">
        <f t="shared" si="59"/>
        <v>0</v>
      </c>
      <c r="V91" s="11">
        <f t="shared" si="59"/>
        <v>0</v>
      </c>
      <c r="W91" s="11">
        <f t="shared" si="59"/>
        <v>0</v>
      </c>
      <c r="X91" s="11">
        <f t="shared" si="59"/>
        <v>0</v>
      </c>
      <c r="Y91" s="11">
        <f t="shared" si="59"/>
        <v>0</v>
      </c>
      <c r="Z91" s="11">
        <f t="shared" si="59"/>
        <v>0</v>
      </c>
      <c r="AA91" s="11">
        <f t="shared" si="59"/>
        <v>0</v>
      </c>
      <c r="AB91" s="11">
        <f t="shared" si="59"/>
        <v>0</v>
      </c>
      <c r="AC91" s="11">
        <f t="shared" si="59"/>
        <v>0</v>
      </c>
      <c r="AD91" s="11">
        <f t="shared" si="59"/>
        <v>0</v>
      </c>
      <c r="AE91" s="11">
        <f t="shared" si="59"/>
        <v>0</v>
      </c>
      <c r="AF91" s="11">
        <f t="shared" si="59"/>
        <v>0</v>
      </c>
      <c r="AG91" s="11">
        <f t="shared" si="59"/>
        <v>0</v>
      </c>
      <c r="AH91" s="11">
        <f t="shared" si="59"/>
        <v>0</v>
      </c>
      <c r="AI91" s="11">
        <f t="shared" si="59"/>
        <v>0</v>
      </c>
      <c r="AJ91" s="11">
        <f t="shared" si="59"/>
        <v>0</v>
      </c>
      <c r="AK91" s="11">
        <f t="shared" si="59"/>
        <v>0</v>
      </c>
      <c r="AL91" s="11">
        <f t="shared" si="59"/>
        <v>0</v>
      </c>
      <c r="AM91" s="11">
        <f t="shared" si="59"/>
        <v>0</v>
      </c>
      <c r="AN91" s="11">
        <f t="shared" si="59"/>
        <v>0</v>
      </c>
      <c r="AO91" s="11">
        <f t="shared" si="59"/>
        <v>0</v>
      </c>
      <c r="AP91" s="11">
        <f t="shared" si="59"/>
        <v>0</v>
      </c>
      <c r="AQ91" s="11">
        <f t="shared" si="59"/>
        <v>0</v>
      </c>
      <c r="AR91" s="11">
        <f t="shared" si="59"/>
        <v>0</v>
      </c>
      <c r="AS91" s="11">
        <f t="shared" si="59"/>
        <v>0</v>
      </c>
      <c r="AT91" s="11">
        <f t="shared" si="59"/>
        <v>0</v>
      </c>
      <c r="AU91" s="11">
        <f t="shared" si="59"/>
        <v>0</v>
      </c>
      <c r="AV91" s="11">
        <f t="shared" si="59"/>
        <v>0</v>
      </c>
      <c r="AW91" s="11">
        <f t="shared" si="59"/>
        <v>0</v>
      </c>
      <c r="AX91" s="11">
        <f t="shared" si="59"/>
        <v>0</v>
      </c>
      <c r="AY91" s="11">
        <f t="shared" si="59"/>
        <v>0</v>
      </c>
      <c r="AZ91" s="11">
        <f t="shared" si="59"/>
        <v>0</v>
      </c>
      <c r="BA91" s="11">
        <f t="shared" si="59"/>
        <v>0</v>
      </c>
    </row>
    <row r="92" spans="1:54" ht="15.75" customHeight="1" x14ac:dyDescent="0.35">
      <c r="B92" s="5"/>
      <c r="C92" s="5"/>
      <c r="D92" s="5" t="s">
        <v>66</v>
      </c>
      <c r="E92" s="5"/>
      <c r="F92" s="5"/>
      <c r="G92" s="5"/>
      <c r="H92" s="5"/>
      <c r="I92" s="5"/>
      <c r="J92" s="5"/>
      <c r="K92" s="5"/>
      <c r="N92" s="14">
        <f>N69</f>
        <v>0</v>
      </c>
      <c r="Q92" s="11">
        <f>IFERROR($N92/$N$89*Q$89,0)</f>
        <v>0</v>
      </c>
      <c r="R92" s="11">
        <f t="shared" si="59"/>
        <v>0</v>
      </c>
      <c r="S92" s="11">
        <f t="shared" si="59"/>
        <v>0</v>
      </c>
      <c r="T92" s="11">
        <f t="shared" si="59"/>
        <v>0</v>
      </c>
      <c r="U92" s="11">
        <f t="shared" si="59"/>
        <v>0</v>
      </c>
      <c r="V92" s="11">
        <f t="shared" si="59"/>
        <v>0</v>
      </c>
      <c r="W92" s="11">
        <f t="shared" si="59"/>
        <v>0</v>
      </c>
      <c r="X92" s="11">
        <f t="shared" si="59"/>
        <v>0</v>
      </c>
      <c r="Y92" s="11">
        <f t="shared" si="59"/>
        <v>0</v>
      </c>
      <c r="Z92" s="11">
        <f t="shared" si="59"/>
        <v>0</v>
      </c>
      <c r="AA92" s="11">
        <f t="shared" si="59"/>
        <v>0</v>
      </c>
      <c r="AB92" s="11">
        <f t="shared" si="59"/>
        <v>0</v>
      </c>
      <c r="AC92" s="11">
        <f t="shared" si="59"/>
        <v>0</v>
      </c>
      <c r="AD92" s="11">
        <f t="shared" si="59"/>
        <v>0</v>
      </c>
      <c r="AE92" s="11">
        <f t="shared" si="59"/>
        <v>0</v>
      </c>
      <c r="AF92" s="11">
        <f t="shared" si="59"/>
        <v>0</v>
      </c>
      <c r="AG92" s="11">
        <f t="shared" si="59"/>
        <v>0</v>
      </c>
      <c r="AH92" s="11">
        <f t="shared" si="59"/>
        <v>0</v>
      </c>
      <c r="AI92" s="11">
        <f t="shared" si="59"/>
        <v>0</v>
      </c>
      <c r="AJ92" s="11">
        <f t="shared" si="59"/>
        <v>0</v>
      </c>
      <c r="AK92" s="11">
        <f t="shared" si="59"/>
        <v>0</v>
      </c>
      <c r="AL92" s="11">
        <f t="shared" si="59"/>
        <v>0</v>
      </c>
      <c r="AM92" s="11">
        <f t="shared" si="59"/>
        <v>0</v>
      </c>
      <c r="AN92" s="11">
        <f t="shared" si="59"/>
        <v>0</v>
      </c>
      <c r="AO92" s="11">
        <f t="shared" si="59"/>
        <v>0</v>
      </c>
      <c r="AP92" s="11">
        <f t="shared" si="59"/>
        <v>0</v>
      </c>
      <c r="AQ92" s="11">
        <f t="shared" si="59"/>
        <v>0</v>
      </c>
      <c r="AR92" s="11">
        <f t="shared" si="59"/>
        <v>0</v>
      </c>
      <c r="AS92" s="11">
        <f t="shared" si="59"/>
        <v>0</v>
      </c>
      <c r="AT92" s="11">
        <f t="shared" si="59"/>
        <v>0</v>
      </c>
      <c r="AU92" s="11">
        <f t="shared" si="59"/>
        <v>0</v>
      </c>
      <c r="AV92" s="11">
        <f t="shared" si="59"/>
        <v>0</v>
      </c>
      <c r="AW92" s="11">
        <f t="shared" si="59"/>
        <v>0</v>
      </c>
      <c r="AX92" s="11">
        <f t="shared" si="59"/>
        <v>0</v>
      </c>
      <c r="AY92" s="11">
        <f t="shared" si="59"/>
        <v>0</v>
      </c>
      <c r="AZ92" s="11">
        <f t="shared" si="59"/>
        <v>0</v>
      </c>
      <c r="BA92" s="11">
        <f t="shared" si="59"/>
        <v>0</v>
      </c>
    </row>
    <row r="93" spans="1:54" ht="15.75" customHeight="1" x14ac:dyDescent="0.35">
      <c r="B93" s="5"/>
      <c r="C93" s="5"/>
      <c r="D93" s="5" t="s">
        <v>72</v>
      </c>
      <c r="E93" s="5"/>
      <c r="F93" s="5"/>
      <c r="G93" s="5"/>
      <c r="H93" s="5"/>
      <c r="I93" s="5"/>
      <c r="J93" s="5"/>
      <c r="K93" s="5"/>
      <c r="N93" s="14">
        <f>N70</f>
        <v>0</v>
      </c>
      <c r="Q93" s="11">
        <f>IFERROR($N93/$N$89*Q$89,0)</f>
        <v>0</v>
      </c>
      <c r="R93" s="11">
        <f t="shared" si="59"/>
        <v>0</v>
      </c>
      <c r="S93" s="11">
        <f t="shared" si="59"/>
        <v>0</v>
      </c>
      <c r="T93" s="11">
        <f t="shared" si="59"/>
        <v>0</v>
      </c>
      <c r="U93" s="11">
        <f t="shared" si="59"/>
        <v>0</v>
      </c>
      <c r="V93" s="11">
        <f t="shared" si="59"/>
        <v>0</v>
      </c>
      <c r="W93" s="11">
        <f t="shared" si="59"/>
        <v>0</v>
      </c>
      <c r="X93" s="11">
        <f t="shared" si="59"/>
        <v>0</v>
      </c>
      <c r="Y93" s="11">
        <f t="shared" si="59"/>
        <v>0</v>
      </c>
      <c r="Z93" s="11">
        <f t="shared" si="59"/>
        <v>0</v>
      </c>
      <c r="AA93" s="11">
        <f t="shared" si="59"/>
        <v>0</v>
      </c>
      <c r="AB93" s="11">
        <f t="shared" si="59"/>
        <v>0</v>
      </c>
      <c r="AC93" s="11">
        <f t="shared" si="59"/>
        <v>0</v>
      </c>
      <c r="AD93" s="11">
        <f t="shared" si="59"/>
        <v>0</v>
      </c>
      <c r="AE93" s="11">
        <f t="shared" si="59"/>
        <v>0</v>
      </c>
      <c r="AF93" s="11">
        <f t="shared" si="59"/>
        <v>0</v>
      </c>
      <c r="AG93" s="11">
        <f t="shared" si="59"/>
        <v>0</v>
      </c>
      <c r="AH93" s="11">
        <f t="shared" si="59"/>
        <v>0</v>
      </c>
      <c r="AI93" s="11">
        <f t="shared" si="59"/>
        <v>0</v>
      </c>
      <c r="AJ93" s="11">
        <f t="shared" si="59"/>
        <v>0</v>
      </c>
      <c r="AK93" s="11">
        <f t="shared" si="59"/>
        <v>0</v>
      </c>
      <c r="AL93" s="11">
        <f t="shared" si="59"/>
        <v>0</v>
      </c>
      <c r="AM93" s="11">
        <f t="shared" si="59"/>
        <v>0</v>
      </c>
      <c r="AN93" s="11">
        <f t="shared" si="59"/>
        <v>0</v>
      </c>
      <c r="AO93" s="11">
        <f t="shared" si="59"/>
        <v>0</v>
      </c>
      <c r="AP93" s="11">
        <f t="shared" si="59"/>
        <v>0</v>
      </c>
      <c r="AQ93" s="11">
        <f t="shared" si="59"/>
        <v>0</v>
      </c>
      <c r="AR93" s="11">
        <f t="shared" si="59"/>
        <v>0</v>
      </c>
      <c r="AS93" s="11">
        <f t="shared" si="59"/>
        <v>0</v>
      </c>
      <c r="AT93" s="11">
        <f t="shared" si="59"/>
        <v>0</v>
      </c>
      <c r="AU93" s="11">
        <f t="shared" si="59"/>
        <v>0</v>
      </c>
      <c r="AV93" s="11">
        <f t="shared" si="59"/>
        <v>0</v>
      </c>
      <c r="AW93" s="11">
        <f t="shared" si="59"/>
        <v>0</v>
      </c>
      <c r="AX93" s="11">
        <f t="shared" si="59"/>
        <v>0</v>
      </c>
      <c r="AY93" s="11">
        <f t="shared" si="59"/>
        <v>0</v>
      </c>
      <c r="AZ93" s="11">
        <f t="shared" si="59"/>
        <v>0</v>
      </c>
      <c r="BA93" s="11">
        <f t="shared" si="59"/>
        <v>0</v>
      </c>
    </row>
    <row r="94" spans="1:54" ht="15.75" customHeight="1" x14ac:dyDescent="0.35">
      <c r="B94" s="5"/>
      <c r="C94" s="5"/>
      <c r="D94" s="5" t="s">
        <v>50</v>
      </c>
      <c r="E94" s="5"/>
      <c r="F94" s="5"/>
      <c r="G94" s="5"/>
      <c r="H94" s="5"/>
      <c r="I94" s="5"/>
      <c r="J94" s="5"/>
      <c r="K94" s="5"/>
      <c r="N94" s="14">
        <f>N71</f>
        <v>0</v>
      </c>
      <c r="Q94" s="11">
        <f>IFERROR($N94/$N$89*Q$89,0)</f>
        <v>0</v>
      </c>
      <c r="R94" s="11">
        <f t="shared" si="59"/>
        <v>0</v>
      </c>
      <c r="S94" s="11">
        <f t="shared" si="59"/>
        <v>0</v>
      </c>
      <c r="T94" s="11">
        <f t="shared" si="59"/>
        <v>0</v>
      </c>
      <c r="U94" s="11">
        <f t="shared" si="59"/>
        <v>0</v>
      </c>
      <c r="V94" s="11">
        <f t="shared" si="59"/>
        <v>0</v>
      </c>
      <c r="W94" s="11">
        <f t="shared" si="59"/>
        <v>0</v>
      </c>
      <c r="X94" s="11">
        <f t="shared" si="59"/>
        <v>0</v>
      </c>
      <c r="Y94" s="11">
        <f t="shared" si="59"/>
        <v>0</v>
      </c>
      <c r="Z94" s="11">
        <f t="shared" si="59"/>
        <v>0</v>
      </c>
      <c r="AA94" s="11">
        <f t="shared" si="59"/>
        <v>0</v>
      </c>
      <c r="AB94" s="11">
        <f t="shared" si="59"/>
        <v>0</v>
      </c>
      <c r="AC94" s="11">
        <f t="shared" si="59"/>
        <v>0</v>
      </c>
      <c r="AD94" s="11">
        <f t="shared" si="59"/>
        <v>0</v>
      </c>
      <c r="AE94" s="11">
        <f t="shared" si="59"/>
        <v>0</v>
      </c>
      <c r="AF94" s="11">
        <f t="shared" si="59"/>
        <v>0</v>
      </c>
      <c r="AG94" s="11">
        <f t="shared" si="59"/>
        <v>0</v>
      </c>
      <c r="AH94" s="11">
        <f t="shared" si="59"/>
        <v>0</v>
      </c>
      <c r="AI94" s="11">
        <f t="shared" si="59"/>
        <v>0</v>
      </c>
      <c r="AJ94" s="11">
        <f t="shared" si="59"/>
        <v>0</v>
      </c>
      <c r="AK94" s="11">
        <f t="shared" si="59"/>
        <v>0</v>
      </c>
      <c r="AL94" s="11">
        <f t="shared" si="59"/>
        <v>0</v>
      </c>
      <c r="AM94" s="11">
        <f t="shared" si="59"/>
        <v>0</v>
      </c>
      <c r="AN94" s="11">
        <f t="shared" si="59"/>
        <v>0</v>
      </c>
      <c r="AO94" s="11">
        <f t="shared" si="59"/>
        <v>0</v>
      </c>
      <c r="AP94" s="11">
        <f t="shared" si="59"/>
        <v>0</v>
      </c>
      <c r="AQ94" s="11">
        <f t="shared" si="59"/>
        <v>0</v>
      </c>
      <c r="AR94" s="11">
        <f t="shared" si="59"/>
        <v>0</v>
      </c>
      <c r="AS94" s="11">
        <f t="shared" si="59"/>
        <v>0</v>
      </c>
      <c r="AT94" s="11">
        <f t="shared" si="59"/>
        <v>0</v>
      </c>
      <c r="AU94" s="11">
        <f t="shared" si="59"/>
        <v>0</v>
      </c>
      <c r="AV94" s="11">
        <f t="shared" si="59"/>
        <v>0</v>
      </c>
      <c r="AW94" s="11">
        <f t="shared" si="59"/>
        <v>0</v>
      </c>
      <c r="AX94" s="11">
        <f t="shared" si="59"/>
        <v>0</v>
      </c>
      <c r="AY94" s="11">
        <f t="shared" si="59"/>
        <v>0</v>
      </c>
      <c r="AZ94" s="11">
        <f t="shared" si="59"/>
        <v>0</v>
      </c>
      <c r="BA94" s="11">
        <f t="shared" si="59"/>
        <v>0</v>
      </c>
    </row>
    <row r="95" spans="1:54" ht="15.75" customHeight="1" x14ac:dyDescent="0.35">
      <c r="B95" s="5"/>
      <c r="C95" s="5" t="s">
        <v>150</v>
      </c>
      <c r="D95" s="5"/>
      <c r="E95" s="5"/>
      <c r="F95" s="5"/>
      <c r="G95" s="5"/>
      <c r="H95" s="5"/>
      <c r="I95" s="5"/>
      <c r="J95" s="5"/>
      <c r="K95" s="5"/>
      <c r="N95" s="1">
        <f t="shared" ref="N95:N107" si="60">SUM(Q95:BA95)</f>
        <v>0</v>
      </c>
      <c r="Q95" s="1">
        <f t="shared" ref="Q95:BA95" si="61">SUM(Q96:Q97)</f>
        <v>0</v>
      </c>
      <c r="R95" s="1">
        <f t="shared" si="61"/>
        <v>0</v>
      </c>
      <c r="S95" s="1">
        <f t="shared" si="61"/>
        <v>0</v>
      </c>
      <c r="T95" s="1">
        <f t="shared" si="61"/>
        <v>0</v>
      </c>
      <c r="U95" s="1">
        <f t="shared" si="61"/>
        <v>0</v>
      </c>
      <c r="V95" s="1">
        <f t="shared" si="61"/>
        <v>0</v>
      </c>
      <c r="W95" s="1">
        <f t="shared" si="61"/>
        <v>0</v>
      </c>
      <c r="X95" s="1">
        <f t="shared" si="61"/>
        <v>0</v>
      </c>
      <c r="Y95" s="1">
        <f t="shared" si="61"/>
        <v>0</v>
      </c>
      <c r="Z95" s="1">
        <f t="shared" si="61"/>
        <v>0</v>
      </c>
      <c r="AA95" s="1">
        <f t="shared" si="61"/>
        <v>0</v>
      </c>
      <c r="AB95" s="1">
        <f t="shared" si="61"/>
        <v>0</v>
      </c>
      <c r="AC95" s="1">
        <f t="shared" si="61"/>
        <v>0</v>
      </c>
      <c r="AD95" s="1">
        <f t="shared" si="61"/>
        <v>0</v>
      </c>
      <c r="AE95" s="1">
        <f t="shared" si="61"/>
        <v>0</v>
      </c>
      <c r="AF95" s="1">
        <f t="shared" si="61"/>
        <v>0</v>
      </c>
      <c r="AG95" s="1">
        <f t="shared" si="61"/>
        <v>0</v>
      </c>
      <c r="AH95" s="1">
        <f t="shared" si="61"/>
        <v>0</v>
      </c>
      <c r="AI95" s="1">
        <f t="shared" si="61"/>
        <v>0</v>
      </c>
      <c r="AJ95" s="1">
        <f t="shared" si="61"/>
        <v>0</v>
      </c>
      <c r="AK95" s="1">
        <f t="shared" si="61"/>
        <v>0</v>
      </c>
      <c r="AL95" s="1">
        <f t="shared" si="61"/>
        <v>0</v>
      </c>
      <c r="AM95" s="1">
        <f t="shared" si="61"/>
        <v>0</v>
      </c>
      <c r="AN95" s="1">
        <f t="shared" si="61"/>
        <v>0</v>
      </c>
      <c r="AO95" s="1">
        <f t="shared" si="61"/>
        <v>0</v>
      </c>
      <c r="AP95" s="1">
        <f t="shared" si="61"/>
        <v>0</v>
      </c>
      <c r="AQ95" s="1">
        <f t="shared" si="61"/>
        <v>0</v>
      </c>
      <c r="AR95" s="1">
        <f t="shared" si="61"/>
        <v>0</v>
      </c>
      <c r="AS95" s="1">
        <f t="shared" si="61"/>
        <v>0</v>
      </c>
      <c r="AT95" s="1">
        <f t="shared" si="61"/>
        <v>0</v>
      </c>
      <c r="AU95" s="1">
        <f t="shared" si="61"/>
        <v>0</v>
      </c>
      <c r="AV95" s="1">
        <f t="shared" si="61"/>
        <v>0</v>
      </c>
      <c r="AW95" s="1">
        <f t="shared" si="61"/>
        <v>0</v>
      </c>
      <c r="AX95" s="1">
        <f t="shared" si="61"/>
        <v>0</v>
      </c>
      <c r="AY95" s="1">
        <f t="shared" si="61"/>
        <v>0</v>
      </c>
      <c r="AZ95" s="1">
        <f t="shared" si="61"/>
        <v>0</v>
      </c>
      <c r="BA95" s="1">
        <f t="shared" si="61"/>
        <v>0</v>
      </c>
    </row>
    <row r="96" spans="1:54" ht="15.75" customHeight="1" x14ac:dyDescent="0.35">
      <c r="B96" s="5"/>
      <c r="C96" s="5"/>
      <c r="D96" s="5" t="s">
        <v>6</v>
      </c>
      <c r="E96" s="5"/>
      <c r="F96" s="5"/>
      <c r="G96" s="5"/>
      <c r="H96" s="5"/>
      <c r="I96" s="5"/>
      <c r="J96" s="5"/>
      <c r="K96" s="5"/>
      <c r="N96" s="1">
        <f t="shared" si="60"/>
        <v>0</v>
      </c>
      <c r="Q96" s="1">
        <f t="shared" ref="Q96:BA96" si="62">Q73</f>
        <v>0</v>
      </c>
      <c r="R96" s="1">
        <f t="shared" si="62"/>
        <v>0</v>
      </c>
      <c r="S96" s="1">
        <f t="shared" si="62"/>
        <v>0</v>
      </c>
      <c r="T96" s="1">
        <f t="shared" si="62"/>
        <v>0</v>
      </c>
      <c r="U96" s="1">
        <f t="shared" si="62"/>
        <v>0</v>
      </c>
      <c r="V96" s="1">
        <f t="shared" si="62"/>
        <v>0</v>
      </c>
      <c r="W96" s="1">
        <f t="shared" si="62"/>
        <v>0</v>
      </c>
      <c r="X96" s="1">
        <f t="shared" si="62"/>
        <v>0</v>
      </c>
      <c r="Y96" s="1">
        <f t="shared" si="62"/>
        <v>0</v>
      </c>
      <c r="Z96" s="1">
        <f t="shared" si="62"/>
        <v>0</v>
      </c>
      <c r="AA96" s="1">
        <f t="shared" si="62"/>
        <v>0</v>
      </c>
      <c r="AB96" s="1">
        <f t="shared" si="62"/>
        <v>0</v>
      </c>
      <c r="AC96" s="1">
        <f t="shared" si="62"/>
        <v>0</v>
      </c>
      <c r="AD96" s="1">
        <f t="shared" si="62"/>
        <v>0</v>
      </c>
      <c r="AE96" s="1">
        <f t="shared" si="62"/>
        <v>0</v>
      </c>
      <c r="AF96" s="1">
        <f t="shared" si="62"/>
        <v>0</v>
      </c>
      <c r="AG96" s="1">
        <f t="shared" si="62"/>
        <v>0</v>
      </c>
      <c r="AH96" s="1">
        <f t="shared" si="62"/>
        <v>0</v>
      </c>
      <c r="AI96" s="1">
        <f t="shared" si="62"/>
        <v>0</v>
      </c>
      <c r="AJ96" s="1">
        <f t="shared" si="62"/>
        <v>0</v>
      </c>
      <c r="AK96" s="1">
        <f t="shared" si="62"/>
        <v>0</v>
      </c>
      <c r="AL96" s="1">
        <f t="shared" si="62"/>
        <v>0</v>
      </c>
      <c r="AM96" s="1">
        <f t="shared" si="62"/>
        <v>0</v>
      </c>
      <c r="AN96" s="1">
        <f t="shared" si="62"/>
        <v>0</v>
      </c>
      <c r="AO96" s="1">
        <f t="shared" si="62"/>
        <v>0</v>
      </c>
      <c r="AP96" s="1">
        <f t="shared" si="62"/>
        <v>0</v>
      </c>
      <c r="AQ96" s="1">
        <f t="shared" si="62"/>
        <v>0</v>
      </c>
      <c r="AR96" s="1">
        <f t="shared" si="62"/>
        <v>0</v>
      </c>
      <c r="AS96" s="1">
        <f t="shared" si="62"/>
        <v>0</v>
      </c>
      <c r="AT96" s="1">
        <f t="shared" si="62"/>
        <v>0</v>
      </c>
      <c r="AU96" s="1">
        <f t="shared" si="62"/>
        <v>0</v>
      </c>
      <c r="AV96" s="1">
        <f t="shared" si="62"/>
        <v>0</v>
      </c>
      <c r="AW96" s="1">
        <f t="shared" si="62"/>
        <v>0</v>
      </c>
      <c r="AX96" s="1">
        <f t="shared" si="62"/>
        <v>0</v>
      </c>
      <c r="AY96" s="1">
        <f t="shared" si="62"/>
        <v>0</v>
      </c>
      <c r="AZ96" s="1">
        <f t="shared" si="62"/>
        <v>0</v>
      </c>
      <c r="BA96" s="1">
        <f t="shared" si="62"/>
        <v>0</v>
      </c>
    </row>
    <row r="97" spans="1:54" ht="15.75" customHeight="1" x14ac:dyDescent="0.35">
      <c r="B97" s="5"/>
      <c r="C97" s="5"/>
      <c r="D97" s="5" t="s">
        <v>142</v>
      </c>
      <c r="E97" s="5"/>
      <c r="F97" s="5"/>
      <c r="G97" s="5"/>
      <c r="H97" s="5"/>
      <c r="I97" s="5"/>
      <c r="J97" s="5"/>
      <c r="K97" s="5"/>
      <c r="N97" s="1">
        <f t="shared" si="60"/>
        <v>0</v>
      </c>
      <c r="Q97" s="1">
        <f t="shared" ref="Q97:BA97" si="63">Q74</f>
        <v>0</v>
      </c>
      <c r="R97" s="1">
        <f t="shared" si="63"/>
        <v>0</v>
      </c>
      <c r="S97" s="1">
        <f t="shared" si="63"/>
        <v>0</v>
      </c>
      <c r="T97" s="1">
        <f t="shared" si="63"/>
        <v>0</v>
      </c>
      <c r="U97" s="1">
        <f t="shared" si="63"/>
        <v>0</v>
      </c>
      <c r="V97" s="1">
        <f t="shared" si="63"/>
        <v>0</v>
      </c>
      <c r="W97" s="1">
        <f t="shared" si="63"/>
        <v>0</v>
      </c>
      <c r="X97" s="1">
        <f t="shared" si="63"/>
        <v>0</v>
      </c>
      <c r="Y97" s="1">
        <f t="shared" si="63"/>
        <v>0</v>
      </c>
      <c r="Z97" s="1">
        <f t="shared" si="63"/>
        <v>0</v>
      </c>
      <c r="AA97" s="1">
        <f t="shared" si="63"/>
        <v>0</v>
      </c>
      <c r="AB97" s="1">
        <f t="shared" si="63"/>
        <v>0</v>
      </c>
      <c r="AC97" s="1">
        <f t="shared" si="63"/>
        <v>0</v>
      </c>
      <c r="AD97" s="1">
        <f t="shared" si="63"/>
        <v>0</v>
      </c>
      <c r="AE97" s="1">
        <f t="shared" si="63"/>
        <v>0</v>
      </c>
      <c r="AF97" s="1">
        <f t="shared" si="63"/>
        <v>0</v>
      </c>
      <c r="AG97" s="1">
        <f t="shared" si="63"/>
        <v>0</v>
      </c>
      <c r="AH97" s="1">
        <f t="shared" si="63"/>
        <v>0</v>
      </c>
      <c r="AI97" s="1">
        <f t="shared" si="63"/>
        <v>0</v>
      </c>
      <c r="AJ97" s="1">
        <f t="shared" si="63"/>
        <v>0</v>
      </c>
      <c r="AK97" s="1">
        <f t="shared" si="63"/>
        <v>0</v>
      </c>
      <c r="AL97" s="1">
        <f t="shared" si="63"/>
        <v>0</v>
      </c>
      <c r="AM97" s="1">
        <f t="shared" si="63"/>
        <v>0</v>
      </c>
      <c r="AN97" s="1">
        <f t="shared" si="63"/>
        <v>0</v>
      </c>
      <c r="AO97" s="1">
        <f t="shared" si="63"/>
        <v>0</v>
      </c>
      <c r="AP97" s="1">
        <f t="shared" si="63"/>
        <v>0</v>
      </c>
      <c r="AQ97" s="1">
        <f t="shared" si="63"/>
        <v>0</v>
      </c>
      <c r="AR97" s="1">
        <f t="shared" si="63"/>
        <v>0</v>
      </c>
      <c r="AS97" s="1">
        <f t="shared" si="63"/>
        <v>0</v>
      </c>
      <c r="AT97" s="1">
        <f t="shared" si="63"/>
        <v>0</v>
      </c>
      <c r="AU97" s="1">
        <f t="shared" si="63"/>
        <v>0</v>
      </c>
      <c r="AV97" s="1">
        <f t="shared" si="63"/>
        <v>0</v>
      </c>
      <c r="AW97" s="1">
        <f t="shared" si="63"/>
        <v>0</v>
      </c>
      <c r="AX97" s="1">
        <f t="shared" si="63"/>
        <v>0</v>
      </c>
      <c r="AY97" s="1">
        <f t="shared" si="63"/>
        <v>0</v>
      </c>
      <c r="AZ97" s="1">
        <f t="shared" si="63"/>
        <v>0</v>
      </c>
      <c r="BA97" s="1">
        <f t="shared" si="63"/>
        <v>0</v>
      </c>
    </row>
    <row r="98" spans="1:54" ht="15.75" customHeight="1" x14ac:dyDescent="0.35">
      <c r="B98" s="5"/>
      <c r="C98" s="5" t="s">
        <v>151</v>
      </c>
      <c r="D98" s="5"/>
      <c r="E98" s="5"/>
      <c r="F98" s="5"/>
      <c r="G98" s="5"/>
      <c r="H98" s="5"/>
      <c r="I98" s="5"/>
      <c r="J98" s="5"/>
      <c r="K98" s="5"/>
      <c r="N98" s="1">
        <f t="shared" si="60"/>
        <v>0</v>
      </c>
      <c r="Q98" s="1">
        <f t="shared" ref="Q98:BA98" si="64">SUM(Q99:Q100)</f>
        <v>0</v>
      </c>
      <c r="R98" s="1">
        <f t="shared" si="64"/>
        <v>0</v>
      </c>
      <c r="S98" s="1">
        <f t="shared" si="64"/>
        <v>0</v>
      </c>
      <c r="T98" s="1">
        <f t="shared" si="64"/>
        <v>0</v>
      </c>
      <c r="U98" s="1">
        <f t="shared" si="64"/>
        <v>0</v>
      </c>
      <c r="V98" s="1">
        <f t="shared" si="64"/>
        <v>0</v>
      </c>
      <c r="W98" s="1">
        <f t="shared" si="64"/>
        <v>0</v>
      </c>
      <c r="X98" s="1">
        <f t="shared" si="64"/>
        <v>0</v>
      </c>
      <c r="Y98" s="1">
        <f t="shared" si="64"/>
        <v>0</v>
      </c>
      <c r="Z98" s="1">
        <f t="shared" si="64"/>
        <v>0</v>
      </c>
      <c r="AA98" s="1">
        <f t="shared" si="64"/>
        <v>0</v>
      </c>
      <c r="AB98" s="1">
        <f t="shared" si="64"/>
        <v>0</v>
      </c>
      <c r="AC98" s="1">
        <f t="shared" si="64"/>
        <v>0</v>
      </c>
      <c r="AD98" s="1">
        <f t="shared" si="64"/>
        <v>0</v>
      </c>
      <c r="AE98" s="1">
        <f t="shared" si="64"/>
        <v>0</v>
      </c>
      <c r="AF98" s="1">
        <f t="shared" si="64"/>
        <v>0</v>
      </c>
      <c r="AG98" s="1">
        <f t="shared" si="64"/>
        <v>0</v>
      </c>
      <c r="AH98" s="1">
        <f t="shared" si="64"/>
        <v>0</v>
      </c>
      <c r="AI98" s="1">
        <f t="shared" si="64"/>
        <v>0</v>
      </c>
      <c r="AJ98" s="1">
        <f t="shared" si="64"/>
        <v>0</v>
      </c>
      <c r="AK98" s="1">
        <f t="shared" si="64"/>
        <v>0</v>
      </c>
      <c r="AL98" s="1">
        <f t="shared" si="64"/>
        <v>0</v>
      </c>
      <c r="AM98" s="1">
        <f t="shared" si="64"/>
        <v>0</v>
      </c>
      <c r="AN98" s="1">
        <f t="shared" si="64"/>
        <v>0</v>
      </c>
      <c r="AO98" s="1">
        <f t="shared" si="64"/>
        <v>0</v>
      </c>
      <c r="AP98" s="1">
        <f t="shared" si="64"/>
        <v>0</v>
      </c>
      <c r="AQ98" s="1">
        <f t="shared" si="64"/>
        <v>0</v>
      </c>
      <c r="AR98" s="1">
        <f t="shared" si="64"/>
        <v>0</v>
      </c>
      <c r="AS98" s="1">
        <f t="shared" si="64"/>
        <v>0</v>
      </c>
      <c r="AT98" s="1">
        <f t="shared" si="64"/>
        <v>0</v>
      </c>
      <c r="AU98" s="1">
        <f t="shared" si="64"/>
        <v>0</v>
      </c>
      <c r="AV98" s="1">
        <f t="shared" si="64"/>
        <v>0</v>
      </c>
      <c r="AW98" s="1">
        <f t="shared" si="64"/>
        <v>0</v>
      </c>
      <c r="AX98" s="1">
        <f t="shared" si="64"/>
        <v>0</v>
      </c>
      <c r="AY98" s="1">
        <f t="shared" si="64"/>
        <v>0</v>
      </c>
      <c r="AZ98" s="1">
        <f t="shared" si="64"/>
        <v>0</v>
      </c>
      <c r="BA98" s="1">
        <f t="shared" si="64"/>
        <v>0</v>
      </c>
    </row>
    <row r="99" spans="1:54" ht="15.75" customHeight="1" x14ac:dyDescent="0.35">
      <c r="B99" s="5"/>
      <c r="C99" s="5"/>
      <c r="D99" s="5" t="s">
        <v>147</v>
      </c>
      <c r="E99" s="5"/>
      <c r="F99" s="5"/>
      <c r="G99" s="5"/>
      <c r="H99" s="5"/>
      <c r="I99" s="5"/>
      <c r="J99" s="5"/>
      <c r="K99" s="5"/>
      <c r="N99" s="1">
        <f t="shared" si="60"/>
        <v>0</v>
      </c>
      <c r="Q99" s="1">
        <f t="shared" ref="Q99:BA99" si="65">Q76</f>
        <v>0</v>
      </c>
      <c r="R99" s="1">
        <f t="shared" si="65"/>
        <v>0</v>
      </c>
      <c r="S99" s="1">
        <f t="shared" si="65"/>
        <v>0</v>
      </c>
      <c r="T99" s="1">
        <f t="shared" si="65"/>
        <v>0</v>
      </c>
      <c r="U99" s="1">
        <f t="shared" si="65"/>
        <v>0</v>
      </c>
      <c r="V99" s="1">
        <f t="shared" si="65"/>
        <v>0</v>
      </c>
      <c r="W99" s="1">
        <f t="shared" si="65"/>
        <v>0</v>
      </c>
      <c r="X99" s="1">
        <f t="shared" si="65"/>
        <v>0</v>
      </c>
      <c r="Y99" s="1">
        <f t="shared" si="65"/>
        <v>0</v>
      </c>
      <c r="Z99" s="1">
        <f t="shared" si="65"/>
        <v>0</v>
      </c>
      <c r="AA99" s="1">
        <f t="shared" si="65"/>
        <v>0</v>
      </c>
      <c r="AB99" s="1">
        <f t="shared" si="65"/>
        <v>0</v>
      </c>
      <c r="AC99" s="1">
        <f t="shared" si="65"/>
        <v>0</v>
      </c>
      <c r="AD99" s="1">
        <f t="shared" si="65"/>
        <v>0</v>
      </c>
      <c r="AE99" s="1">
        <f t="shared" si="65"/>
        <v>0</v>
      </c>
      <c r="AF99" s="1">
        <f t="shared" si="65"/>
        <v>0</v>
      </c>
      <c r="AG99" s="1">
        <f t="shared" si="65"/>
        <v>0</v>
      </c>
      <c r="AH99" s="1">
        <f t="shared" si="65"/>
        <v>0</v>
      </c>
      <c r="AI99" s="1">
        <f t="shared" si="65"/>
        <v>0</v>
      </c>
      <c r="AJ99" s="1">
        <f t="shared" si="65"/>
        <v>0</v>
      </c>
      <c r="AK99" s="1">
        <f t="shared" si="65"/>
        <v>0</v>
      </c>
      <c r="AL99" s="1">
        <f t="shared" si="65"/>
        <v>0</v>
      </c>
      <c r="AM99" s="1">
        <f t="shared" si="65"/>
        <v>0</v>
      </c>
      <c r="AN99" s="1">
        <f t="shared" si="65"/>
        <v>0</v>
      </c>
      <c r="AO99" s="1">
        <f t="shared" si="65"/>
        <v>0</v>
      </c>
      <c r="AP99" s="1">
        <f t="shared" si="65"/>
        <v>0</v>
      </c>
      <c r="AQ99" s="1">
        <f t="shared" si="65"/>
        <v>0</v>
      </c>
      <c r="AR99" s="1">
        <f t="shared" si="65"/>
        <v>0</v>
      </c>
      <c r="AS99" s="1">
        <f t="shared" si="65"/>
        <v>0</v>
      </c>
      <c r="AT99" s="1">
        <f t="shared" si="65"/>
        <v>0</v>
      </c>
      <c r="AU99" s="1">
        <f t="shared" si="65"/>
        <v>0</v>
      </c>
      <c r="AV99" s="1">
        <f t="shared" si="65"/>
        <v>0</v>
      </c>
      <c r="AW99" s="1">
        <f t="shared" si="65"/>
        <v>0</v>
      </c>
      <c r="AX99" s="1">
        <f t="shared" si="65"/>
        <v>0</v>
      </c>
      <c r="AY99" s="1">
        <f t="shared" si="65"/>
        <v>0</v>
      </c>
      <c r="AZ99" s="1">
        <f t="shared" si="65"/>
        <v>0</v>
      </c>
      <c r="BA99" s="1">
        <f t="shared" si="65"/>
        <v>0</v>
      </c>
    </row>
    <row r="100" spans="1:54" ht="15.75" customHeight="1" x14ac:dyDescent="0.35">
      <c r="B100" s="5"/>
      <c r="C100" s="5"/>
      <c r="D100" s="5" t="s">
        <v>52</v>
      </c>
      <c r="E100" s="5"/>
      <c r="F100" s="5"/>
      <c r="G100" s="5"/>
      <c r="H100" s="5"/>
      <c r="I100" s="5"/>
      <c r="J100" s="5"/>
      <c r="K100" s="5"/>
      <c r="N100" s="1">
        <f t="shared" si="60"/>
        <v>0</v>
      </c>
      <c r="Q100" s="1">
        <f t="shared" ref="Q100:BA100" si="66">Q77</f>
        <v>0</v>
      </c>
      <c r="R100" s="1">
        <f t="shared" si="66"/>
        <v>0</v>
      </c>
      <c r="S100" s="1">
        <f t="shared" si="66"/>
        <v>0</v>
      </c>
      <c r="T100" s="1">
        <f t="shared" si="66"/>
        <v>0</v>
      </c>
      <c r="U100" s="1">
        <f t="shared" si="66"/>
        <v>0</v>
      </c>
      <c r="V100" s="1">
        <f t="shared" si="66"/>
        <v>0</v>
      </c>
      <c r="W100" s="1">
        <f t="shared" si="66"/>
        <v>0</v>
      </c>
      <c r="X100" s="1">
        <f t="shared" si="66"/>
        <v>0</v>
      </c>
      <c r="Y100" s="1">
        <f t="shared" si="66"/>
        <v>0</v>
      </c>
      <c r="Z100" s="1">
        <f t="shared" si="66"/>
        <v>0</v>
      </c>
      <c r="AA100" s="1">
        <f t="shared" si="66"/>
        <v>0</v>
      </c>
      <c r="AB100" s="1">
        <f t="shared" si="66"/>
        <v>0</v>
      </c>
      <c r="AC100" s="1">
        <f t="shared" si="66"/>
        <v>0</v>
      </c>
      <c r="AD100" s="1">
        <f t="shared" si="66"/>
        <v>0</v>
      </c>
      <c r="AE100" s="1">
        <f t="shared" si="66"/>
        <v>0</v>
      </c>
      <c r="AF100" s="1">
        <f t="shared" si="66"/>
        <v>0</v>
      </c>
      <c r="AG100" s="1">
        <f t="shared" si="66"/>
        <v>0</v>
      </c>
      <c r="AH100" s="1">
        <f t="shared" si="66"/>
        <v>0</v>
      </c>
      <c r="AI100" s="1">
        <f t="shared" si="66"/>
        <v>0</v>
      </c>
      <c r="AJ100" s="1">
        <f t="shared" si="66"/>
        <v>0</v>
      </c>
      <c r="AK100" s="1">
        <f t="shared" si="66"/>
        <v>0</v>
      </c>
      <c r="AL100" s="1">
        <f t="shared" si="66"/>
        <v>0</v>
      </c>
      <c r="AM100" s="1">
        <f t="shared" si="66"/>
        <v>0</v>
      </c>
      <c r="AN100" s="1">
        <f t="shared" si="66"/>
        <v>0</v>
      </c>
      <c r="AO100" s="1">
        <f t="shared" si="66"/>
        <v>0</v>
      </c>
      <c r="AP100" s="1">
        <f t="shared" si="66"/>
        <v>0</v>
      </c>
      <c r="AQ100" s="1">
        <f t="shared" si="66"/>
        <v>0</v>
      </c>
      <c r="AR100" s="1">
        <f t="shared" si="66"/>
        <v>0</v>
      </c>
      <c r="AS100" s="1">
        <f t="shared" si="66"/>
        <v>0</v>
      </c>
      <c r="AT100" s="1">
        <f t="shared" si="66"/>
        <v>0</v>
      </c>
      <c r="AU100" s="1">
        <f t="shared" si="66"/>
        <v>0</v>
      </c>
      <c r="AV100" s="1">
        <f t="shared" si="66"/>
        <v>0</v>
      </c>
      <c r="AW100" s="1">
        <f t="shared" si="66"/>
        <v>0</v>
      </c>
      <c r="AX100" s="1">
        <f t="shared" si="66"/>
        <v>0</v>
      </c>
      <c r="AY100" s="1">
        <f t="shared" si="66"/>
        <v>0</v>
      </c>
      <c r="AZ100" s="1">
        <f t="shared" si="66"/>
        <v>0</v>
      </c>
      <c r="BA100" s="1">
        <f t="shared" si="66"/>
        <v>0</v>
      </c>
    </row>
    <row r="101" spans="1:54" ht="15.75" customHeight="1" x14ac:dyDescent="0.35">
      <c r="B101" s="5"/>
      <c r="C101" s="5" t="s">
        <v>28</v>
      </c>
      <c r="D101" s="5"/>
      <c r="E101" s="5"/>
      <c r="F101" s="5"/>
      <c r="G101" s="5"/>
      <c r="H101" s="5"/>
      <c r="I101" s="5"/>
      <c r="J101" s="5"/>
      <c r="K101" s="5"/>
      <c r="N101" s="1">
        <f t="shared" si="60"/>
        <v>0</v>
      </c>
      <c r="Q101" s="1">
        <f t="shared" ref="Q101:BA101" si="67">SUM(Q102,Q105)</f>
        <v>0</v>
      </c>
      <c r="R101" s="1">
        <f t="shared" si="67"/>
        <v>0</v>
      </c>
      <c r="S101" s="1">
        <f t="shared" si="67"/>
        <v>0</v>
      </c>
      <c r="T101" s="1">
        <f t="shared" si="67"/>
        <v>0</v>
      </c>
      <c r="U101" s="1">
        <f t="shared" si="67"/>
        <v>0</v>
      </c>
      <c r="V101" s="1">
        <f t="shared" si="67"/>
        <v>0</v>
      </c>
      <c r="W101" s="1">
        <f t="shared" si="67"/>
        <v>0</v>
      </c>
      <c r="X101" s="1">
        <f t="shared" si="67"/>
        <v>0</v>
      </c>
      <c r="Y101" s="1">
        <f t="shared" si="67"/>
        <v>0</v>
      </c>
      <c r="Z101" s="1">
        <f t="shared" si="67"/>
        <v>0</v>
      </c>
      <c r="AA101" s="1">
        <f t="shared" si="67"/>
        <v>0</v>
      </c>
      <c r="AB101" s="1">
        <f t="shared" si="67"/>
        <v>0</v>
      </c>
      <c r="AC101" s="1">
        <f t="shared" si="67"/>
        <v>0</v>
      </c>
      <c r="AD101" s="1">
        <f t="shared" si="67"/>
        <v>0</v>
      </c>
      <c r="AE101" s="1">
        <f t="shared" si="67"/>
        <v>0</v>
      </c>
      <c r="AF101" s="1">
        <f t="shared" si="67"/>
        <v>0</v>
      </c>
      <c r="AG101" s="1">
        <f t="shared" si="67"/>
        <v>0</v>
      </c>
      <c r="AH101" s="1">
        <f t="shared" si="67"/>
        <v>0</v>
      </c>
      <c r="AI101" s="1">
        <f t="shared" si="67"/>
        <v>0</v>
      </c>
      <c r="AJ101" s="1">
        <f t="shared" si="67"/>
        <v>0</v>
      </c>
      <c r="AK101" s="1">
        <f t="shared" si="67"/>
        <v>0</v>
      </c>
      <c r="AL101" s="1">
        <f t="shared" si="67"/>
        <v>0</v>
      </c>
      <c r="AM101" s="1">
        <f t="shared" si="67"/>
        <v>0</v>
      </c>
      <c r="AN101" s="1">
        <f t="shared" si="67"/>
        <v>0</v>
      </c>
      <c r="AO101" s="1">
        <f t="shared" si="67"/>
        <v>0</v>
      </c>
      <c r="AP101" s="1">
        <f t="shared" si="67"/>
        <v>0</v>
      </c>
      <c r="AQ101" s="1">
        <f t="shared" si="67"/>
        <v>0</v>
      </c>
      <c r="AR101" s="1">
        <f t="shared" si="67"/>
        <v>0</v>
      </c>
      <c r="AS101" s="1">
        <f t="shared" si="67"/>
        <v>0</v>
      </c>
      <c r="AT101" s="1">
        <f t="shared" si="67"/>
        <v>0</v>
      </c>
      <c r="AU101" s="1">
        <f t="shared" si="67"/>
        <v>0</v>
      </c>
      <c r="AV101" s="1">
        <f t="shared" si="67"/>
        <v>0</v>
      </c>
      <c r="AW101" s="1">
        <f t="shared" si="67"/>
        <v>0</v>
      </c>
      <c r="AX101" s="1">
        <f t="shared" si="67"/>
        <v>0</v>
      </c>
      <c r="AY101" s="1">
        <f t="shared" si="67"/>
        <v>0</v>
      </c>
      <c r="AZ101" s="1">
        <f t="shared" si="67"/>
        <v>0</v>
      </c>
      <c r="BA101" s="1">
        <f t="shared" si="67"/>
        <v>0</v>
      </c>
    </row>
    <row r="102" spans="1:54" ht="15.75" customHeight="1" x14ac:dyDescent="0.35">
      <c r="B102" s="5"/>
      <c r="D102" s="5" t="s">
        <v>149</v>
      </c>
      <c r="E102" s="5"/>
      <c r="F102" s="5"/>
      <c r="G102" s="5"/>
      <c r="H102" s="5"/>
      <c r="I102" s="5"/>
      <c r="J102" s="5"/>
      <c r="K102" s="5"/>
      <c r="N102" s="1">
        <f t="shared" si="60"/>
        <v>0</v>
      </c>
      <c r="Q102" s="11">
        <f t="shared" ref="Q102:BA102" si="68">SUM(Q103:Q104)</f>
        <v>0</v>
      </c>
      <c r="R102" s="11">
        <f t="shared" si="68"/>
        <v>0</v>
      </c>
      <c r="S102" s="11">
        <f t="shared" si="68"/>
        <v>0</v>
      </c>
      <c r="T102" s="11">
        <f t="shared" si="68"/>
        <v>0</v>
      </c>
      <c r="U102" s="11">
        <f t="shared" si="68"/>
        <v>0</v>
      </c>
      <c r="V102" s="11">
        <f t="shared" si="68"/>
        <v>0</v>
      </c>
      <c r="W102" s="11">
        <f t="shared" si="68"/>
        <v>0</v>
      </c>
      <c r="X102" s="11">
        <f t="shared" si="68"/>
        <v>0</v>
      </c>
      <c r="Y102" s="11">
        <f t="shared" si="68"/>
        <v>0</v>
      </c>
      <c r="Z102" s="11">
        <f t="shared" si="68"/>
        <v>0</v>
      </c>
      <c r="AA102" s="11">
        <f t="shared" si="68"/>
        <v>0</v>
      </c>
      <c r="AB102" s="11">
        <f t="shared" si="68"/>
        <v>0</v>
      </c>
      <c r="AC102" s="11">
        <f t="shared" si="68"/>
        <v>0</v>
      </c>
      <c r="AD102" s="11">
        <f t="shared" si="68"/>
        <v>0</v>
      </c>
      <c r="AE102" s="11">
        <f t="shared" si="68"/>
        <v>0</v>
      </c>
      <c r="AF102" s="11">
        <f t="shared" si="68"/>
        <v>0</v>
      </c>
      <c r="AG102" s="11">
        <f t="shared" si="68"/>
        <v>0</v>
      </c>
      <c r="AH102" s="11">
        <f t="shared" si="68"/>
        <v>0</v>
      </c>
      <c r="AI102" s="11">
        <f t="shared" si="68"/>
        <v>0</v>
      </c>
      <c r="AJ102" s="11">
        <f t="shared" si="68"/>
        <v>0</v>
      </c>
      <c r="AK102" s="11">
        <f t="shared" si="68"/>
        <v>0</v>
      </c>
      <c r="AL102" s="11">
        <f t="shared" si="68"/>
        <v>0</v>
      </c>
      <c r="AM102" s="11">
        <f t="shared" si="68"/>
        <v>0</v>
      </c>
      <c r="AN102" s="11">
        <f t="shared" si="68"/>
        <v>0</v>
      </c>
      <c r="AO102" s="11">
        <f t="shared" si="68"/>
        <v>0</v>
      </c>
      <c r="AP102" s="11">
        <f t="shared" si="68"/>
        <v>0</v>
      </c>
      <c r="AQ102" s="11">
        <f t="shared" si="68"/>
        <v>0</v>
      </c>
      <c r="AR102" s="11">
        <f t="shared" si="68"/>
        <v>0</v>
      </c>
      <c r="AS102" s="11">
        <f t="shared" si="68"/>
        <v>0</v>
      </c>
      <c r="AT102" s="11">
        <f t="shared" si="68"/>
        <v>0</v>
      </c>
      <c r="AU102" s="11">
        <f t="shared" si="68"/>
        <v>0</v>
      </c>
      <c r="AV102" s="11">
        <f t="shared" si="68"/>
        <v>0</v>
      </c>
      <c r="AW102" s="11">
        <f t="shared" si="68"/>
        <v>0</v>
      </c>
      <c r="AX102" s="11">
        <f t="shared" si="68"/>
        <v>0</v>
      </c>
      <c r="AY102" s="11">
        <f t="shared" si="68"/>
        <v>0</v>
      </c>
      <c r="AZ102" s="11">
        <f t="shared" si="68"/>
        <v>0</v>
      </c>
      <c r="BA102" s="11">
        <f t="shared" si="68"/>
        <v>0</v>
      </c>
    </row>
    <row r="103" spans="1:54" ht="15.75" customHeight="1" x14ac:dyDescent="0.35">
      <c r="B103" s="5"/>
      <c r="D103" s="5"/>
      <c r="E103" s="5" t="s">
        <v>157</v>
      </c>
      <c r="F103" s="5"/>
      <c r="G103" s="5"/>
      <c r="H103" s="5"/>
      <c r="I103" s="5"/>
      <c r="J103" s="5"/>
      <c r="K103" s="5"/>
      <c r="N103" s="1">
        <f t="shared" si="60"/>
        <v>0</v>
      </c>
      <c r="Q103" s="11">
        <f>IFERROR(SUM($Q$80:Q$80)/SUM(OEt.w2)*OEt.w2,0)</f>
        <v>0</v>
      </c>
      <c r="R103" s="11">
        <f>IFERROR(SUM($Q$80:R$80)/SUM(OEt.w2)*OEt.w2,0)</f>
        <v>0</v>
      </c>
      <c r="S103" s="11">
        <f>IFERROR(SUM($Q$80:S$80)/SUM(OEt.w2)*OEt.w2,0)</f>
        <v>0</v>
      </c>
      <c r="T103" s="11">
        <f>IFERROR(SUM($Q$80:T$80)/SUM(OEt.w2)*OEt.w2,0)</f>
        <v>0</v>
      </c>
      <c r="U103" s="11">
        <f>IFERROR(SUM($Q$80:U$80)/SUM(OEt.w2)*OEt.w2,0)</f>
        <v>0</v>
      </c>
      <c r="V103" s="11">
        <f>IFERROR(SUM($Q$80:V$80)/SUM(OEt.w2)*OEt.w2,0)</f>
        <v>0</v>
      </c>
      <c r="W103" s="11">
        <f>IFERROR(SUM($Q$80:W$80)/SUM(OEt.w2)*OEt.w2,0)</f>
        <v>0</v>
      </c>
      <c r="X103" s="11">
        <f>IFERROR(SUM($Q$80:X$80)/SUM(OEt.w2)*OEt.w2,0)</f>
        <v>0</v>
      </c>
      <c r="Y103" s="11">
        <f>IFERROR(SUM($Q$80:Y$80)/SUM(OEt.w2)*OEt.w2,0)</f>
        <v>0</v>
      </c>
      <c r="Z103" s="11">
        <f>IFERROR(SUM($Q$80:Z$80)/SUM(OEt.w2)*OEt.w2,0)</f>
        <v>0</v>
      </c>
      <c r="AA103" s="11">
        <f>IFERROR(SUM($Q$80:AA$80)/SUM(OEt.w2)*OEt.w2,0)</f>
        <v>0</v>
      </c>
      <c r="AB103" s="11">
        <f>IFERROR(SUM($Q$80:AB$80)/SUM(OEt.w2)*OEt.w2,0)</f>
        <v>0</v>
      </c>
      <c r="AC103" s="11">
        <f>IFERROR(SUM($Q$80:AC$80)/SUM(OEt.w2)*OEt.w2,0)</f>
        <v>0</v>
      </c>
      <c r="AD103" s="11">
        <f>IFERROR(SUM($Q$80:AD$80)/SUM(OEt.w2)*OEt.w2,0)</f>
        <v>0</v>
      </c>
      <c r="AE103" s="11">
        <f>IFERROR(SUM($Q$80:AE$80)/SUM(OEt.w2)*OEt.w2,0)</f>
        <v>0</v>
      </c>
      <c r="AF103" s="11">
        <f>IFERROR(SUM($Q$80:AF$80)/SUM(OEt.w2)*OEt.w2,0)</f>
        <v>0</v>
      </c>
      <c r="AG103" s="11">
        <f>IFERROR(SUM($Q$80:AG$80)/SUM(OEt.w2)*OEt.w2,0)</f>
        <v>0</v>
      </c>
      <c r="AH103" s="11">
        <f>IFERROR(SUM($Q$80:AH$80)/SUM(OEt.w2)*OEt.w2,0)</f>
        <v>0</v>
      </c>
      <c r="AI103" s="11">
        <f>IFERROR(SUM($Q$80:AI$80)/SUM(OEt.w2)*OEt.w2,0)</f>
        <v>0</v>
      </c>
      <c r="AJ103" s="11">
        <f>IFERROR(SUM($Q$80:AJ$80)/SUM(OEt.w2)*OEt.w2,0)</f>
        <v>0</v>
      </c>
      <c r="AK103" s="11">
        <f>IFERROR(SUM($Q$80:AK$80)/SUM(OEt.w2)*OEt.w2,0)</f>
        <v>0</v>
      </c>
      <c r="AL103" s="11">
        <f>IFERROR(SUM($Q$80:AL$80)/SUM(OEt.w2)*OEt.w2,0)</f>
        <v>0</v>
      </c>
      <c r="AM103" s="11">
        <f>IFERROR(SUM($Q$80:AM$80)/SUM(OEt.w2)*OEt.w2,0)</f>
        <v>0</v>
      </c>
      <c r="AN103" s="11">
        <f>IFERROR(SUM($Q$80:AN$80)/SUM(OEt.w2)*OEt.w2,0)</f>
        <v>0</v>
      </c>
      <c r="AO103" s="11">
        <f>IFERROR(SUM($Q$80:AO$80)/SUM(OEt.w2)*OEt.w2,0)</f>
        <v>0</v>
      </c>
      <c r="AP103" s="11">
        <f>IFERROR(SUM($Q$80:AP$80)/SUM(OEt.w2)*OEt.w2,0)</f>
        <v>0</v>
      </c>
      <c r="AQ103" s="11">
        <f>IFERROR(SUM($Q$80:AQ$80)/SUM(OEt.w2)*OEt.w2,0)</f>
        <v>0</v>
      </c>
      <c r="AR103" s="11">
        <f>IFERROR(SUM($Q$80:AR$80)/SUM(OEt.w2)*OEt.w2,0)</f>
        <v>0</v>
      </c>
      <c r="AS103" s="11">
        <f>IFERROR(SUM($Q$80:AS$80)/SUM(OEt.w2)*OEt.w2,0)</f>
        <v>0</v>
      </c>
      <c r="AT103" s="11">
        <f>IFERROR(SUM($Q$80:AT$80)/SUM(OEt.w2)*OEt.w2,0)</f>
        <v>0</v>
      </c>
      <c r="AU103" s="11">
        <f>IFERROR(SUM($Q$80:AU$80)/SUM(OEt.w2)*OEt.w2,0)</f>
        <v>0</v>
      </c>
      <c r="AV103" s="11">
        <f>IFERROR(SUM($Q$80:AV$80)/SUM(OEt.w2)*OEt.w2,0)</f>
        <v>0</v>
      </c>
      <c r="AW103" s="11">
        <f>IFERROR(SUM($Q$80:AW$80)/SUM(OEt.w2)*OEt.w2,0)</f>
        <v>0</v>
      </c>
      <c r="AX103" s="11">
        <f>IFERROR(SUM($Q$80:AX$80)/SUM(OEt.w2)*OEt.w2,0)</f>
        <v>0</v>
      </c>
      <c r="AY103" s="11">
        <f>IFERROR(SUM($Q$80:AY$80)/SUM(OEt.w2)*OEt.w2,0)</f>
        <v>0</v>
      </c>
      <c r="AZ103" s="11">
        <f>IFERROR(SUM($Q$80:AZ$80)/SUM(OEt.w2)*OEt.w2,0)</f>
        <v>0</v>
      </c>
      <c r="BA103" s="11">
        <f>IFERROR(SUM($Q$80:BA$80)/SUM(OEt.w2)*OEt.w2,0)</f>
        <v>0</v>
      </c>
    </row>
    <row r="104" spans="1:54" ht="15.75" customHeight="1" x14ac:dyDescent="0.35">
      <c r="B104" s="5"/>
      <c r="D104" s="5"/>
      <c r="E104" s="5" t="s">
        <v>158</v>
      </c>
      <c r="F104" s="5"/>
      <c r="G104" s="5"/>
      <c r="H104" s="5"/>
      <c r="I104" s="5"/>
      <c r="J104" s="5"/>
      <c r="K104" s="5"/>
      <c r="N104" s="1">
        <f t="shared" si="60"/>
        <v>0</v>
      </c>
      <c r="Q104" s="11">
        <f t="shared" ref="Q104:BA104" si="69">Q168</f>
        <v>0</v>
      </c>
      <c r="R104" s="11">
        <f t="shared" si="69"/>
        <v>0</v>
      </c>
      <c r="S104" s="11">
        <f t="shared" si="69"/>
        <v>0</v>
      </c>
      <c r="T104" s="11">
        <f t="shared" si="69"/>
        <v>0</v>
      </c>
      <c r="U104" s="11">
        <f t="shared" si="69"/>
        <v>0</v>
      </c>
      <c r="V104" s="11">
        <f t="shared" si="69"/>
        <v>0</v>
      </c>
      <c r="W104" s="11">
        <f t="shared" si="69"/>
        <v>0</v>
      </c>
      <c r="X104" s="11">
        <f t="shared" si="69"/>
        <v>0</v>
      </c>
      <c r="Y104" s="11">
        <f t="shared" si="69"/>
        <v>0</v>
      </c>
      <c r="Z104" s="11">
        <f t="shared" si="69"/>
        <v>0</v>
      </c>
      <c r="AA104" s="11">
        <f t="shared" si="69"/>
        <v>0</v>
      </c>
      <c r="AB104" s="11">
        <f t="shared" si="69"/>
        <v>0</v>
      </c>
      <c r="AC104" s="11">
        <f t="shared" si="69"/>
        <v>0</v>
      </c>
      <c r="AD104" s="11">
        <f t="shared" si="69"/>
        <v>0</v>
      </c>
      <c r="AE104" s="11">
        <f t="shared" si="69"/>
        <v>0</v>
      </c>
      <c r="AF104" s="11">
        <f t="shared" si="69"/>
        <v>0</v>
      </c>
      <c r="AG104" s="11">
        <f t="shared" si="69"/>
        <v>0</v>
      </c>
      <c r="AH104" s="11">
        <f t="shared" si="69"/>
        <v>0</v>
      </c>
      <c r="AI104" s="11">
        <f t="shared" si="69"/>
        <v>0</v>
      </c>
      <c r="AJ104" s="11">
        <f t="shared" si="69"/>
        <v>0</v>
      </c>
      <c r="AK104" s="11">
        <f t="shared" si="69"/>
        <v>0</v>
      </c>
      <c r="AL104" s="11">
        <f t="shared" si="69"/>
        <v>0</v>
      </c>
      <c r="AM104" s="11">
        <f t="shared" si="69"/>
        <v>0</v>
      </c>
      <c r="AN104" s="11">
        <f t="shared" si="69"/>
        <v>0</v>
      </c>
      <c r="AO104" s="11">
        <f t="shared" si="69"/>
        <v>0</v>
      </c>
      <c r="AP104" s="11">
        <f t="shared" si="69"/>
        <v>0</v>
      </c>
      <c r="AQ104" s="11">
        <f t="shared" si="69"/>
        <v>0</v>
      </c>
      <c r="AR104" s="11">
        <f t="shared" si="69"/>
        <v>0</v>
      </c>
      <c r="AS104" s="11">
        <f t="shared" si="69"/>
        <v>0</v>
      </c>
      <c r="AT104" s="11">
        <f t="shared" si="69"/>
        <v>0</v>
      </c>
      <c r="AU104" s="11">
        <f t="shared" si="69"/>
        <v>0</v>
      </c>
      <c r="AV104" s="11">
        <f t="shared" si="69"/>
        <v>0</v>
      </c>
      <c r="AW104" s="11">
        <f t="shared" si="69"/>
        <v>0</v>
      </c>
      <c r="AX104" s="11">
        <f t="shared" si="69"/>
        <v>0</v>
      </c>
      <c r="AY104" s="11">
        <f t="shared" si="69"/>
        <v>0</v>
      </c>
      <c r="AZ104" s="11">
        <f t="shared" si="69"/>
        <v>0</v>
      </c>
      <c r="BA104" s="11">
        <f t="shared" si="69"/>
        <v>0</v>
      </c>
    </row>
    <row r="105" spans="1:54" ht="15.75" customHeight="1" x14ac:dyDescent="0.35">
      <c r="B105" s="5"/>
      <c r="C105" s="5"/>
      <c r="D105" s="5" t="s">
        <v>155</v>
      </c>
      <c r="E105" s="5"/>
      <c r="F105" s="5"/>
      <c r="G105" s="5"/>
      <c r="H105" s="5"/>
      <c r="I105" s="5"/>
      <c r="J105" s="5"/>
      <c r="K105" s="5"/>
      <c r="N105" s="1">
        <f t="shared" si="60"/>
        <v>0</v>
      </c>
      <c r="Q105" s="1">
        <f t="shared" ref="Q105:BA105" si="70">SUM(Q106:Q107)</f>
        <v>0</v>
      </c>
      <c r="R105" s="1">
        <f t="shared" si="70"/>
        <v>0</v>
      </c>
      <c r="S105" s="1">
        <f t="shared" si="70"/>
        <v>0</v>
      </c>
      <c r="T105" s="1">
        <f t="shared" si="70"/>
        <v>0</v>
      </c>
      <c r="U105" s="1">
        <f t="shared" si="70"/>
        <v>0</v>
      </c>
      <c r="V105" s="1">
        <f t="shared" si="70"/>
        <v>0</v>
      </c>
      <c r="W105" s="1">
        <f t="shared" si="70"/>
        <v>0</v>
      </c>
      <c r="X105" s="1">
        <f t="shared" si="70"/>
        <v>0</v>
      </c>
      <c r="Y105" s="1">
        <f t="shared" si="70"/>
        <v>0</v>
      </c>
      <c r="Z105" s="1">
        <f t="shared" si="70"/>
        <v>0</v>
      </c>
      <c r="AA105" s="1">
        <f t="shared" si="70"/>
        <v>0</v>
      </c>
      <c r="AB105" s="1">
        <f t="shared" si="70"/>
        <v>0</v>
      </c>
      <c r="AC105" s="1">
        <f t="shared" si="70"/>
        <v>0</v>
      </c>
      <c r="AD105" s="1">
        <f t="shared" si="70"/>
        <v>0</v>
      </c>
      <c r="AE105" s="1">
        <f t="shared" si="70"/>
        <v>0</v>
      </c>
      <c r="AF105" s="1">
        <f t="shared" si="70"/>
        <v>0</v>
      </c>
      <c r="AG105" s="1">
        <f t="shared" si="70"/>
        <v>0</v>
      </c>
      <c r="AH105" s="1">
        <f t="shared" si="70"/>
        <v>0</v>
      </c>
      <c r="AI105" s="1">
        <f t="shared" si="70"/>
        <v>0</v>
      </c>
      <c r="AJ105" s="1">
        <f t="shared" si="70"/>
        <v>0</v>
      </c>
      <c r="AK105" s="1">
        <f t="shared" si="70"/>
        <v>0</v>
      </c>
      <c r="AL105" s="1">
        <f t="shared" si="70"/>
        <v>0</v>
      </c>
      <c r="AM105" s="1">
        <f t="shared" si="70"/>
        <v>0</v>
      </c>
      <c r="AN105" s="1">
        <f t="shared" si="70"/>
        <v>0</v>
      </c>
      <c r="AO105" s="1">
        <f t="shared" si="70"/>
        <v>0</v>
      </c>
      <c r="AP105" s="1">
        <f t="shared" si="70"/>
        <v>0</v>
      </c>
      <c r="AQ105" s="1">
        <f t="shared" si="70"/>
        <v>0</v>
      </c>
      <c r="AR105" s="1">
        <f t="shared" si="70"/>
        <v>0</v>
      </c>
      <c r="AS105" s="1">
        <f t="shared" si="70"/>
        <v>0</v>
      </c>
      <c r="AT105" s="1">
        <f t="shared" si="70"/>
        <v>0</v>
      </c>
      <c r="AU105" s="1">
        <f t="shared" si="70"/>
        <v>0</v>
      </c>
      <c r="AV105" s="1">
        <f t="shared" si="70"/>
        <v>0</v>
      </c>
      <c r="AW105" s="1">
        <f t="shared" si="70"/>
        <v>0</v>
      </c>
      <c r="AX105" s="1">
        <f t="shared" si="70"/>
        <v>0</v>
      </c>
      <c r="AY105" s="1">
        <f t="shared" si="70"/>
        <v>0</v>
      </c>
      <c r="AZ105" s="1">
        <f t="shared" si="70"/>
        <v>0</v>
      </c>
      <c r="BA105" s="1">
        <f t="shared" si="70"/>
        <v>0</v>
      </c>
    </row>
    <row r="106" spans="1:54" ht="15.75" customHeight="1" x14ac:dyDescent="0.35">
      <c r="B106" s="5"/>
      <c r="D106" s="5"/>
      <c r="E106" s="5" t="s">
        <v>6</v>
      </c>
      <c r="F106" s="5"/>
      <c r="G106" s="5"/>
      <c r="H106" s="5"/>
      <c r="I106" s="5"/>
      <c r="J106" s="5"/>
      <c r="K106" s="5"/>
      <c r="N106" s="1">
        <f t="shared" si="60"/>
        <v>0</v>
      </c>
      <c r="Q106" s="1">
        <f t="shared" ref="Q106:BA107" si="71">Q157</f>
        <v>0</v>
      </c>
      <c r="R106" s="1">
        <f t="shared" si="71"/>
        <v>0</v>
      </c>
      <c r="S106" s="1">
        <f t="shared" si="71"/>
        <v>0</v>
      </c>
      <c r="T106" s="1">
        <f t="shared" si="71"/>
        <v>0</v>
      </c>
      <c r="U106" s="1">
        <f t="shared" si="71"/>
        <v>0</v>
      </c>
      <c r="V106" s="1">
        <f t="shared" si="71"/>
        <v>0</v>
      </c>
      <c r="W106" s="1">
        <f t="shared" si="71"/>
        <v>0</v>
      </c>
      <c r="X106" s="1">
        <f t="shared" si="71"/>
        <v>0</v>
      </c>
      <c r="Y106" s="1">
        <f t="shared" si="71"/>
        <v>0</v>
      </c>
      <c r="Z106" s="1">
        <f t="shared" si="71"/>
        <v>0</v>
      </c>
      <c r="AA106" s="1">
        <f t="shared" si="71"/>
        <v>0</v>
      </c>
      <c r="AB106" s="1">
        <f t="shared" si="71"/>
        <v>0</v>
      </c>
      <c r="AC106" s="1">
        <f t="shared" si="71"/>
        <v>0</v>
      </c>
      <c r="AD106" s="1">
        <f t="shared" si="71"/>
        <v>0</v>
      </c>
      <c r="AE106" s="1">
        <f t="shared" si="71"/>
        <v>0</v>
      </c>
      <c r="AF106" s="1">
        <f t="shared" si="71"/>
        <v>0</v>
      </c>
      <c r="AG106" s="1">
        <f t="shared" si="71"/>
        <v>0</v>
      </c>
      <c r="AH106" s="1">
        <f t="shared" si="71"/>
        <v>0</v>
      </c>
      <c r="AI106" s="1">
        <f t="shared" si="71"/>
        <v>0</v>
      </c>
      <c r="AJ106" s="1">
        <f t="shared" si="71"/>
        <v>0</v>
      </c>
      <c r="AK106" s="1">
        <f t="shared" si="71"/>
        <v>0</v>
      </c>
      <c r="AL106" s="1">
        <f t="shared" si="71"/>
        <v>0</v>
      </c>
      <c r="AM106" s="1">
        <f t="shared" si="71"/>
        <v>0</v>
      </c>
      <c r="AN106" s="1">
        <f t="shared" si="71"/>
        <v>0</v>
      </c>
      <c r="AO106" s="1">
        <f t="shared" si="71"/>
        <v>0</v>
      </c>
      <c r="AP106" s="1">
        <f t="shared" si="71"/>
        <v>0</v>
      </c>
      <c r="AQ106" s="1">
        <f t="shared" si="71"/>
        <v>0</v>
      </c>
      <c r="AR106" s="1">
        <f t="shared" si="71"/>
        <v>0</v>
      </c>
      <c r="AS106" s="1">
        <f t="shared" si="71"/>
        <v>0</v>
      </c>
      <c r="AT106" s="1">
        <f t="shared" si="71"/>
        <v>0</v>
      </c>
      <c r="AU106" s="1">
        <f t="shared" si="71"/>
        <v>0</v>
      </c>
      <c r="AV106" s="1">
        <f t="shared" si="71"/>
        <v>0</v>
      </c>
      <c r="AW106" s="1">
        <f t="shared" si="71"/>
        <v>0</v>
      </c>
      <c r="AX106" s="1">
        <f t="shared" si="71"/>
        <v>0</v>
      </c>
      <c r="AY106" s="1">
        <f t="shared" si="71"/>
        <v>0</v>
      </c>
      <c r="AZ106" s="1">
        <f t="shared" si="71"/>
        <v>0</v>
      </c>
      <c r="BA106" s="1">
        <f t="shared" si="71"/>
        <v>0</v>
      </c>
    </row>
    <row r="107" spans="1:54" ht="15.75" customHeight="1" x14ac:dyDescent="0.35">
      <c r="B107" s="5"/>
      <c r="D107" s="5"/>
      <c r="E107" s="5" t="s">
        <v>142</v>
      </c>
      <c r="F107" s="5"/>
      <c r="G107" s="5"/>
      <c r="H107" s="5"/>
      <c r="I107" s="5"/>
      <c r="J107" s="5"/>
      <c r="K107" s="5"/>
      <c r="N107" s="1">
        <f t="shared" si="60"/>
        <v>0</v>
      </c>
      <c r="Q107" s="1">
        <f t="shared" si="71"/>
        <v>0</v>
      </c>
      <c r="R107" s="1">
        <f t="shared" si="71"/>
        <v>0</v>
      </c>
      <c r="S107" s="1">
        <f t="shared" si="71"/>
        <v>0</v>
      </c>
      <c r="T107" s="1">
        <f t="shared" si="71"/>
        <v>0</v>
      </c>
      <c r="U107" s="1">
        <f t="shared" si="71"/>
        <v>0</v>
      </c>
      <c r="V107" s="1">
        <f t="shared" si="71"/>
        <v>0</v>
      </c>
      <c r="W107" s="1">
        <f t="shared" si="71"/>
        <v>0</v>
      </c>
      <c r="X107" s="1">
        <f t="shared" si="71"/>
        <v>0</v>
      </c>
      <c r="Y107" s="1">
        <f t="shared" si="71"/>
        <v>0</v>
      </c>
      <c r="Z107" s="1">
        <f t="shared" si="71"/>
        <v>0</v>
      </c>
      <c r="AA107" s="1">
        <f t="shared" si="71"/>
        <v>0</v>
      </c>
      <c r="AB107" s="1">
        <f t="shared" si="71"/>
        <v>0</v>
      </c>
      <c r="AC107" s="1">
        <f t="shared" si="71"/>
        <v>0</v>
      </c>
      <c r="AD107" s="1">
        <f t="shared" si="71"/>
        <v>0</v>
      </c>
      <c r="AE107" s="1">
        <f t="shared" si="71"/>
        <v>0</v>
      </c>
      <c r="AF107" s="1">
        <f t="shared" si="71"/>
        <v>0</v>
      </c>
      <c r="AG107" s="1">
        <f t="shared" si="71"/>
        <v>0</v>
      </c>
      <c r="AH107" s="1">
        <f t="shared" si="71"/>
        <v>0</v>
      </c>
      <c r="AI107" s="1">
        <f t="shared" si="71"/>
        <v>0</v>
      </c>
      <c r="AJ107" s="1">
        <f t="shared" si="71"/>
        <v>0</v>
      </c>
      <c r="AK107" s="1">
        <f t="shared" si="71"/>
        <v>0</v>
      </c>
      <c r="AL107" s="1">
        <f t="shared" si="71"/>
        <v>0</v>
      </c>
      <c r="AM107" s="1">
        <f t="shared" si="71"/>
        <v>0</v>
      </c>
      <c r="AN107" s="1">
        <f t="shared" si="71"/>
        <v>0</v>
      </c>
      <c r="AO107" s="1">
        <f t="shared" si="71"/>
        <v>0</v>
      </c>
      <c r="AP107" s="1">
        <f t="shared" si="71"/>
        <v>0</v>
      </c>
      <c r="AQ107" s="1">
        <f t="shared" si="71"/>
        <v>0</v>
      </c>
      <c r="AR107" s="1">
        <f t="shared" si="71"/>
        <v>0</v>
      </c>
      <c r="AS107" s="1">
        <f t="shared" si="71"/>
        <v>0</v>
      </c>
      <c r="AT107" s="1">
        <f t="shared" si="71"/>
        <v>0</v>
      </c>
      <c r="AU107" s="1">
        <f t="shared" si="71"/>
        <v>0</v>
      </c>
      <c r="AV107" s="1">
        <f t="shared" si="71"/>
        <v>0</v>
      </c>
      <c r="AW107" s="1">
        <f t="shared" si="71"/>
        <v>0</v>
      </c>
      <c r="AX107" s="1">
        <f t="shared" si="71"/>
        <v>0</v>
      </c>
      <c r="AY107" s="1">
        <f t="shared" si="71"/>
        <v>0</v>
      </c>
      <c r="AZ107" s="1">
        <f t="shared" si="71"/>
        <v>0</v>
      </c>
      <c r="BA107" s="1">
        <f t="shared" si="71"/>
        <v>0</v>
      </c>
    </row>
    <row r="108" spans="1:54" x14ac:dyDescent="0.35">
      <c r="C108" s="5"/>
    </row>
    <row r="109" spans="1:54" ht="15.75" customHeight="1" thickBot="1" x14ac:dyDescent="0.4">
      <c r="A109" s="44" t="s">
        <v>29</v>
      </c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5"/>
    </row>
    <row r="110" spans="1:54" ht="15" thickTop="1" x14ac:dyDescent="0.35">
      <c r="C110" s="5"/>
    </row>
    <row r="111" spans="1:54" ht="15.75" customHeight="1" x14ac:dyDescent="0.35">
      <c r="B111" s="8" t="s">
        <v>14</v>
      </c>
      <c r="C111" s="9"/>
      <c r="D111" s="9"/>
      <c r="E111" s="9"/>
      <c r="F111" s="9"/>
      <c r="G111" s="9"/>
      <c r="H111" s="9"/>
      <c r="I111" s="9"/>
      <c r="J111" s="9"/>
      <c r="K111" s="9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</row>
    <row r="112" spans="1:54" ht="15.75" customHeight="1" x14ac:dyDescent="0.35">
      <c r="C112" s="5" t="s">
        <v>26</v>
      </c>
      <c r="D112" s="5"/>
      <c r="E112" s="5"/>
      <c r="F112" s="5"/>
      <c r="G112" s="5"/>
      <c r="H112" s="5"/>
      <c r="I112" s="5"/>
      <c r="J112" s="5"/>
      <c r="K112" s="5"/>
      <c r="N112" s="11">
        <f>Q112</f>
        <v>0</v>
      </c>
      <c r="Q112" s="14">
        <v>0</v>
      </c>
      <c r="R112" s="11">
        <f t="shared" ref="R112:BA112" si="72">Q117</f>
        <v>0</v>
      </c>
      <c r="S112" s="11">
        <f t="shared" si="72"/>
        <v>0</v>
      </c>
      <c r="T112" s="11">
        <f t="shared" si="72"/>
        <v>0</v>
      </c>
      <c r="U112" s="11">
        <f t="shared" si="72"/>
        <v>0</v>
      </c>
      <c r="V112" s="11">
        <f t="shared" si="72"/>
        <v>0</v>
      </c>
      <c r="W112" s="11">
        <f t="shared" si="72"/>
        <v>0</v>
      </c>
      <c r="X112" s="11">
        <f t="shared" si="72"/>
        <v>0</v>
      </c>
      <c r="Y112" s="11">
        <f t="shared" si="72"/>
        <v>0</v>
      </c>
      <c r="Z112" s="11">
        <f t="shared" si="72"/>
        <v>0</v>
      </c>
      <c r="AA112" s="11">
        <f t="shared" si="72"/>
        <v>0</v>
      </c>
      <c r="AB112" s="11">
        <f t="shared" si="72"/>
        <v>0</v>
      </c>
      <c r="AC112" s="11">
        <f t="shared" si="72"/>
        <v>0</v>
      </c>
      <c r="AD112" s="11">
        <f t="shared" si="72"/>
        <v>0</v>
      </c>
      <c r="AE112" s="11">
        <f t="shared" si="72"/>
        <v>0</v>
      </c>
      <c r="AF112" s="11">
        <f t="shared" si="72"/>
        <v>0</v>
      </c>
      <c r="AG112" s="11">
        <f t="shared" si="72"/>
        <v>0</v>
      </c>
      <c r="AH112" s="11">
        <f t="shared" si="72"/>
        <v>0</v>
      </c>
      <c r="AI112" s="11">
        <f t="shared" si="72"/>
        <v>0</v>
      </c>
      <c r="AJ112" s="11">
        <f t="shared" si="72"/>
        <v>0</v>
      </c>
      <c r="AK112" s="11">
        <f t="shared" si="72"/>
        <v>0</v>
      </c>
      <c r="AL112" s="11">
        <f t="shared" si="72"/>
        <v>0</v>
      </c>
      <c r="AM112" s="11">
        <f t="shared" si="72"/>
        <v>0</v>
      </c>
      <c r="AN112" s="11">
        <f t="shared" si="72"/>
        <v>0</v>
      </c>
      <c r="AO112" s="11">
        <f t="shared" si="72"/>
        <v>0</v>
      </c>
      <c r="AP112" s="11">
        <f t="shared" si="72"/>
        <v>0</v>
      </c>
      <c r="AQ112" s="11">
        <f t="shared" si="72"/>
        <v>0</v>
      </c>
      <c r="AR112" s="11">
        <f t="shared" si="72"/>
        <v>0</v>
      </c>
      <c r="AS112" s="11">
        <f t="shared" si="72"/>
        <v>0</v>
      </c>
      <c r="AT112" s="11">
        <f t="shared" si="72"/>
        <v>0</v>
      </c>
      <c r="AU112" s="11">
        <f t="shared" si="72"/>
        <v>0</v>
      </c>
      <c r="AV112" s="11">
        <f t="shared" si="72"/>
        <v>0</v>
      </c>
      <c r="AW112" s="11">
        <f t="shared" si="72"/>
        <v>0</v>
      </c>
      <c r="AX112" s="11">
        <f t="shared" si="72"/>
        <v>0</v>
      </c>
      <c r="AY112" s="11">
        <f t="shared" si="72"/>
        <v>0</v>
      </c>
      <c r="AZ112" s="11">
        <f t="shared" si="72"/>
        <v>0</v>
      </c>
      <c r="BA112" s="11">
        <f t="shared" si="72"/>
        <v>0</v>
      </c>
    </row>
    <row r="113" spans="2:53" ht="15.75" customHeight="1" x14ac:dyDescent="0.35">
      <c r="B113" s="5"/>
      <c r="C113" s="5"/>
      <c r="D113" s="5" t="s">
        <v>105</v>
      </c>
      <c r="E113" s="5"/>
      <c r="F113" s="5"/>
      <c r="G113" s="5"/>
      <c r="H113" s="5"/>
      <c r="I113" s="5"/>
      <c r="J113" s="5"/>
      <c r="K113" s="5"/>
      <c r="N113" s="1">
        <f>SUM(Q113:BA113)</f>
        <v>0</v>
      </c>
      <c r="Q113" s="1">
        <f t="shared" ref="Q113:BA113" si="73">Q181</f>
        <v>0</v>
      </c>
      <c r="R113" s="1">
        <f t="shared" si="73"/>
        <v>0</v>
      </c>
      <c r="S113" s="1">
        <f t="shared" si="73"/>
        <v>0</v>
      </c>
      <c r="T113" s="1">
        <f t="shared" si="73"/>
        <v>0</v>
      </c>
      <c r="U113" s="1">
        <f t="shared" si="73"/>
        <v>0</v>
      </c>
      <c r="V113" s="1">
        <f t="shared" si="73"/>
        <v>0</v>
      </c>
      <c r="W113" s="1">
        <f t="shared" si="73"/>
        <v>0</v>
      </c>
      <c r="X113" s="1">
        <f t="shared" si="73"/>
        <v>0</v>
      </c>
      <c r="Y113" s="1">
        <f t="shared" si="73"/>
        <v>0</v>
      </c>
      <c r="Z113" s="1">
        <f t="shared" si="73"/>
        <v>0</v>
      </c>
      <c r="AA113" s="1">
        <f t="shared" si="73"/>
        <v>0</v>
      </c>
      <c r="AB113" s="1">
        <f t="shared" si="73"/>
        <v>0</v>
      </c>
      <c r="AC113" s="1">
        <f t="shared" si="73"/>
        <v>0</v>
      </c>
      <c r="AD113" s="1">
        <f t="shared" si="73"/>
        <v>0</v>
      </c>
      <c r="AE113" s="1">
        <f t="shared" si="73"/>
        <v>0</v>
      </c>
      <c r="AF113" s="1">
        <f t="shared" si="73"/>
        <v>0</v>
      </c>
      <c r="AG113" s="1">
        <f t="shared" si="73"/>
        <v>0</v>
      </c>
      <c r="AH113" s="1">
        <f t="shared" si="73"/>
        <v>0</v>
      </c>
      <c r="AI113" s="1">
        <f t="shared" si="73"/>
        <v>0</v>
      </c>
      <c r="AJ113" s="1">
        <f t="shared" si="73"/>
        <v>0</v>
      </c>
      <c r="AK113" s="1">
        <f t="shared" si="73"/>
        <v>0</v>
      </c>
      <c r="AL113" s="1">
        <f t="shared" si="73"/>
        <v>0</v>
      </c>
      <c r="AM113" s="1">
        <f t="shared" si="73"/>
        <v>0</v>
      </c>
      <c r="AN113" s="1">
        <f t="shared" si="73"/>
        <v>0</v>
      </c>
      <c r="AO113" s="1">
        <f t="shared" si="73"/>
        <v>0</v>
      </c>
      <c r="AP113" s="1">
        <f t="shared" si="73"/>
        <v>0</v>
      </c>
      <c r="AQ113" s="1">
        <f t="shared" si="73"/>
        <v>0</v>
      </c>
      <c r="AR113" s="1">
        <f t="shared" si="73"/>
        <v>0</v>
      </c>
      <c r="AS113" s="1">
        <f t="shared" si="73"/>
        <v>0</v>
      </c>
      <c r="AT113" s="1">
        <f t="shared" si="73"/>
        <v>0</v>
      </c>
      <c r="AU113" s="1">
        <f t="shared" si="73"/>
        <v>0</v>
      </c>
      <c r="AV113" s="1">
        <f t="shared" si="73"/>
        <v>0</v>
      </c>
      <c r="AW113" s="1">
        <f t="shared" si="73"/>
        <v>0</v>
      </c>
      <c r="AX113" s="1">
        <f t="shared" si="73"/>
        <v>0</v>
      </c>
      <c r="AY113" s="1">
        <f t="shared" si="73"/>
        <v>0</v>
      </c>
      <c r="AZ113" s="1">
        <f t="shared" si="73"/>
        <v>0</v>
      </c>
      <c r="BA113" s="1">
        <f t="shared" si="73"/>
        <v>0</v>
      </c>
    </row>
    <row r="114" spans="2:53" ht="15.75" customHeight="1" x14ac:dyDescent="0.35">
      <c r="B114" s="5"/>
      <c r="C114" s="5"/>
      <c r="D114" s="5" t="s">
        <v>46</v>
      </c>
      <c r="E114" s="5"/>
      <c r="F114" s="5"/>
      <c r="G114" s="5"/>
      <c r="H114" s="5"/>
      <c r="I114" s="5"/>
      <c r="J114" s="5"/>
      <c r="K114" s="5"/>
      <c r="N114" s="1">
        <f>SUM(Q114:BA114)</f>
        <v>0</v>
      </c>
      <c r="Q114" s="1">
        <f t="shared" ref="Q114:BA114" si="74">Q21</f>
        <v>0</v>
      </c>
      <c r="R114" s="1">
        <f t="shared" si="74"/>
        <v>0</v>
      </c>
      <c r="S114" s="1">
        <f t="shared" si="74"/>
        <v>0</v>
      </c>
      <c r="T114" s="1">
        <f t="shared" si="74"/>
        <v>0</v>
      </c>
      <c r="U114" s="1">
        <f t="shared" si="74"/>
        <v>0</v>
      </c>
      <c r="V114" s="1">
        <f t="shared" si="74"/>
        <v>0</v>
      </c>
      <c r="W114" s="1">
        <f t="shared" si="74"/>
        <v>0</v>
      </c>
      <c r="X114" s="1">
        <f t="shared" si="74"/>
        <v>0</v>
      </c>
      <c r="Y114" s="1">
        <f t="shared" si="74"/>
        <v>0</v>
      </c>
      <c r="Z114" s="1">
        <f t="shared" si="74"/>
        <v>0</v>
      </c>
      <c r="AA114" s="1">
        <f t="shared" si="74"/>
        <v>0</v>
      </c>
      <c r="AB114" s="1">
        <f t="shared" si="74"/>
        <v>0</v>
      </c>
      <c r="AC114" s="1">
        <f t="shared" si="74"/>
        <v>0</v>
      </c>
      <c r="AD114" s="1">
        <f t="shared" si="74"/>
        <v>0</v>
      </c>
      <c r="AE114" s="1">
        <f t="shared" si="74"/>
        <v>0</v>
      </c>
      <c r="AF114" s="1">
        <f t="shared" si="74"/>
        <v>0</v>
      </c>
      <c r="AG114" s="1">
        <f t="shared" si="74"/>
        <v>0</v>
      </c>
      <c r="AH114" s="1">
        <f t="shared" si="74"/>
        <v>0</v>
      </c>
      <c r="AI114" s="1">
        <f t="shared" si="74"/>
        <v>0</v>
      </c>
      <c r="AJ114" s="1">
        <f t="shared" si="74"/>
        <v>0</v>
      </c>
      <c r="AK114" s="1">
        <f t="shared" si="74"/>
        <v>0</v>
      </c>
      <c r="AL114" s="1">
        <f t="shared" si="74"/>
        <v>0</v>
      </c>
      <c r="AM114" s="1">
        <f t="shared" si="74"/>
        <v>0</v>
      </c>
      <c r="AN114" s="1">
        <f t="shared" si="74"/>
        <v>0</v>
      </c>
      <c r="AO114" s="1">
        <f t="shared" si="74"/>
        <v>0</v>
      </c>
      <c r="AP114" s="1">
        <f t="shared" si="74"/>
        <v>0</v>
      </c>
      <c r="AQ114" s="1">
        <f t="shared" si="74"/>
        <v>0</v>
      </c>
      <c r="AR114" s="1">
        <f t="shared" si="74"/>
        <v>0</v>
      </c>
      <c r="AS114" s="1">
        <f t="shared" si="74"/>
        <v>0</v>
      </c>
      <c r="AT114" s="1">
        <f t="shared" si="74"/>
        <v>0</v>
      </c>
      <c r="AU114" s="1">
        <f t="shared" si="74"/>
        <v>0</v>
      </c>
      <c r="AV114" s="1">
        <f t="shared" si="74"/>
        <v>0</v>
      </c>
      <c r="AW114" s="1">
        <f t="shared" si="74"/>
        <v>0</v>
      </c>
      <c r="AX114" s="1">
        <f t="shared" si="74"/>
        <v>0</v>
      </c>
      <c r="AY114" s="1">
        <f t="shared" si="74"/>
        <v>0</v>
      </c>
      <c r="AZ114" s="1">
        <f t="shared" si="74"/>
        <v>0</v>
      </c>
      <c r="BA114" s="1">
        <f t="shared" si="74"/>
        <v>0</v>
      </c>
    </row>
    <row r="115" spans="2:53" ht="15.75" customHeight="1" x14ac:dyDescent="0.35">
      <c r="B115" s="5"/>
      <c r="C115" s="5"/>
      <c r="D115" s="5" t="s">
        <v>47</v>
      </c>
      <c r="E115" s="5"/>
      <c r="F115" s="5"/>
      <c r="G115" s="5"/>
      <c r="H115" s="5"/>
      <c r="I115" s="5"/>
      <c r="J115" s="5"/>
      <c r="K115" s="5"/>
      <c r="N115" s="1">
        <f>SUM(Q115:BA115)</f>
        <v>0</v>
      </c>
      <c r="Q115" s="1">
        <f t="shared" ref="Q115:BA115" si="75">Q194</f>
        <v>0</v>
      </c>
      <c r="R115" s="1">
        <f t="shared" si="75"/>
        <v>0</v>
      </c>
      <c r="S115" s="1">
        <f t="shared" si="75"/>
        <v>0</v>
      </c>
      <c r="T115" s="1">
        <f t="shared" si="75"/>
        <v>0</v>
      </c>
      <c r="U115" s="1">
        <f t="shared" si="75"/>
        <v>0</v>
      </c>
      <c r="V115" s="1">
        <f t="shared" si="75"/>
        <v>0</v>
      </c>
      <c r="W115" s="1">
        <f t="shared" si="75"/>
        <v>0</v>
      </c>
      <c r="X115" s="1">
        <f t="shared" si="75"/>
        <v>0</v>
      </c>
      <c r="Y115" s="1">
        <f t="shared" si="75"/>
        <v>0</v>
      </c>
      <c r="Z115" s="1">
        <f t="shared" si="75"/>
        <v>0</v>
      </c>
      <c r="AA115" s="1">
        <f t="shared" si="75"/>
        <v>0</v>
      </c>
      <c r="AB115" s="1">
        <f t="shared" si="75"/>
        <v>0</v>
      </c>
      <c r="AC115" s="1">
        <f t="shared" si="75"/>
        <v>0</v>
      </c>
      <c r="AD115" s="1">
        <f t="shared" si="75"/>
        <v>0</v>
      </c>
      <c r="AE115" s="1">
        <f t="shared" si="75"/>
        <v>0</v>
      </c>
      <c r="AF115" s="1">
        <f t="shared" si="75"/>
        <v>0</v>
      </c>
      <c r="AG115" s="1">
        <f t="shared" si="75"/>
        <v>0</v>
      </c>
      <c r="AH115" s="1">
        <f t="shared" si="75"/>
        <v>0</v>
      </c>
      <c r="AI115" s="1">
        <f t="shared" si="75"/>
        <v>0</v>
      </c>
      <c r="AJ115" s="1">
        <f t="shared" si="75"/>
        <v>0</v>
      </c>
      <c r="AK115" s="1">
        <f t="shared" si="75"/>
        <v>0</v>
      </c>
      <c r="AL115" s="1">
        <f t="shared" si="75"/>
        <v>0</v>
      </c>
      <c r="AM115" s="1">
        <f t="shared" si="75"/>
        <v>0</v>
      </c>
      <c r="AN115" s="1">
        <f t="shared" si="75"/>
        <v>0</v>
      </c>
      <c r="AO115" s="1">
        <f t="shared" si="75"/>
        <v>0</v>
      </c>
      <c r="AP115" s="1">
        <f t="shared" si="75"/>
        <v>0</v>
      </c>
      <c r="AQ115" s="1">
        <f t="shared" si="75"/>
        <v>0</v>
      </c>
      <c r="AR115" s="1">
        <f t="shared" si="75"/>
        <v>0</v>
      </c>
      <c r="AS115" s="1">
        <f t="shared" si="75"/>
        <v>0</v>
      </c>
      <c r="AT115" s="1">
        <f t="shared" si="75"/>
        <v>0</v>
      </c>
      <c r="AU115" s="1">
        <f t="shared" si="75"/>
        <v>0</v>
      </c>
      <c r="AV115" s="1">
        <f t="shared" si="75"/>
        <v>0</v>
      </c>
      <c r="AW115" s="1">
        <f t="shared" si="75"/>
        <v>0</v>
      </c>
      <c r="AX115" s="1">
        <f t="shared" si="75"/>
        <v>0</v>
      </c>
      <c r="AY115" s="1">
        <f t="shared" si="75"/>
        <v>0</v>
      </c>
      <c r="AZ115" s="1">
        <f t="shared" si="75"/>
        <v>0</v>
      </c>
      <c r="BA115" s="1">
        <f t="shared" si="75"/>
        <v>0</v>
      </c>
    </row>
    <row r="116" spans="2:53" ht="15.75" customHeight="1" x14ac:dyDescent="0.35">
      <c r="B116" s="5"/>
      <c r="C116" s="5"/>
      <c r="D116" s="5" t="s">
        <v>48</v>
      </c>
      <c r="E116" s="5"/>
      <c r="F116" s="5"/>
      <c r="G116" s="5"/>
      <c r="H116" s="5"/>
      <c r="I116" s="5"/>
      <c r="J116" s="5"/>
      <c r="K116" s="5"/>
      <c r="N116" s="1">
        <f>SUM(Q116:BA116)</f>
        <v>0</v>
      </c>
      <c r="Q116" s="1">
        <f t="shared" ref="Q116:BA116" si="76">Q200</f>
        <v>0</v>
      </c>
      <c r="R116" s="1">
        <f t="shared" si="76"/>
        <v>0</v>
      </c>
      <c r="S116" s="1">
        <f t="shared" si="76"/>
        <v>0</v>
      </c>
      <c r="T116" s="1">
        <f t="shared" si="76"/>
        <v>0</v>
      </c>
      <c r="U116" s="1">
        <f t="shared" si="76"/>
        <v>0</v>
      </c>
      <c r="V116" s="1">
        <f t="shared" si="76"/>
        <v>0</v>
      </c>
      <c r="W116" s="1">
        <f t="shared" si="76"/>
        <v>0</v>
      </c>
      <c r="X116" s="1">
        <f t="shared" si="76"/>
        <v>0</v>
      </c>
      <c r="Y116" s="1">
        <f t="shared" si="76"/>
        <v>0</v>
      </c>
      <c r="Z116" s="1">
        <f t="shared" si="76"/>
        <v>0</v>
      </c>
      <c r="AA116" s="1">
        <f t="shared" si="76"/>
        <v>0</v>
      </c>
      <c r="AB116" s="1">
        <f t="shared" si="76"/>
        <v>0</v>
      </c>
      <c r="AC116" s="1">
        <f t="shared" si="76"/>
        <v>0</v>
      </c>
      <c r="AD116" s="1">
        <f t="shared" si="76"/>
        <v>0</v>
      </c>
      <c r="AE116" s="1">
        <f t="shared" si="76"/>
        <v>0</v>
      </c>
      <c r="AF116" s="1">
        <f t="shared" si="76"/>
        <v>0</v>
      </c>
      <c r="AG116" s="1">
        <f t="shared" si="76"/>
        <v>0</v>
      </c>
      <c r="AH116" s="1">
        <f t="shared" si="76"/>
        <v>0</v>
      </c>
      <c r="AI116" s="1">
        <f t="shared" si="76"/>
        <v>0</v>
      </c>
      <c r="AJ116" s="1">
        <f t="shared" si="76"/>
        <v>0</v>
      </c>
      <c r="AK116" s="1">
        <f t="shared" si="76"/>
        <v>0</v>
      </c>
      <c r="AL116" s="1">
        <f t="shared" si="76"/>
        <v>0</v>
      </c>
      <c r="AM116" s="1">
        <f t="shared" si="76"/>
        <v>0</v>
      </c>
      <c r="AN116" s="1">
        <f t="shared" si="76"/>
        <v>0</v>
      </c>
      <c r="AO116" s="1">
        <f t="shared" si="76"/>
        <v>0</v>
      </c>
      <c r="AP116" s="1">
        <f t="shared" si="76"/>
        <v>0</v>
      </c>
      <c r="AQ116" s="1">
        <f t="shared" si="76"/>
        <v>0</v>
      </c>
      <c r="AR116" s="1">
        <f t="shared" si="76"/>
        <v>0</v>
      </c>
      <c r="AS116" s="1">
        <f t="shared" si="76"/>
        <v>0</v>
      </c>
      <c r="AT116" s="1">
        <f t="shared" si="76"/>
        <v>0</v>
      </c>
      <c r="AU116" s="1">
        <f t="shared" si="76"/>
        <v>0</v>
      </c>
      <c r="AV116" s="1">
        <f t="shared" si="76"/>
        <v>0</v>
      </c>
      <c r="AW116" s="1">
        <f t="shared" si="76"/>
        <v>0</v>
      </c>
      <c r="AX116" s="1">
        <f t="shared" si="76"/>
        <v>0</v>
      </c>
      <c r="AY116" s="1">
        <f t="shared" si="76"/>
        <v>0</v>
      </c>
      <c r="AZ116" s="1">
        <f t="shared" si="76"/>
        <v>0</v>
      </c>
      <c r="BA116" s="1">
        <f t="shared" si="76"/>
        <v>0</v>
      </c>
    </row>
    <row r="117" spans="2:53" ht="15.75" customHeight="1" x14ac:dyDescent="0.35">
      <c r="C117" s="5" t="s">
        <v>27</v>
      </c>
      <c r="D117" s="5"/>
      <c r="E117" s="5"/>
      <c r="F117" s="5"/>
      <c r="G117" s="5"/>
      <c r="H117" s="5"/>
      <c r="I117" s="5"/>
      <c r="J117" s="5"/>
      <c r="K117" s="5"/>
      <c r="N117" s="1">
        <f>BA117</f>
        <v>0</v>
      </c>
      <c r="Q117" s="1">
        <f t="shared" ref="Q117:BA117" si="77">SUM(Q112:Q116)</f>
        <v>0</v>
      </c>
      <c r="R117" s="1">
        <f t="shared" si="77"/>
        <v>0</v>
      </c>
      <c r="S117" s="1">
        <f t="shared" si="77"/>
        <v>0</v>
      </c>
      <c r="T117" s="1">
        <f t="shared" si="77"/>
        <v>0</v>
      </c>
      <c r="U117" s="1">
        <f t="shared" si="77"/>
        <v>0</v>
      </c>
      <c r="V117" s="1">
        <f t="shared" si="77"/>
        <v>0</v>
      </c>
      <c r="W117" s="1">
        <f t="shared" si="77"/>
        <v>0</v>
      </c>
      <c r="X117" s="1">
        <f t="shared" si="77"/>
        <v>0</v>
      </c>
      <c r="Y117" s="1">
        <f t="shared" si="77"/>
        <v>0</v>
      </c>
      <c r="Z117" s="1">
        <f t="shared" si="77"/>
        <v>0</v>
      </c>
      <c r="AA117" s="1">
        <f t="shared" si="77"/>
        <v>0</v>
      </c>
      <c r="AB117" s="1">
        <f t="shared" si="77"/>
        <v>0</v>
      </c>
      <c r="AC117" s="1">
        <f t="shared" si="77"/>
        <v>0</v>
      </c>
      <c r="AD117" s="1">
        <f t="shared" si="77"/>
        <v>0</v>
      </c>
      <c r="AE117" s="1">
        <f t="shared" si="77"/>
        <v>0</v>
      </c>
      <c r="AF117" s="1">
        <f t="shared" si="77"/>
        <v>0</v>
      </c>
      <c r="AG117" s="1">
        <f t="shared" si="77"/>
        <v>0</v>
      </c>
      <c r="AH117" s="1">
        <f t="shared" si="77"/>
        <v>0</v>
      </c>
      <c r="AI117" s="1">
        <f t="shared" si="77"/>
        <v>0</v>
      </c>
      <c r="AJ117" s="1">
        <f t="shared" si="77"/>
        <v>0</v>
      </c>
      <c r="AK117" s="1">
        <f t="shared" si="77"/>
        <v>0</v>
      </c>
      <c r="AL117" s="1">
        <f t="shared" si="77"/>
        <v>0</v>
      </c>
      <c r="AM117" s="1">
        <f t="shared" si="77"/>
        <v>0</v>
      </c>
      <c r="AN117" s="1">
        <f t="shared" si="77"/>
        <v>0</v>
      </c>
      <c r="AO117" s="1">
        <f t="shared" si="77"/>
        <v>0</v>
      </c>
      <c r="AP117" s="1">
        <f t="shared" si="77"/>
        <v>0</v>
      </c>
      <c r="AQ117" s="1">
        <f t="shared" si="77"/>
        <v>0</v>
      </c>
      <c r="AR117" s="1">
        <f t="shared" si="77"/>
        <v>0</v>
      </c>
      <c r="AS117" s="1">
        <f t="shared" si="77"/>
        <v>0</v>
      </c>
      <c r="AT117" s="1">
        <f t="shared" si="77"/>
        <v>0</v>
      </c>
      <c r="AU117" s="1">
        <f t="shared" si="77"/>
        <v>0</v>
      </c>
      <c r="AV117" s="1">
        <f t="shared" si="77"/>
        <v>0</v>
      </c>
      <c r="AW117" s="1">
        <f t="shared" si="77"/>
        <v>0</v>
      </c>
      <c r="AX117" s="1">
        <f t="shared" si="77"/>
        <v>0</v>
      </c>
      <c r="AY117" s="1">
        <f t="shared" si="77"/>
        <v>0</v>
      </c>
      <c r="AZ117" s="1">
        <f t="shared" si="77"/>
        <v>0</v>
      </c>
      <c r="BA117" s="1">
        <f t="shared" si="77"/>
        <v>0</v>
      </c>
    </row>
    <row r="118" spans="2:53" x14ac:dyDescent="0.35">
      <c r="C118" s="5"/>
    </row>
    <row r="119" spans="2:53" ht="17.25" customHeight="1" x14ac:dyDescent="0.35">
      <c r="C119" s="8" t="s">
        <v>118</v>
      </c>
      <c r="D119" s="8"/>
      <c r="E119" s="9"/>
      <c r="F119" s="9"/>
      <c r="G119" s="9"/>
      <c r="H119" s="9"/>
      <c r="I119" s="9"/>
      <c r="J119" s="9"/>
      <c r="K119" s="9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</row>
    <row r="120" spans="2:53" ht="15.75" customHeight="1" x14ac:dyDescent="0.35">
      <c r="D120" s="2" t="s">
        <v>26</v>
      </c>
      <c r="E120" s="5"/>
      <c r="F120" s="5"/>
      <c r="G120" s="5"/>
      <c r="H120" s="5"/>
      <c r="I120" s="5"/>
      <c r="J120" s="5"/>
      <c r="K120" s="5"/>
      <c r="N120" s="11">
        <f>Q120</f>
        <v>0</v>
      </c>
      <c r="Q120" s="14">
        <v>0</v>
      </c>
      <c r="R120" s="11">
        <f t="shared" ref="R120:BA120" si="78">Q130</f>
        <v>0</v>
      </c>
      <c r="S120" s="11">
        <f t="shared" si="78"/>
        <v>0</v>
      </c>
      <c r="T120" s="11">
        <f t="shared" si="78"/>
        <v>0</v>
      </c>
      <c r="U120" s="11">
        <f t="shared" si="78"/>
        <v>0</v>
      </c>
      <c r="V120" s="11">
        <f t="shared" si="78"/>
        <v>0</v>
      </c>
      <c r="W120" s="11">
        <f t="shared" si="78"/>
        <v>0</v>
      </c>
      <c r="X120" s="11">
        <f t="shared" si="78"/>
        <v>0</v>
      </c>
      <c r="Y120" s="11">
        <f t="shared" si="78"/>
        <v>0</v>
      </c>
      <c r="Z120" s="11">
        <f t="shared" si="78"/>
        <v>0</v>
      </c>
      <c r="AA120" s="11">
        <f t="shared" si="78"/>
        <v>0</v>
      </c>
      <c r="AB120" s="11">
        <f t="shared" si="78"/>
        <v>0</v>
      </c>
      <c r="AC120" s="11">
        <f t="shared" si="78"/>
        <v>0</v>
      </c>
      <c r="AD120" s="11">
        <f t="shared" si="78"/>
        <v>0</v>
      </c>
      <c r="AE120" s="11">
        <f t="shared" si="78"/>
        <v>0</v>
      </c>
      <c r="AF120" s="11">
        <f t="shared" si="78"/>
        <v>0</v>
      </c>
      <c r="AG120" s="11">
        <f t="shared" si="78"/>
        <v>0</v>
      </c>
      <c r="AH120" s="11">
        <f t="shared" si="78"/>
        <v>0</v>
      </c>
      <c r="AI120" s="11">
        <f t="shared" si="78"/>
        <v>0</v>
      </c>
      <c r="AJ120" s="11">
        <f t="shared" si="78"/>
        <v>0</v>
      </c>
      <c r="AK120" s="11">
        <f t="shared" si="78"/>
        <v>0</v>
      </c>
      <c r="AL120" s="11">
        <f t="shared" si="78"/>
        <v>0</v>
      </c>
      <c r="AM120" s="11">
        <f t="shared" si="78"/>
        <v>0</v>
      </c>
      <c r="AN120" s="11">
        <f t="shared" si="78"/>
        <v>0</v>
      </c>
      <c r="AO120" s="11">
        <f t="shared" si="78"/>
        <v>0</v>
      </c>
      <c r="AP120" s="11">
        <f t="shared" si="78"/>
        <v>0</v>
      </c>
      <c r="AQ120" s="11">
        <f t="shared" si="78"/>
        <v>0</v>
      </c>
      <c r="AR120" s="11">
        <f t="shared" si="78"/>
        <v>0</v>
      </c>
      <c r="AS120" s="11">
        <f t="shared" si="78"/>
        <v>0</v>
      </c>
      <c r="AT120" s="11">
        <f t="shared" si="78"/>
        <v>0</v>
      </c>
      <c r="AU120" s="11">
        <f t="shared" si="78"/>
        <v>0</v>
      </c>
      <c r="AV120" s="11">
        <f t="shared" si="78"/>
        <v>0</v>
      </c>
      <c r="AW120" s="11">
        <f t="shared" si="78"/>
        <v>0</v>
      </c>
      <c r="AX120" s="11">
        <f t="shared" si="78"/>
        <v>0</v>
      </c>
      <c r="AY120" s="11">
        <f t="shared" si="78"/>
        <v>0</v>
      </c>
      <c r="AZ120" s="11">
        <f t="shared" si="78"/>
        <v>0</v>
      </c>
      <c r="BA120" s="11">
        <f t="shared" si="78"/>
        <v>0</v>
      </c>
    </row>
    <row r="121" spans="2:53" ht="15.75" customHeight="1" x14ac:dyDescent="0.35">
      <c r="E121" s="5" t="s">
        <v>30</v>
      </c>
      <c r="F121" s="5"/>
      <c r="G121" s="5"/>
      <c r="H121" s="5"/>
      <c r="I121" s="5"/>
      <c r="J121" s="5"/>
      <c r="K121" s="5"/>
      <c r="N121" s="1">
        <f t="shared" ref="N121:N129" si="79">SUM(Q121:BA121)</f>
        <v>0</v>
      </c>
      <c r="Q121" s="1">
        <f t="shared" ref="Q121:BA121" si="80">SUM(Q122:Q125)</f>
        <v>0</v>
      </c>
      <c r="R121" s="1">
        <f t="shared" si="80"/>
        <v>0</v>
      </c>
      <c r="S121" s="1">
        <f t="shared" si="80"/>
        <v>0</v>
      </c>
      <c r="T121" s="1">
        <f t="shared" si="80"/>
        <v>0</v>
      </c>
      <c r="U121" s="1">
        <f t="shared" si="80"/>
        <v>0</v>
      </c>
      <c r="V121" s="1">
        <f t="shared" si="80"/>
        <v>0</v>
      </c>
      <c r="W121" s="1">
        <f t="shared" si="80"/>
        <v>0</v>
      </c>
      <c r="X121" s="1">
        <f t="shared" si="80"/>
        <v>0</v>
      </c>
      <c r="Y121" s="1">
        <f t="shared" si="80"/>
        <v>0</v>
      </c>
      <c r="Z121" s="1">
        <f t="shared" si="80"/>
        <v>0</v>
      </c>
      <c r="AA121" s="1">
        <f t="shared" si="80"/>
        <v>0</v>
      </c>
      <c r="AB121" s="1">
        <f t="shared" si="80"/>
        <v>0</v>
      </c>
      <c r="AC121" s="1">
        <f t="shared" si="80"/>
        <v>0</v>
      </c>
      <c r="AD121" s="1">
        <f t="shared" si="80"/>
        <v>0</v>
      </c>
      <c r="AE121" s="1">
        <f t="shared" si="80"/>
        <v>0</v>
      </c>
      <c r="AF121" s="1">
        <f t="shared" si="80"/>
        <v>0</v>
      </c>
      <c r="AG121" s="1">
        <f t="shared" si="80"/>
        <v>0</v>
      </c>
      <c r="AH121" s="1">
        <f t="shared" si="80"/>
        <v>0</v>
      </c>
      <c r="AI121" s="1">
        <f t="shared" si="80"/>
        <v>0</v>
      </c>
      <c r="AJ121" s="1">
        <f t="shared" si="80"/>
        <v>0</v>
      </c>
      <c r="AK121" s="1">
        <f t="shared" si="80"/>
        <v>0</v>
      </c>
      <c r="AL121" s="1">
        <f t="shared" si="80"/>
        <v>0</v>
      </c>
      <c r="AM121" s="1">
        <f t="shared" si="80"/>
        <v>0</v>
      </c>
      <c r="AN121" s="1">
        <f t="shared" si="80"/>
        <v>0</v>
      </c>
      <c r="AO121" s="1">
        <f t="shared" si="80"/>
        <v>0</v>
      </c>
      <c r="AP121" s="1">
        <f t="shared" si="80"/>
        <v>0</v>
      </c>
      <c r="AQ121" s="1">
        <f t="shared" si="80"/>
        <v>0</v>
      </c>
      <c r="AR121" s="1">
        <f t="shared" si="80"/>
        <v>0</v>
      </c>
      <c r="AS121" s="1">
        <f t="shared" si="80"/>
        <v>0</v>
      </c>
      <c r="AT121" s="1">
        <f t="shared" si="80"/>
        <v>0</v>
      </c>
      <c r="AU121" s="1">
        <f t="shared" si="80"/>
        <v>0</v>
      </c>
      <c r="AV121" s="1">
        <f t="shared" si="80"/>
        <v>0</v>
      </c>
      <c r="AW121" s="1">
        <f t="shared" si="80"/>
        <v>0</v>
      </c>
      <c r="AX121" s="1">
        <f t="shared" si="80"/>
        <v>0</v>
      </c>
      <c r="AY121" s="1">
        <f t="shared" si="80"/>
        <v>0</v>
      </c>
      <c r="AZ121" s="1">
        <f t="shared" si="80"/>
        <v>0</v>
      </c>
      <c r="BA121" s="1">
        <f t="shared" si="80"/>
        <v>0</v>
      </c>
    </row>
    <row r="122" spans="2:53" ht="15.75" customHeight="1" x14ac:dyDescent="0.35">
      <c r="F122" s="5" t="s">
        <v>67</v>
      </c>
      <c r="G122" s="5"/>
      <c r="H122" s="5"/>
      <c r="I122" s="5"/>
      <c r="J122" s="5"/>
      <c r="K122" s="5"/>
      <c r="N122" s="1">
        <f t="shared" si="79"/>
        <v>0</v>
      </c>
      <c r="Q122" s="1">
        <f t="shared" ref="Q122:BA122" si="81">Q183</f>
        <v>0</v>
      </c>
      <c r="R122" s="1">
        <f t="shared" si="81"/>
        <v>0</v>
      </c>
      <c r="S122" s="1">
        <f t="shared" si="81"/>
        <v>0</v>
      </c>
      <c r="T122" s="1">
        <f t="shared" si="81"/>
        <v>0</v>
      </c>
      <c r="U122" s="1">
        <f t="shared" si="81"/>
        <v>0</v>
      </c>
      <c r="V122" s="1">
        <f t="shared" si="81"/>
        <v>0</v>
      </c>
      <c r="W122" s="1">
        <f t="shared" si="81"/>
        <v>0</v>
      </c>
      <c r="X122" s="1">
        <f t="shared" si="81"/>
        <v>0</v>
      </c>
      <c r="Y122" s="1">
        <f t="shared" si="81"/>
        <v>0</v>
      </c>
      <c r="Z122" s="1">
        <f t="shared" si="81"/>
        <v>0</v>
      </c>
      <c r="AA122" s="1">
        <f t="shared" si="81"/>
        <v>0</v>
      </c>
      <c r="AB122" s="1">
        <f t="shared" si="81"/>
        <v>0</v>
      </c>
      <c r="AC122" s="1">
        <f t="shared" si="81"/>
        <v>0</v>
      </c>
      <c r="AD122" s="1">
        <f t="shared" si="81"/>
        <v>0</v>
      </c>
      <c r="AE122" s="1">
        <f t="shared" si="81"/>
        <v>0</v>
      </c>
      <c r="AF122" s="1">
        <f t="shared" si="81"/>
        <v>0</v>
      </c>
      <c r="AG122" s="1">
        <f t="shared" si="81"/>
        <v>0</v>
      </c>
      <c r="AH122" s="1">
        <f t="shared" si="81"/>
        <v>0</v>
      </c>
      <c r="AI122" s="1">
        <f t="shared" si="81"/>
        <v>0</v>
      </c>
      <c r="AJ122" s="1">
        <f t="shared" si="81"/>
        <v>0</v>
      </c>
      <c r="AK122" s="1">
        <f t="shared" si="81"/>
        <v>0</v>
      </c>
      <c r="AL122" s="1">
        <f t="shared" si="81"/>
        <v>0</v>
      </c>
      <c r="AM122" s="1">
        <f t="shared" si="81"/>
        <v>0</v>
      </c>
      <c r="AN122" s="1">
        <f t="shared" si="81"/>
        <v>0</v>
      </c>
      <c r="AO122" s="1">
        <f t="shared" si="81"/>
        <v>0</v>
      </c>
      <c r="AP122" s="1">
        <f t="shared" si="81"/>
        <v>0</v>
      </c>
      <c r="AQ122" s="1">
        <f t="shared" si="81"/>
        <v>0</v>
      </c>
      <c r="AR122" s="1">
        <f t="shared" si="81"/>
        <v>0</v>
      </c>
      <c r="AS122" s="1">
        <f t="shared" si="81"/>
        <v>0</v>
      </c>
      <c r="AT122" s="1">
        <f t="shared" si="81"/>
        <v>0</v>
      </c>
      <c r="AU122" s="1">
        <f t="shared" si="81"/>
        <v>0</v>
      </c>
      <c r="AV122" s="1">
        <f t="shared" si="81"/>
        <v>0</v>
      </c>
      <c r="AW122" s="1">
        <f t="shared" si="81"/>
        <v>0</v>
      </c>
      <c r="AX122" s="1">
        <f t="shared" si="81"/>
        <v>0</v>
      </c>
      <c r="AY122" s="1">
        <f t="shared" si="81"/>
        <v>0</v>
      </c>
      <c r="AZ122" s="1">
        <f t="shared" si="81"/>
        <v>0</v>
      </c>
      <c r="BA122" s="1">
        <f t="shared" si="81"/>
        <v>0</v>
      </c>
    </row>
    <row r="123" spans="2:53" ht="15.75" customHeight="1" x14ac:dyDescent="0.35">
      <c r="F123" s="5" t="s">
        <v>71</v>
      </c>
      <c r="G123" s="5"/>
      <c r="H123" s="5"/>
      <c r="I123" s="5"/>
      <c r="J123" s="5"/>
      <c r="K123" s="5"/>
      <c r="N123" s="1">
        <f t="shared" si="79"/>
        <v>0</v>
      </c>
      <c r="Q123" s="1">
        <f>SUM($Q$175:$BA$175)*'zakładka techniczna'!$N$20*'zakładka techniczna'!$N$25*OPp.w2</f>
        <v>0</v>
      </c>
      <c r="R123" s="1">
        <f>SUM($Q$175:$BA$175)*'zakładka techniczna'!$N$20*'zakładka techniczna'!$N$25*OPp.w2</f>
        <v>0</v>
      </c>
      <c r="S123" s="1">
        <f>SUM($Q$175:$BA$175)*'zakładka techniczna'!$N$20*'zakładka techniczna'!$N$25*OPp.w2</f>
        <v>0</v>
      </c>
      <c r="T123" s="1">
        <f>SUM($Q$175:$BA$175)*'zakładka techniczna'!$N$20*'zakładka techniczna'!$N$25*OPp.w2</f>
        <v>0</v>
      </c>
      <c r="U123" s="1">
        <f>SUM($Q$175:$BA$175)*'zakładka techniczna'!$N$20*'zakładka techniczna'!$N$25*OPp.w2</f>
        <v>0</v>
      </c>
      <c r="V123" s="1">
        <f>SUM($Q$175:$BA$175)*'zakładka techniczna'!$N$20*'zakładka techniczna'!$N$25*OPp.w2</f>
        <v>0</v>
      </c>
      <c r="W123" s="1">
        <f>SUM($Q$175:$BA$175)*'zakładka techniczna'!$N$20*'zakładka techniczna'!$N$25*OPp.w2</f>
        <v>0</v>
      </c>
      <c r="X123" s="1">
        <f>SUM($Q$175:$BA$175)*'zakładka techniczna'!$N$20*'zakładka techniczna'!$N$25*OPp.w2</f>
        <v>0</v>
      </c>
      <c r="Y123" s="1">
        <f>SUM($Q$175:$BA$175)*'zakładka techniczna'!$N$20*'zakładka techniczna'!$N$25*OPp.w2</f>
        <v>0</v>
      </c>
      <c r="Z123" s="1">
        <f>SUM($Q$175:$BA$175)*'zakładka techniczna'!$N$20*'zakładka techniczna'!$N$25*OPp.w2</f>
        <v>0</v>
      </c>
      <c r="AA123" s="1">
        <f>SUM($Q$175:$BA$175)*'zakładka techniczna'!$N$20*'zakładka techniczna'!$N$25*OPp.w2</f>
        <v>0</v>
      </c>
      <c r="AB123" s="1">
        <f>SUM($Q$175:$BA$175)*'zakładka techniczna'!$N$20*'zakładka techniczna'!$N$25*OPp.w2</f>
        <v>0</v>
      </c>
      <c r="AC123" s="1">
        <f>SUM($Q$175:$BA$175)*'zakładka techniczna'!$N$20*'zakładka techniczna'!$N$25*OPp.w2</f>
        <v>0</v>
      </c>
      <c r="AD123" s="1">
        <f>SUM($Q$175:$BA$175)*'zakładka techniczna'!$N$20*'zakładka techniczna'!$N$25*OPp.w2</f>
        <v>0</v>
      </c>
      <c r="AE123" s="1">
        <f>SUM($Q$175:$BA$175)*'zakładka techniczna'!$N$20*'zakładka techniczna'!$N$25*OPp.w2</f>
        <v>0</v>
      </c>
      <c r="AF123" s="1">
        <f>SUM($Q$175:$BA$175)*'zakładka techniczna'!$N$20*'zakładka techniczna'!$N$25*OPp.w2</f>
        <v>0</v>
      </c>
      <c r="AG123" s="1">
        <f>SUM($Q$175:$BA$175)*'zakładka techniczna'!$N$20*'zakładka techniczna'!$N$25*OPp.w2</f>
        <v>0</v>
      </c>
      <c r="AH123" s="1">
        <f>SUM($Q$175:$BA$175)*'zakładka techniczna'!$N$20*'zakładka techniczna'!$N$25*OPp.w2</f>
        <v>0</v>
      </c>
      <c r="AI123" s="1">
        <f>SUM($Q$175:$BA$175)*'zakładka techniczna'!$N$20*'zakładka techniczna'!$N$25*OPp.w2</f>
        <v>0</v>
      </c>
      <c r="AJ123" s="1">
        <f>SUM($Q$175:$BA$175)*'zakładka techniczna'!$N$20*'zakładka techniczna'!$N$25*OPp.w2</f>
        <v>0</v>
      </c>
      <c r="AK123" s="1">
        <f>SUM($Q$175:$BA$175)*'zakładka techniczna'!$N$20*'zakładka techniczna'!$N$25*OPp.w2</f>
        <v>0</v>
      </c>
      <c r="AL123" s="1">
        <f>SUM($Q$175:$BA$175)*'zakładka techniczna'!$N$20*'zakładka techniczna'!$N$25*OPp.w2</f>
        <v>0</v>
      </c>
      <c r="AM123" s="1">
        <f>SUM($Q$175:$BA$175)*'zakładka techniczna'!$N$20*'zakładka techniczna'!$N$25*OPp.w2</f>
        <v>0</v>
      </c>
      <c r="AN123" s="1">
        <f>SUM($Q$175:$BA$175)*'zakładka techniczna'!$N$20*'zakładka techniczna'!$N$25*OPp.w2</f>
        <v>0</v>
      </c>
      <c r="AO123" s="1">
        <f>SUM($Q$175:$BA$175)*'zakładka techniczna'!$N$20*'zakładka techniczna'!$N$25*OPp.w2</f>
        <v>0</v>
      </c>
      <c r="AP123" s="1">
        <f>SUM($Q$175:$BA$175)*'zakładka techniczna'!$N$20*'zakładka techniczna'!$N$25*OPp.w2</f>
        <v>0</v>
      </c>
      <c r="AQ123" s="1">
        <f>SUM($Q$175:$BA$175)*'zakładka techniczna'!$N$20*'zakładka techniczna'!$N$25*OPp.w2</f>
        <v>0</v>
      </c>
      <c r="AR123" s="1">
        <f>SUM($Q$175:$BA$175)*'zakładka techniczna'!$N$20*'zakładka techniczna'!$N$25*OPp.w2</f>
        <v>0</v>
      </c>
      <c r="AS123" s="1">
        <f>SUM($Q$175:$BA$175)*'zakładka techniczna'!$N$20*'zakładka techniczna'!$N$25*OPp.w2</f>
        <v>0</v>
      </c>
      <c r="AT123" s="1">
        <f>SUM($Q$175:$BA$175)*'zakładka techniczna'!$N$20*'zakładka techniczna'!$N$25*OPp.w2</f>
        <v>0</v>
      </c>
      <c r="AU123" s="1">
        <f>SUM($Q$175:$BA$175)*'zakładka techniczna'!$N$20*'zakładka techniczna'!$N$25*OPp.w2</f>
        <v>0</v>
      </c>
      <c r="AV123" s="1">
        <f>SUM($Q$175:$BA$175)*'zakładka techniczna'!$N$20*'zakładka techniczna'!$N$25*OPp.w2</f>
        <v>0</v>
      </c>
      <c r="AW123" s="1">
        <f>SUM($Q$175:$BA$175)*'zakładka techniczna'!$N$20*'zakładka techniczna'!$N$25*OPp.w2</f>
        <v>0</v>
      </c>
      <c r="AX123" s="1">
        <f>SUM($Q$175:$BA$175)*'zakładka techniczna'!$N$20*'zakładka techniczna'!$N$25*OPp.w2</f>
        <v>0</v>
      </c>
      <c r="AY123" s="1">
        <f>SUM($Q$175:$BA$175)*'zakładka techniczna'!$N$20*'zakładka techniczna'!$N$25*OPp.w2</f>
        <v>0</v>
      </c>
      <c r="AZ123" s="1">
        <f>SUM($Q$175:$BA$175)*'zakładka techniczna'!$N$20*'zakładka techniczna'!$N$25*OPp.w2</f>
        <v>0</v>
      </c>
      <c r="BA123" s="1">
        <f>SUM($Q$175:$BA$175)*'zakładka techniczna'!$N$20*'zakładka techniczna'!$N$25*OPp.w2</f>
        <v>0</v>
      </c>
    </row>
    <row r="124" spans="2:53" ht="15.75" customHeight="1" x14ac:dyDescent="0.35">
      <c r="F124" s="5" t="s">
        <v>70</v>
      </c>
      <c r="G124" s="5"/>
      <c r="H124" s="5"/>
      <c r="I124" s="5"/>
      <c r="J124" s="5"/>
      <c r="K124" s="5"/>
      <c r="N124" s="1">
        <f t="shared" si="79"/>
        <v>0</v>
      </c>
      <c r="Q124" s="1">
        <f t="shared" ref="Q124:BA124" si="82">SUM(Q120,Q122)*SUM(Q133:Q134)*(OBt.w2+OPt.w2)</f>
        <v>0</v>
      </c>
      <c r="R124" s="1">
        <f t="shared" si="82"/>
        <v>0</v>
      </c>
      <c r="S124" s="1">
        <f t="shared" si="82"/>
        <v>0</v>
      </c>
      <c r="T124" s="1">
        <f t="shared" si="82"/>
        <v>0</v>
      </c>
      <c r="U124" s="1">
        <f t="shared" si="82"/>
        <v>0</v>
      </c>
      <c r="V124" s="1">
        <f t="shared" si="82"/>
        <v>0</v>
      </c>
      <c r="W124" s="1">
        <f t="shared" si="82"/>
        <v>0</v>
      </c>
      <c r="X124" s="1">
        <f t="shared" si="82"/>
        <v>0</v>
      </c>
      <c r="Y124" s="1">
        <f t="shared" si="82"/>
        <v>0</v>
      </c>
      <c r="Z124" s="1">
        <f t="shared" si="82"/>
        <v>0</v>
      </c>
      <c r="AA124" s="1">
        <f t="shared" si="82"/>
        <v>0</v>
      </c>
      <c r="AB124" s="1">
        <f t="shared" si="82"/>
        <v>0</v>
      </c>
      <c r="AC124" s="1">
        <f t="shared" si="82"/>
        <v>0</v>
      </c>
      <c r="AD124" s="1">
        <f t="shared" si="82"/>
        <v>0</v>
      </c>
      <c r="AE124" s="1">
        <f t="shared" si="82"/>
        <v>0</v>
      </c>
      <c r="AF124" s="1">
        <f t="shared" si="82"/>
        <v>0</v>
      </c>
      <c r="AG124" s="1">
        <f t="shared" si="82"/>
        <v>0</v>
      </c>
      <c r="AH124" s="1">
        <f t="shared" si="82"/>
        <v>0</v>
      </c>
      <c r="AI124" s="1">
        <f t="shared" si="82"/>
        <v>0</v>
      </c>
      <c r="AJ124" s="1">
        <f t="shared" si="82"/>
        <v>0</v>
      </c>
      <c r="AK124" s="1">
        <f t="shared" si="82"/>
        <v>0</v>
      </c>
      <c r="AL124" s="1">
        <f t="shared" si="82"/>
        <v>0</v>
      </c>
      <c r="AM124" s="1">
        <f t="shared" si="82"/>
        <v>0</v>
      </c>
      <c r="AN124" s="1">
        <f t="shared" si="82"/>
        <v>0</v>
      </c>
      <c r="AO124" s="1">
        <f t="shared" si="82"/>
        <v>0</v>
      </c>
      <c r="AP124" s="1">
        <f t="shared" si="82"/>
        <v>0</v>
      </c>
      <c r="AQ124" s="1">
        <f t="shared" si="82"/>
        <v>0</v>
      </c>
      <c r="AR124" s="1">
        <f t="shared" si="82"/>
        <v>0</v>
      </c>
      <c r="AS124" s="1">
        <f t="shared" si="82"/>
        <v>0</v>
      </c>
      <c r="AT124" s="1">
        <f t="shared" si="82"/>
        <v>0</v>
      </c>
      <c r="AU124" s="1">
        <f t="shared" si="82"/>
        <v>0</v>
      </c>
      <c r="AV124" s="1">
        <f t="shared" si="82"/>
        <v>0</v>
      </c>
      <c r="AW124" s="1">
        <f t="shared" si="82"/>
        <v>0</v>
      </c>
      <c r="AX124" s="1">
        <f t="shared" si="82"/>
        <v>0</v>
      </c>
      <c r="AY124" s="1">
        <f t="shared" si="82"/>
        <v>0</v>
      </c>
      <c r="AZ124" s="1">
        <f t="shared" si="82"/>
        <v>0</v>
      </c>
      <c r="BA124" s="1">
        <f t="shared" si="82"/>
        <v>0</v>
      </c>
    </row>
    <row r="125" spans="2:53" ht="15.75" customHeight="1" x14ac:dyDescent="0.35">
      <c r="F125" s="5" t="s">
        <v>28</v>
      </c>
      <c r="G125" s="5"/>
      <c r="H125" s="5"/>
      <c r="I125" s="5"/>
      <c r="J125" s="5"/>
      <c r="K125" s="5"/>
      <c r="N125" s="1">
        <f t="shared" si="79"/>
        <v>0</v>
      </c>
      <c r="Q125" s="1">
        <f t="shared" ref="Q125:Y125" si="83">Q171</f>
        <v>0</v>
      </c>
      <c r="R125" s="1">
        <f t="shared" si="83"/>
        <v>0</v>
      </c>
      <c r="S125" s="1">
        <f t="shared" si="83"/>
        <v>0</v>
      </c>
      <c r="T125" s="1">
        <f t="shared" si="83"/>
        <v>0</v>
      </c>
      <c r="U125" s="1">
        <f t="shared" si="83"/>
        <v>0</v>
      </c>
      <c r="V125" s="1">
        <f t="shared" si="83"/>
        <v>0</v>
      </c>
      <c r="W125" s="1">
        <f t="shared" si="83"/>
        <v>0</v>
      </c>
      <c r="X125" s="1">
        <f t="shared" si="83"/>
        <v>0</v>
      </c>
      <c r="Y125" s="1">
        <f t="shared" si="83"/>
        <v>0</v>
      </c>
      <c r="Z125" s="1">
        <f>Z171</f>
        <v>0</v>
      </c>
      <c r="AA125" s="1">
        <f t="shared" ref="AA125:BA125" si="84">AA171</f>
        <v>0</v>
      </c>
      <c r="AB125" s="1">
        <f t="shared" si="84"/>
        <v>0</v>
      </c>
      <c r="AC125" s="1">
        <f t="shared" si="84"/>
        <v>0</v>
      </c>
      <c r="AD125" s="1">
        <f t="shared" si="84"/>
        <v>0</v>
      </c>
      <c r="AE125" s="1">
        <f t="shared" si="84"/>
        <v>0</v>
      </c>
      <c r="AF125" s="1">
        <f t="shared" si="84"/>
        <v>0</v>
      </c>
      <c r="AG125" s="1">
        <f t="shared" si="84"/>
        <v>0</v>
      </c>
      <c r="AH125" s="1">
        <f t="shared" si="84"/>
        <v>0</v>
      </c>
      <c r="AI125" s="1">
        <f t="shared" si="84"/>
        <v>0</v>
      </c>
      <c r="AJ125" s="1">
        <f t="shared" si="84"/>
        <v>0</v>
      </c>
      <c r="AK125" s="1">
        <f t="shared" si="84"/>
        <v>0</v>
      </c>
      <c r="AL125" s="1">
        <f t="shared" si="84"/>
        <v>0</v>
      </c>
      <c r="AM125" s="1">
        <f t="shared" si="84"/>
        <v>0</v>
      </c>
      <c r="AN125" s="1">
        <f t="shared" si="84"/>
        <v>0</v>
      </c>
      <c r="AO125" s="1">
        <f t="shared" si="84"/>
        <v>0</v>
      </c>
      <c r="AP125" s="1">
        <f t="shared" si="84"/>
        <v>0</v>
      </c>
      <c r="AQ125" s="1">
        <f t="shared" si="84"/>
        <v>0</v>
      </c>
      <c r="AR125" s="1">
        <f t="shared" si="84"/>
        <v>0</v>
      </c>
      <c r="AS125" s="1">
        <f t="shared" si="84"/>
        <v>0</v>
      </c>
      <c r="AT125" s="1">
        <f t="shared" si="84"/>
        <v>0</v>
      </c>
      <c r="AU125" s="1">
        <f t="shared" si="84"/>
        <v>0</v>
      </c>
      <c r="AV125" s="1">
        <f t="shared" si="84"/>
        <v>0</v>
      </c>
      <c r="AW125" s="1">
        <f t="shared" si="84"/>
        <v>0</v>
      </c>
      <c r="AX125" s="1">
        <f t="shared" si="84"/>
        <v>0</v>
      </c>
      <c r="AY125" s="1">
        <f t="shared" si="84"/>
        <v>0</v>
      </c>
      <c r="AZ125" s="1">
        <f t="shared" si="84"/>
        <v>0</v>
      </c>
      <c r="BA125" s="1">
        <f t="shared" si="84"/>
        <v>0</v>
      </c>
    </row>
    <row r="126" spans="2:53" ht="15.75" customHeight="1" x14ac:dyDescent="0.35">
      <c r="E126" s="5" t="s">
        <v>31</v>
      </c>
      <c r="F126" s="5"/>
      <c r="G126" s="5"/>
      <c r="H126" s="5"/>
      <c r="I126" s="5"/>
      <c r="J126" s="5"/>
      <c r="K126" s="5"/>
      <c r="N126" s="1">
        <f t="shared" si="79"/>
        <v>0</v>
      </c>
      <c r="Q126" s="1">
        <f t="shared" ref="Q126:BA126" si="85">SUM(Q127:Q129)</f>
        <v>0</v>
      </c>
      <c r="R126" s="1">
        <f t="shared" si="85"/>
        <v>0</v>
      </c>
      <c r="S126" s="1">
        <f t="shared" si="85"/>
        <v>0</v>
      </c>
      <c r="T126" s="1">
        <f t="shared" si="85"/>
        <v>0</v>
      </c>
      <c r="U126" s="1">
        <f t="shared" si="85"/>
        <v>0</v>
      </c>
      <c r="V126" s="1">
        <f t="shared" si="85"/>
        <v>0</v>
      </c>
      <c r="W126" s="1">
        <f t="shared" si="85"/>
        <v>0</v>
      </c>
      <c r="X126" s="1">
        <f t="shared" si="85"/>
        <v>0</v>
      </c>
      <c r="Y126" s="1">
        <f t="shared" si="85"/>
        <v>0</v>
      </c>
      <c r="Z126" s="1">
        <f t="shared" si="85"/>
        <v>0</v>
      </c>
      <c r="AA126" s="1">
        <f t="shared" si="85"/>
        <v>0</v>
      </c>
      <c r="AB126" s="1">
        <f t="shared" si="85"/>
        <v>0</v>
      </c>
      <c r="AC126" s="1">
        <f t="shared" si="85"/>
        <v>0</v>
      </c>
      <c r="AD126" s="1">
        <f t="shared" si="85"/>
        <v>0</v>
      </c>
      <c r="AE126" s="1">
        <f t="shared" si="85"/>
        <v>0</v>
      </c>
      <c r="AF126" s="1">
        <f t="shared" si="85"/>
        <v>0</v>
      </c>
      <c r="AG126" s="1">
        <f t="shared" si="85"/>
        <v>0</v>
      </c>
      <c r="AH126" s="1">
        <f t="shared" si="85"/>
        <v>0</v>
      </c>
      <c r="AI126" s="1">
        <f t="shared" si="85"/>
        <v>0</v>
      </c>
      <c r="AJ126" s="1">
        <f t="shared" si="85"/>
        <v>0</v>
      </c>
      <c r="AK126" s="1">
        <f t="shared" si="85"/>
        <v>0</v>
      </c>
      <c r="AL126" s="1">
        <f t="shared" si="85"/>
        <v>0</v>
      </c>
      <c r="AM126" s="1">
        <f t="shared" si="85"/>
        <v>0</v>
      </c>
      <c r="AN126" s="1">
        <f t="shared" si="85"/>
        <v>0</v>
      </c>
      <c r="AO126" s="1">
        <f t="shared" si="85"/>
        <v>0</v>
      </c>
      <c r="AP126" s="1">
        <f t="shared" si="85"/>
        <v>0</v>
      </c>
      <c r="AQ126" s="1">
        <f t="shared" si="85"/>
        <v>0</v>
      </c>
      <c r="AR126" s="1">
        <f t="shared" si="85"/>
        <v>0</v>
      </c>
      <c r="AS126" s="1">
        <f t="shared" si="85"/>
        <v>0</v>
      </c>
      <c r="AT126" s="1">
        <f t="shared" si="85"/>
        <v>0</v>
      </c>
      <c r="AU126" s="1">
        <f t="shared" si="85"/>
        <v>0</v>
      </c>
      <c r="AV126" s="1">
        <f t="shared" si="85"/>
        <v>0</v>
      </c>
      <c r="AW126" s="1">
        <f t="shared" si="85"/>
        <v>0</v>
      </c>
      <c r="AX126" s="1">
        <f t="shared" si="85"/>
        <v>0</v>
      </c>
      <c r="AY126" s="1">
        <f t="shared" si="85"/>
        <v>0</v>
      </c>
      <c r="AZ126" s="1">
        <f t="shared" si="85"/>
        <v>0</v>
      </c>
      <c r="BA126" s="1">
        <f t="shared" si="85"/>
        <v>0</v>
      </c>
    </row>
    <row r="127" spans="2:53" ht="15.75" customHeight="1" x14ac:dyDescent="0.35">
      <c r="E127" s="5"/>
      <c r="F127" s="5" t="s">
        <v>125</v>
      </c>
      <c r="G127" s="5"/>
      <c r="H127" s="5"/>
      <c r="I127" s="5"/>
      <c r="J127" s="5"/>
      <c r="K127" s="5"/>
      <c r="N127" s="1">
        <f t="shared" si="79"/>
        <v>0</v>
      </c>
      <c r="Q127" s="1">
        <f>-SUM(Założenia!$M$167:$M$168)*OEp.w2</f>
        <v>0</v>
      </c>
      <c r="R127" s="1">
        <f>-SUM(Założenia!$M$167:$M$168)*OEp.w2</f>
        <v>0</v>
      </c>
      <c r="S127" s="1">
        <f>-SUM(Założenia!$M$167:$M$168)*OEp.w2</f>
        <v>0</v>
      </c>
      <c r="T127" s="1">
        <f>-SUM(Założenia!$M$167:$M$168)*OEp.w2</f>
        <v>0</v>
      </c>
      <c r="U127" s="1">
        <f>-SUM(Założenia!$M$167:$M$168)*OEp.w2</f>
        <v>0</v>
      </c>
      <c r="V127" s="1">
        <f>-SUM(Założenia!$M$167:$M$168)*OEp.w2</f>
        <v>0</v>
      </c>
      <c r="W127" s="1">
        <f>-SUM(Założenia!$M$167:$M$168)*OEp.w2</f>
        <v>0</v>
      </c>
      <c r="X127" s="1">
        <f>-SUM(Założenia!$M$167:$M$168)*OEp.w2</f>
        <v>0</v>
      </c>
      <c r="Y127" s="1">
        <f>-SUM(Założenia!$M$167:$M$168)*OEp.w2</f>
        <v>0</v>
      </c>
      <c r="Z127" s="1">
        <f>-SUM(Założenia!$M$167:$M$168)*OEp.w2</f>
        <v>0</v>
      </c>
      <c r="AA127" s="1">
        <f>-SUM(Założenia!$M$167:$M$168)*OEp.w2</f>
        <v>0</v>
      </c>
      <c r="AB127" s="1">
        <f>-SUM(Założenia!$M$167:$M$168)*OEp.w2</f>
        <v>0</v>
      </c>
      <c r="AC127" s="1">
        <f>-SUM(Założenia!$M$167:$M$168)*OEp.w2</f>
        <v>0</v>
      </c>
      <c r="AD127" s="1">
        <f>-SUM(Założenia!$M$167:$M$168)*OEp.w2</f>
        <v>0</v>
      </c>
      <c r="AE127" s="1">
        <f>-SUM(Założenia!$M$167:$M$168)*OEp.w2</f>
        <v>0</v>
      </c>
      <c r="AF127" s="1">
        <f>-SUM(Założenia!$M$167:$M$168)*OEp.w2</f>
        <v>0</v>
      </c>
      <c r="AG127" s="1">
        <f>-SUM(Założenia!$M$167:$M$168)*OEp.w2</f>
        <v>0</v>
      </c>
      <c r="AH127" s="1">
        <f>-SUM(Założenia!$M$167:$M$168)*OEp.w2</f>
        <v>0</v>
      </c>
      <c r="AI127" s="1">
        <f>-SUM(Założenia!$M$167:$M$168)*OEp.w2</f>
        <v>0</v>
      </c>
      <c r="AJ127" s="1">
        <f>-SUM(Założenia!$M$167:$M$168)*OEp.w2</f>
        <v>0</v>
      </c>
      <c r="AK127" s="1">
        <f>-SUM(Założenia!$M$167:$M$168)*OEp.w2</f>
        <v>0</v>
      </c>
      <c r="AL127" s="1">
        <f>-SUM(Założenia!$M$167:$M$168)*OEp.w2</f>
        <v>0</v>
      </c>
      <c r="AM127" s="1">
        <f>-SUM(Założenia!$M$167:$M$168)*OEp.w2</f>
        <v>0</v>
      </c>
      <c r="AN127" s="1">
        <f>-SUM(Założenia!$M$167:$M$168)*OEp.w2</f>
        <v>0</v>
      </c>
      <c r="AO127" s="1">
        <f>-SUM(Założenia!$M$167:$M$168)*OEp.w2</f>
        <v>0</v>
      </c>
      <c r="AP127" s="1">
        <f>-SUM(Założenia!$M$167:$M$168)*OEp.w2</f>
        <v>0</v>
      </c>
      <c r="AQ127" s="1">
        <f>-SUM(Założenia!$M$167:$M$168)*OEp.w2</f>
        <v>0</v>
      </c>
      <c r="AR127" s="1">
        <f>-SUM(Założenia!$M$167:$M$168)*OEp.w2</f>
        <v>0</v>
      </c>
      <c r="AS127" s="1">
        <f>-SUM(Założenia!$M$167:$M$168)*OEp.w2</f>
        <v>0</v>
      </c>
      <c r="AT127" s="1">
        <f>-SUM(Założenia!$M$167:$M$168)*OEp.w2</f>
        <v>0</v>
      </c>
      <c r="AU127" s="1">
        <f>-SUM(Założenia!$M$167:$M$168)*OEp.w2</f>
        <v>0</v>
      </c>
      <c r="AV127" s="1">
        <f>-SUM(Założenia!$M$167:$M$168)*OEp.w2</f>
        <v>0</v>
      </c>
      <c r="AW127" s="1">
        <f>-SUM(Założenia!$M$167:$M$168)*OEp.w2</f>
        <v>0</v>
      </c>
      <c r="AX127" s="1">
        <f>-SUM(Założenia!$M$167:$M$168)*OEp.w2</f>
        <v>0</v>
      </c>
      <c r="AY127" s="1">
        <f>-SUM(Założenia!$M$167:$M$168)*OEp.w2</f>
        <v>0</v>
      </c>
      <c r="AZ127" s="1">
        <f>-SUM(Założenia!$M$167:$M$168)*OEp.w2</f>
        <v>0</v>
      </c>
      <c r="BA127" s="1">
        <f>-SUM(Założenia!$M$167:$M$168)*OEp.w2</f>
        <v>0</v>
      </c>
    </row>
    <row r="128" spans="2:53" ht="15.75" customHeight="1" x14ac:dyDescent="0.35">
      <c r="E128" s="5"/>
      <c r="F128" s="5" t="s">
        <v>83</v>
      </c>
      <c r="G128" s="5"/>
      <c r="H128" s="5"/>
      <c r="I128" s="5"/>
      <c r="J128" s="5"/>
      <c r="K128" s="5"/>
      <c r="N128" s="1">
        <f t="shared" si="79"/>
        <v>0</v>
      </c>
      <c r="Q128" s="1">
        <f>IFERROR(-MIN(Q120,SUM($P$122:Q125,$P$127:Q127)/SUM(OEt.w2))*OEt.w2,0)</f>
        <v>0</v>
      </c>
      <c r="R128" s="1">
        <f>IFERROR(-MIN(R120,SUM($P$122:R125,$P$127:R127)/SUM(OEt.w2))*OEt.w2,0)</f>
        <v>0</v>
      </c>
      <c r="S128" s="1">
        <f>IFERROR(-MIN(S120,SUM($P$122:S125,$P$127:S127)/SUM(OEt.w2))*OEt.w2,0)</f>
        <v>0</v>
      </c>
      <c r="T128" s="1">
        <f>IFERROR(-MIN(T120,SUM($P$122:T125,$P$127:T127)/SUM(OEt.w2))*OEt.w2,0)</f>
        <v>0</v>
      </c>
      <c r="U128" s="1">
        <f>IFERROR(-MIN(U120,SUM($P$122:U125,$P$127:U127)/SUM(OEt.w2))*OEt.w2,0)</f>
        <v>0</v>
      </c>
      <c r="V128" s="1">
        <f>IFERROR(-MIN(V120,SUM($P$122:V125,$P$127:V127)/SUM(OEt.w2))*OEt.w2,0)</f>
        <v>0</v>
      </c>
      <c r="W128" s="1">
        <f>IFERROR(-MIN(W120,SUM($P$122:W125,$P$127:W127)/SUM(OEt.w2))*OEt.w2,0)</f>
        <v>0</v>
      </c>
      <c r="X128" s="1">
        <f>IFERROR(-MIN(X120,SUM($P$122:X125,$P$127:X127)/SUM(OEt.w2))*OEt.w2,0)</f>
        <v>0</v>
      </c>
      <c r="Y128" s="1">
        <f>IFERROR(-MIN(Y120,SUM($P$122:Y125,$P$127:Y127)/SUM(OEt.w2))*OEt.w2,0)</f>
        <v>0</v>
      </c>
      <c r="Z128" s="1">
        <f>IFERROR(-MIN(Z120,SUM($P$122:Z125,$P$127:Z127)/SUM(OEt.w2))*OEt.w2,0)</f>
        <v>0</v>
      </c>
      <c r="AA128" s="1">
        <f>IFERROR(-MIN(AA120,SUM($P$122:AA125,$P$127:AA127)/SUM(OEt.w2))*OEt.w2,0)</f>
        <v>0</v>
      </c>
      <c r="AB128" s="1">
        <f>IFERROR(-MIN(AB120,SUM($P$122:AB125,$P$127:AB127)/SUM(OEt.w2))*OEt.w2,0)</f>
        <v>0</v>
      </c>
      <c r="AC128" s="1">
        <f>IFERROR(-MIN(AC120,SUM($P$122:AC125,$P$127:AC127)/SUM(OEt.w2))*OEt.w2,0)</f>
        <v>0</v>
      </c>
      <c r="AD128" s="1">
        <f>IFERROR(-MIN(AD120,SUM($P$122:AD125,$P$127:AD127)/SUM(OEt.w2))*OEt.w2,0)</f>
        <v>0</v>
      </c>
      <c r="AE128" s="1">
        <f>IFERROR(-MIN(AE120,SUM($P$122:AE125,$P$127:AE127)/SUM(OEt.w2))*OEt.w2,0)</f>
        <v>0</v>
      </c>
      <c r="AF128" s="1">
        <f>IFERROR(-MIN(AF120,SUM($P$122:AF125,$P$127:AF127)/SUM(OEt.w2))*OEt.w2,0)</f>
        <v>0</v>
      </c>
      <c r="AG128" s="1">
        <f>IFERROR(-MIN(AG120,SUM($P$122:AG125,$P$127:AG127)/SUM(OEt.w2))*OEt.w2,0)</f>
        <v>0</v>
      </c>
      <c r="AH128" s="1">
        <f>IFERROR(-MIN(AH120,SUM($P$122:AH125,$P$127:AH127)/SUM(OEt.w2))*OEt.w2,0)</f>
        <v>0</v>
      </c>
      <c r="AI128" s="1">
        <f>IFERROR(-MIN(AI120,SUM($P$122:AI125,$P$127:AI127)/SUM(OEt.w2))*OEt.w2,0)</f>
        <v>0</v>
      </c>
      <c r="AJ128" s="1">
        <f>IFERROR(-MIN(AJ120,SUM($P$122:AJ125,$P$127:AJ127)/SUM(OEt.w2))*OEt.w2,0)</f>
        <v>0</v>
      </c>
      <c r="AK128" s="1">
        <f>IFERROR(-MIN(AK120,SUM($P$122:AK125,$P$127:AK127)/SUM(OEt.w2))*OEt.w2,0)</f>
        <v>0</v>
      </c>
      <c r="AL128" s="1">
        <f>IFERROR(-MIN(AL120,SUM($P$122:AL125,$P$127:AL127)/SUM(OEt.w2))*OEt.w2,0)</f>
        <v>0</v>
      </c>
      <c r="AM128" s="1">
        <f>IFERROR(-MIN(AM120,SUM($P$122:AM125,$P$127:AM127)/SUM(OEt.w2))*OEt.w2,0)</f>
        <v>0</v>
      </c>
      <c r="AN128" s="1">
        <f>IFERROR(-MIN(AN120,SUM($P$122:AN125,$P$127:AN127)/SUM(OEt.w2))*OEt.w2,0)</f>
        <v>0</v>
      </c>
      <c r="AO128" s="1">
        <f>IFERROR(-MIN(AO120,SUM($P$122:AO125,$P$127:AO127)/SUM(OEt.w2))*OEt.w2,0)</f>
        <v>0</v>
      </c>
      <c r="AP128" s="1">
        <f>IFERROR(-MIN(AP120,SUM($P$122:AP125,$P$127:AP127)/SUM(OEt.w2))*OEt.w2,0)</f>
        <v>0</v>
      </c>
      <c r="AQ128" s="1">
        <f>IFERROR(-MIN(AQ120,SUM($P$122:AQ125,$P$127:AQ127)/SUM(OEt.w2))*OEt.w2,0)</f>
        <v>0</v>
      </c>
      <c r="AR128" s="1">
        <f>IFERROR(-MIN(AR120,SUM($P$122:AR125,$P$127:AR127)/SUM(OEt.w2))*OEt.w2,0)</f>
        <v>0</v>
      </c>
      <c r="AS128" s="1">
        <f>IFERROR(-MIN(AS120,SUM($P$122:AS125,$P$127:AS127)/SUM(OEt.w2))*OEt.w2,0)</f>
        <v>0</v>
      </c>
      <c r="AT128" s="1">
        <f>IFERROR(-MIN(AT120,SUM($P$122:AT125,$P$127:AT127)/SUM(OEt.w2))*OEt.w2,0)</f>
        <v>0</v>
      </c>
      <c r="AU128" s="1">
        <f>IFERROR(-MIN(AU120,SUM($P$122:AU125,$P$127:AU127)/SUM(OEt.w2))*OEt.w2,0)</f>
        <v>0</v>
      </c>
      <c r="AV128" s="1">
        <f>IFERROR(-MIN(AV120,SUM($P$122:AV125,$P$127:AV127)/SUM(OEt.w2))*OEt.w2,0)</f>
        <v>0</v>
      </c>
      <c r="AW128" s="1">
        <f>IFERROR(-MIN(AW120,SUM($P$122:AW125,$P$127:AW127)/SUM(OEt.w2))*OEt.w2,0)</f>
        <v>0</v>
      </c>
      <c r="AX128" s="1">
        <f>IFERROR(-MIN(AX120,SUM($P$122:AX125,$P$127:AX127)/SUM(OEt.w2))*OEt.w2,0)</f>
        <v>0</v>
      </c>
      <c r="AY128" s="1">
        <f>IFERROR(-MIN(AY120,SUM($P$122:AY125,$P$127:AY127)/SUM(OEt.w2))*OEt.w2,0)</f>
        <v>0</v>
      </c>
      <c r="AZ128" s="1">
        <f>IFERROR(-MIN(AZ120,SUM($P$122:AZ125,$P$127:AZ127)/SUM(OEt.w2))*OEt.w2,0)</f>
        <v>0</v>
      </c>
      <c r="BA128" s="1">
        <f>IFERROR(-MIN(BA120,SUM($P$122:BA125,$P$127:BA127)/SUM(OEt.w2))*OEt.w2,0)</f>
        <v>0</v>
      </c>
    </row>
    <row r="129" spans="3:53" ht="15.75" customHeight="1" x14ac:dyDescent="0.35">
      <c r="E129" s="5"/>
      <c r="F129" s="5" t="s">
        <v>84</v>
      </c>
      <c r="G129" s="5"/>
      <c r="H129" s="5"/>
      <c r="I129" s="5"/>
      <c r="J129" s="5"/>
      <c r="K129" s="5"/>
      <c r="N129" s="1">
        <f t="shared" si="79"/>
        <v>0</v>
      </c>
      <c r="Q129" s="1">
        <f t="shared" ref="Q129:BA129" si="86">Q196</f>
        <v>0</v>
      </c>
      <c r="R129" s="1">
        <f t="shared" si="86"/>
        <v>0</v>
      </c>
      <c r="S129" s="1">
        <f t="shared" si="86"/>
        <v>0</v>
      </c>
      <c r="T129" s="1">
        <f t="shared" si="86"/>
        <v>0</v>
      </c>
      <c r="U129" s="1">
        <f t="shared" si="86"/>
        <v>0</v>
      </c>
      <c r="V129" s="1">
        <f t="shared" si="86"/>
        <v>0</v>
      </c>
      <c r="W129" s="1">
        <f t="shared" si="86"/>
        <v>0</v>
      </c>
      <c r="X129" s="1">
        <f t="shared" si="86"/>
        <v>0</v>
      </c>
      <c r="Y129" s="1">
        <f t="shared" si="86"/>
        <v>0</v>
      </c>
      <c r="Z129" s="1">
        <f t="shared" si="86"/>
        <v>0</v>
      </c>
      <c r="AA129" s="1">
        <f t="shared" si="86"/>
        <v>0</v>
      </c>
      <c r="AB129" s="1">
        <f t="shared" si="86"/>
        <v>0</v>
      </c>
      <c r="AC129" s="1">
        <f t="shared" si="86"/>
        <v>0</v>
      </c>
      <c r="AD129" s="1">
        <f t="shared" si="86"/>
        <v>0</v>
      </c>
      <c r="AE129" s="1">
        <f t="shared" si="86"/>
        <v>0</v>
      </c>
      <c r="AF129" s="1">
        <f t="shared" si="86"/>
        <v>0</v>
      </c>
      <c r="AG129" s="1">
        <f t="shared" si="86"/>
        <v>0</v>
      </c>
      <c r="AH129" s="1">
        <f t="shared" si="86"/>
        <v>0</v>
      </c>
      <c r="AI129" s="1">
        <f t="shared" si="86"/>
        <v>0</v>
      </c>
      <c r="AJ129" s="1">
        <f t="shared" si="86"/>
        <v>0</v>
      </c>
      <c r="AK129" s="1">
        <f t="shared" si="86"/>
        <v>0</v>
      </c>
      <c r="AL129" s="1">
        <f t="shared" si="86"/>
        <v>0</v>
      </c>
      <c r="AM129" s="1">
        <f t="shared" si="86"/>
        <v>0</v>
      </c>
      <c r="AN129" s="1">
        <f t="shared" si="86"/>
        <v>0</v>
      </c>
      <c r="AO129" s="1">
        <f t="shared" si="86"/>
        <v>0</v>
      </c>
      <c r="AP129" s="1">
        <f t="shared" si="86"/>
        <v>0</v>
      </c>
      <c r="AQ129" s="1">
        <f t="shared" si="86"/>
        <v>0</v>
      </c>
      <c r="AR129" s="1">
        <f t="shared" si="86"/>
        <v>0</v>
      </c>
      <c r="AS129" s="1">
        <f t="shared" si="86"/>
        <v>0</v>
      </c>
      <c r="AT129" s="1">
        <f t="shared" si="86"/>
        <v>0</v>
      </c>
      <c r="AU129" s="1">
        <f t="shared" si="86"/>
        <v>0</v>
      </c>
      <c r="AV129" s="1">
        <f t="shared" si="86"/>
        <v>0</v>
      </c>
      <c r="AW129" s="1">
        <f t="shared" si="86"/>
        <v>0</v>
      </c>
      <c r="AX129" s="1">
        <f t="shared" si="86"/>
        <v>0</v>
      </c>
      <c r="AY129" s="1">
        <f t="shared" si="86"/>
        <v>0</v>
      </c>
      <c r="AZ129" s="1">
        <f t="shared" si="86"/>
        <v>0</v>
      </c>
      <c r="BA129" s="1">
        <f t="shared" si="86"/>
        <v>0</v>
      </c>
    </row>
    <row r="130" spans="3:53" ht="15.75" customHeight="1" x14ac:dyDescent="0.35">
      <c r="D130" s="2" t="s">
        <v>27</v>
      </c>
      <c r="E130" s="5"/>
      <c r="F130" s="5"/>
      <c r="G130" s="5"/>
      <c r="H130" s="5"/>
      <c r="I130" s="5"/>
      <c r="J130" s="5"/>
      <c r="K130" s="5"/>
      <c r="N130" s="1">
        <f>SUM(N120,N121,N126)</f>
        <v>0</v>
      </c>
      <c r="Q130" s="1">
        <f t="shared" ref="Q130:BA130" si="87">SUM(Q120,Q121,Q126)</f>
        <v>0</v>
      </c>
      <c r="R130" s="1">
        <f t="shared" si="87"/>
        <v>0</v>
      </c>
      <c r="S130" s="1">
        <f t="shared" si="87"/>
        <v>0</v>
      </c>
      <c r="T130" s="1">
        <f t="shared" si="87"/>
        <v>0</v>
      </c>
      <c r="U130" s="1">
        <f t="shared" si="87"/>
        <v>0</v>
      </c>
      <c r="V130" s="1">
        <f t="shared" si="87"/>
        <v>0</v>
      </c>
      <c r="W130" s="1">
        <f t="shared" si="87"/>
        <v>0</v>
      </c>
      <c r="X130" s="1">
        <f t="shared" si="87"/>
        <v>0</v>
      </c>
      <c r="Y130" s="1">
        <f t="shared" si="87"/>
        <v>0</v>
      </c>
      <c r="Z130" s="1">
        <f t="shared" si="87"/>
        <v>0</v>
      </c>
      <c r="AA130" s="1">
        <f t="shared" si="87"/>
        <v>0</v>
      </c>
      <c r="AB130" s="1">
        <f t="shared" si="87"/>
        <v>0</v>
      </c>
      <c r="AC130" s="1">
        <f t="shared" si="87"/>
        <v>0</v>
      </c>
      <c r="AD130" s="1">
        <f t="shared" si="87"/>
        <v>0</v>
      </c>
      <c r="AE130" s="1">
        <f t="shared" si="87"/>
        <v>0</v>
      </c>
      <c r="AF130" s="1">
        <f t="shared" si="87"/>
        <v>0</v>
      </c>
      <c r="AG130" s="1">
        <f t="shared" si="87"/>
        <v>0</v>
      </c>
      <c r="AH130" s="1">
        <f t="shared" si="87"/>
        <v>0</v>
      </c>
      <c r="AI130" s="1">
        <f t="shared" si="87"/>
        <v>0</v>
      </c>
      <c r="AJ130" s="1">
        <f t="shared" si="87"/>
        <v>0</v>
      </c>
      <c r="AK130" s="1">
        <f t="shared" si="87"/>
        <v>0</v>
      </c>
      <c r="AL130" s="1">
        <f t="shared" si="87"/>
        <v>0</v>
      </c>
      <c r="AM130" s="1">
        <f t="shared" si="87"/>
        <v>0</v>
      </c>
      <c r="AN130" s="1">
        <f t="shared" si="87"/>
        <v>0</v>
      </c>
      <c r="AO130" s="1">
        <f t="shared" si="87"/>
        <v>0</v>
      </c>
      <c r="AP130" s="1">
        <f t="shared" si="87"/>
        <v>0</v>
      </c>
      <c r="AQ130" s="1">
        <f t="shared" si="87"/>
        <v>0</v>
      </c>
      <c r="AR130" s="1">
        <f t="shared" si="87"/>
        <v>0</v>
      </c>
      <c r="AS130" s="1">
        <f t="shared" si="87"/>
        <v>0</v>
      </c>
      <c r="AT130" s="1">
        <f t="shared" si="87"/>
        <v>0</v>
      </c>
      <c r="AU130" s="1">
        <f t="shared" si="87"/>
        <v>0</v>
      </c>
      <c r="AV130" s="1">
        <f t="shared" si="87"/>
        <v>0</v>
      </c>
      <c r="AW130" s="1">
        <f t="shared" si="87"/>
        <v>0</v>
      </c>
      <c r="AX130" s="1">
        <f t="shared" si="87"/>
        <v>0</v>
      </c>
      <c r="AY130" s="1">
        <f t="shared" si="87"/>
        <v>0</v>
      </c>
      <c r="AZ130" s="1">
        <f t="shared" si="87"/>
        <v>0</v>
      </c>
      <c r="BA130" s="1">
        <f t="shared" si="87"/>
        <v>0</v>
      </c>
    </row>
    <row r="131" spans="3:53" x14ac:dyDescent="0.35">
      <c r="D131" s="5"/>
    </row>
    <row r="132" spans="3:53" ht="15.75" customHeight="1" x14ac:dyDescent="0.35">
      <c r="D132" s="2" t="s">
        <v>147</v>
      </c>
      <c r="E132" s="5"/>
      <c r="F132" s="5"/>
      <c r="G132" s="5"/>
      <c r="H132" s="5"/>
      <c r="I132" s="5"/>
      <c r="J132" s="5"/>
      <c r="K132" s="5"/>
      <c r="N132" s="1">
        <f>SUM(Q132:BA132)</f>
        <v>0</v>
      </c>
      <c r="Q132" s="1">
        <f t="shared" ref="Q132:BA132" si="88">SUM(Q120,Q122,Q125)*SUM(Q133:Q134)*OEt.w2</f>
        <v>0</v>
      </c>
      <c r="R132" s="1">
        <f t="shared" si="88"/>
        <v>0</v>
      </c>
      <c r="S132" s="1">
        <f t="shared" si="88"/>
        <v>0</v>
      </c>
      <c r="T132" s="1">
        <f t="shared" si="88"/>
        <v>0</v>
      </c>
      <c r="U132" s="1">
        <f t="shared" si="88"/>
        <v>0</v>
      </c>
      <c r="V132" s="1">
        <f t="shared" si="88"/>
        <v>0</v>
      </c>
      <c r="W132" s="1">
        <f t="shared" si="88"/>
        <v>0</v>
      </c>
      <c r="X132" s="1">
        <f t="shared" si="88"/>
        <v>0</v>
      </c>
      <c r="Y132" s="1">
        <f t="shared" si="88"/>
        <v>0</v>
      </c>
      <c r="Z132" s="1">
        <f t="shared" si="88"/>
        <v>0</v>
      </c>
      <c r="AA132" s="1">
        <f t="shared" si="88"/>
        <v>0</v>
      </c>
      <c r="AB132" s="1">
        <f t="shared" si="88"/>
        <v>0</v>
      </c>
      <c r="AC132" s="1">
        <f t="shared" si="88"/>
        <v>0</v>
      </c>
      <c r="AD132" s="1">
        <f t="shared" si="88"/>
        <v>0</v>
      </c>
      <c r="AE132" s="1">
        <f t="shared" si="88"/>
        <v>0</v>
      </c>
      <c r="AF132" s="1">
        <f t="shared" si="88"/>
        <v>0</v>
      </c>
      <c r="AG132" s="1">
        <f t="shared" si="88"/>
        <v>0</v>
      </c>
      <c r="AH132" s="1">
        <f t="shared" si="88"/>
        <v>0</v>
      </c>
      <c r="AI132" s="1">
        <f t="shared" si="88"/>
        <v>0</v>
      </c>
      <c r="AJ132" s="1">
        <f t="shared" si="88"/>
        <v>0</v>
      </c>
      <c r="AK132" s="1">
        <f t="shared" si="88"/>
        <v>0</v>
      </c>
      <c r="AL132" s="1">
        <f t="shared" si="88"/>
        <v>0</v>
      </c>
      <c r="AM132" s="1">
        <f t="shared" si="88"/>
        <v>0</v>
      </c>
      <c r="AN132" s="1">
        <f t="shared" si="88"/>
        <v>0</v>
      </c>
      <c r="AO132" s="1">
        <f t="shared" si="88"/>
        <v>0</v>
      </c>
      <c r="AP132" s="1">
        <f t="shared" si="88"/>
        <v>0</v>
      </c>
      <c r="AQ132" s="1">
        <f t="shared" si="88"/>
        <v>0</v>
      </c>
      <c r="AR132" s="1">
        <f t="shared" si="88"/>
        <v>0</v>
      </c>
      <c r="AS132" s="1">
        <f t="shared" si="88"/>
        <v>0</v>
      </c>
      <c r="AT132" s="1">
        <f t="shared" si="88"/>
        <v>0</v>
      </c>
      <c r="AU132" s="1">
        <f t="shared" si="88"/>
        <v>0</v>
      </c>
      <c r="AV132" s="1">
        <f t="shared" si="88"/>
        <v>0</v>
      </c>
      <c r="AW132" s="1">
        <f t="shared" si="88"/>
        <v>0</v>
      </c>
      <c r="AX132" s="1">
        <f t="shared" si="88"/>
        <v>0</v>
      </c>
      <c r="AY132" s="1">
        <f t="shared" si="88"/>
        <v>0</v>
      </c>
      <c r="AZ132" s="1">
        <f t="shared" si="88"/>
        <v>0</v>
      </c>
      <c r="BA132" s="1">
        <f t="shared" si="88"/>
        <v>0</v>
      </c>
    </row>
    <row r="133" spans="3:53" ht="15.75" customHeight="1" x14ac:dyDescent="0.35">
      <c r="E133" s="5" t="s">
        <v>35</v>
      </c>
      <c r="F133" s="5"/>
      <c r="G133" s="5"/>
      <c r="H133" s="5"/>
      <c r="I133" s="5"/>
      <c r="J133" s="5"/>
      <c r="K133" s="5"/>
      <c r="Q133" s="6">
        <f>'zakładka techniczna'!Q$11</f>
        <v>5.5199999999999999E-2</v>
      </c>
      <c r="R133" s="6">
        <f>'zakładka techniczna'!R$11</f>
        <v>5.1799999999999999E-2</v>
      </c>
      <c r="S133" s="6">
        <f>'zakładka techniczna'!S$11</f>
        <v>4.6199999999999998E-2</v>
      </c>
      <c r="T133" s="6">
        <f>'zakładka techniczna'!T$11</f>
        <v>4.6199999999999998E-2</v>
      </c>
      <c r="U133" s="6">
        <f>'zakładka techniczna'!U$11</f>
        <v>3.5000000000000003E-2</v>
      </c>
      <c r="V133" s="6">
        <f>'zakładka techniczna'!V$11</f>
        <v>3.5000000000000003E-2</v>
      </c>
      <c r="W133" s="6">
        <f>'zakładka techniczna'!W$11</f>
        <v>3.5000000000000003E-2</v>
      </c>
      <c r="X133" s="6">
        <f>'zakładka techniczna'!X$11</f>
        <v>3.5000000000000003E-2</v>
      </c>
      <c r="Y133" s="6">
        <f>'zakładka techniczna'!Y$11</f>
        <v>3.5000000000000003E-2</v>
      </c>
      <c r="Z133" s="6">
        <f>'zakładka techniczna'!Z$11</f>
        <v>3.5000000000000003E-2</v>
      </c>
      <c r="AA133" s="6">
        <f>'zakładka techniczna'!AA$11</f>
        <v>3.5000000000000003E-2</v>
      </c>
      <c r="AB133" s="6">
        <f>'zakładka techniczna'!AB$11</f>
        <v>3.5000000000000003E-2</v>
      </c>
      <c r="AC133" s="6">
        <f>'zakładka techniczna'!AC$11</f>
        <v>3.5000000000000003E-2</v>
      </c>
      <c r="AD133" s="6">
        <f>'zakładka techniczna'!AD$11</f>
        <v>3.5000000000000003E-2</v>
      </c>
      <c r="AE133" s="6">
        <f>'zakładka techniczna'!AE$11</f>
        <v>3.5000000000000003E-2</v>
      </c>
      <c r="AF133" s="6">
        <f>'zakładka techniczna'!AF$11</f>
        <v>3.5000000000000003E-2</v>
      </c>
      <c r="AG133" s="6">
        <f>'zakładka techniczna'!AG$11</f>
        <v>3.5000000000000003E-2</v>
      </c>
      <c r="AH133" s="6">
        <f>'zakładka techniczna'!AH$11</f>
        <v>3.5000000000000003E-2</v>
      </c>
      <c r="AI133" s="6">
        <f>'zakładka techniczna'!AI$11</f>
        <v>3.5000000000000003E-2</v>
      </c>
      <c r="AJ133" s="6">
        <f>'zakładka techniczna'!AJ$11</f>
        <v>3.5000000000000003E-2</v>
      </c>
      <c r="AK133" s="6">
        <f>'zakładka techniczna'!AK$11</f>
        <v>3.5000000000000003E-2</v>
      </c>
      <c r="AL133" s="6">
        <f>'zakładka techniczna'!AL$11</f>
        <v>3.5000000000000003E-2</v>
      </c>
      <c r="AM133" s="6">
        <f>'zakładka techniczna'!AM$11</f>
        <v>3.5000000000000003E-2</v>
      </c>
      <c r="AN133" s="6">
        <f>'zakładka techniczna'!AN$11</f>
        <v>3.5000000000000003E-2</v>
      </c>
      <c r="AO133" s="6">
        <f>'zakładka techniczna'!AO$11</f>
        <v>3.5000000000000003E-2</v>
      </c>
      <c r="AP133" s="6">
        <f>'zakładka techniczna'!AP$11</f>
        <v>3.5000000000000003E-2</v>
      </c>
      <c r="AQ133" s="6">
        <f>'zakładka techniczna'!AQ$11</f>
        <v>3.5000000000000003E-2</v>
      </c>
      <c r="AR133" s="6">
        <f>'zakładka techniczna'!AR$11</f>
        <v>3.5000000000000003E-2</v>
      </c>
      <c r="AS133" s="6">
        <f>'zakładka techniczna'!AS$11</f>
        <v>3.5000000000000003E-2</v>
      </c>
      <c r="AT133" s="6">
        <f>'zakładka techniczna'!AT$11</f>
        <v>3.5000000000000003E-2</v>
      </c>
      <c r="AU133" s="6">
        <f>'zakładka techniczna'!AU$11</f>
        <v>3.5000000000000003E-2</v>
      </c>
      <c r="AV133" s="6">
        <f>'zakładka techniczna'!AV$11</f>
        <v>3.5000000000000003E-2</v>
      </c>
      <c r="AW133" s="6">
        <f>'zakładka techniczna'!AW$11</f>
        <v>3.5000000000000003E-2</v>
      </c>
      <c r="AX133" s="6">
        <f>'zakładka techniczna'!AX$11</f>
        <v>3.5000000000000003E-2</v>
      </c>
      <c r="AY133" s="6">
        <f>'zakładka techniczna'!AY$11</f>
        <v>3.5000000000000003E-2</v>
      </c>
      <c r="AZ133" s="6">
        <f>'zakładka techniczna'!AZ$11</f>
        <v>3.5000000000000003E-2</v>
      </c>
      <c r="BA133" s="6">
        <f>'zakładka techniczna'!BA$11</f>
        <v>3.5000000000000003E-2</v>
      </c>
    </row>
    <row r="134" spans="3:53" ht="15.75" customHeight="1" x14ac:dyDescent="0.35">
      <c r="E134" s="5" t="s">
        <v>74</v>
      </c>
      <c r="F134" s="5"/>
      <c r="G134" s="5"/>
      <c r="H134" s="5"/>
      <c r="I134" s="5"/>
      <c r="J134" s="5"/>
      <c r="K134" s="5"/>
      <c r="Q134" s="6">
        <f>'zakładka techniczna'!$N$23</f>
        <v>2.5000000000000001E-2</v>
      </c>
      <c r="R134" s="6">
        <f>'zakładka techniczna'!$N$23</f>
        <v>2.5000000000000001E-2</v>
      </c>
      <c r="S134" s="6">
        <f>'zakładka techniczna'!$N$23</f>
        <v>2.5000000000000001E-2</v>
      </c>
      <c r="T134" s="6">
        <f>'zakładka techniczna'!$N$23</f>
        <v>2.5000000000000001E-2</v>
      </c>
      <c r="U134" s="6">
        <f>'zakładka techniczna'!$N$23</f>
        <v>2.5000000000000001E-2</v>
      </c>
      <c r="V134" s="6">
        <f>'zakładka techniczna'!$N$23</f>
        <v>2.5000000000000001E-2</v>
      </c>
      <c r="W134" s="6">
        <f>'zakładka techniczna'!$N$23</f>
        <v>2.5000000000000001E-2</v>
      </c>
      <c r="X134" s="6">
        <f>'zakładka techniczna'!$N$23</f>
        <v>2.5000000000000001E-2</v>
      </c>
      <c r="Y134" s="6">
        <f>'zakładka techniczna'!$N$23</f>
        <v>2.5000000000000001E-2</v>
      </c>
      <c r="Z134" s="6">
        <f>'zakładka techniczna'!$N$23</f>
        <v>2.5000000000000001E-2</v>
      </c>
      <c r="AA134" s="6">
        <f>'zakładka techniczna'!$N$23</f>
        <v>2.5000000000000001E-2</v>
      </c>
      <c r="AB134" s="6">
        <f>'zakładka techniczna'!$N$23</f>
        <v>2.5000000000000001E-2</v>
      </c>
      <c r="AC134" s="6">
        <f>'zakładka techniczna'!$N$23</f>
        <v>2.5000000000000001E-2</v>
      </c>
      <c r="AD134" s="6">
        <f>'zakładka techniczna'!$N$23</f>
        <v>2.5000000000000001E-2</v>
      </c>
      <c r="AE134" s="6">
        <f>'zakładka techniczna'!$N$23</f>
        <v>2.5000000000000001E-2</v>
      </c>
      <c r="AF134" s="6">
        <f>'zakładka techniczna'!$N$23</f>
        <v>2.5000000000000001E-2</v>
      </c>
      <c r="AG134" s="6">
        <f>'zakładka techniczna'!$N$23</f>
        <v>2.5000000000000001E-2</v>
      </c>
      <c r="AH134" s="6">
        <f>'zakładka techniczna'!$N$23</f>
        <v>2.5000000000000001E-2</v>
      </c>
      <c r="AI134" s="6">
        <f>'zakładka techniczna'!$N$23</f>
        <v>2.5000000000000001E-2</v>
      </c>
      <c r="AJ134" s="6">
        <f>'zakładka techniczna'!$N$23</f>
        <v>2.5000000000000001E-2</v>
      </c>
      <c r="AK134" s="6">
        <f>'zakładka techniczna'!$N$23</f>
        <v>2.5000000000000001E-2</v>
      </c>
      <c r="AL134" s="6">
        <f>'zakładka techniczna'!$N$23</f>
        <v>2.5000000000000001E-2</v>
      </c>
      <c r="AM134" s="6">
        <f>'zakładka techniczna'!$N$23</f>
        <v>2.5000000000000001E-2</v>
      </c>
      <c r="AN134" s="6">
        <f>'zakładka techniczna'!$N$23</f>
        <v>2.5000000000000001E-2</v>
      </c>
      <c r="AO134" s="6">
        <f>'zakładka techniczna'!$N$23</f>
        <v>2.5000000000000001E-2</v>
      </c>
      <c r="AP134" s="6">
        <f>'zakładka techniczna'!$N$23</f>
        <v>2.5000000000000001E-2</v>
      </c>
      <c r="AQ134" s="6">
        <f>'zakładka techniczna'!$N$23</f>
        <v>2.5000000000000001E-2</v>
      </c>
      <c r="AR134" s="6">
        <f>'zakładka techniczna'!$N$23</f>
        <v>2.5000000000000001E-2</v>
      </c>
      <c r="AS134" s="6">
        <f>'zakładka techniczna'!$N$23</f>
        <v>2.5000000000000001E-2</v>
      </c>
      <c r="AT134" s="6">
        <f>'zakładka techniczna'!$N$23</f>
        <v>2.5000000000000001E-2</v>
      </c>
      <c r="AU134" s="6">
        <f>'zakładka techniczna'!$N$23</f>
        <v>2.5000000000000001E-2</v>
      </c>
      <c r="AV134" s="6">
        <f>'zakładka techniczna'!$N$23</f>
        <v>2.5000000000000001E-2</v>
      </c>
      <c r="AW134" s="6">
        <f>'zakładka techniczna'!$N$23</f>
        <v>2.5000000000000001E-2</v>
      </c>
      <c r="AX134" s="6">
        <f>'zakładka techniczna'!$N$23</f>
        <v>2.5000000000000001E-2</v>
      </c>
      <c r="AY134" s="6">
        <f>'zakładka techniczna'!$N$23</f>
        <v>2.5000000000000001E-2</v>
      </c>
      <c r="AZ134" s="6">
        <f>'zakładka techniczna'!$N$23</f>
        <v>2.5000000000000001E-2</v>
      </c>
      <c r="BA134" s="6">
        <f>'zakładka techniczna'!$N$23</f>
        <v>2.5000000000000001E-2</v>
      </c>
    </row>
    <row r="135" spans="3:53" x14ac:dyDescent="0.35">
      <c r="D135" s="5"/>
    </row>
    <row r="136" spans="3:53" ht="17.25" customHeight="1" x14ac:dyDescent="0.35">
      <c r="C136" s="8" t="s">
        <v>117</v>
      </c>
      <c r="D136" s="8"/>
      <c r="E136" s="9"/>
      <c r="F136" s="9"/>
      <c r="G136" s="9"/>
      <c r="H136" s="9"/>
      <c r="I136" s="9"/>
      <c r="J136" s="9"/>
      <c r="K136" s="9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</row>
    <row r="137" spans="3:53" ht="15.75" customHeight="1" x14ac:dyDescent="0.35">
      <c r="D137" s="2" t="s">
        <v>26</v>
      </c>
      <c r="E137" s="5"/>
      <c r="F137" s="5"/>
      <c r="G137" s="5"/>
      <c r="H137" s="5"/>
      <c r="I137" s="5"/>
      <c r="J137" s="5"/>
      <c r="K137" s="5"/>
      <c r="N137" s="11">
        <f>Q137</f>
        <v>0</v>
      </c>
      <c r="Q137" s="14">
        <v>0</v>
      </c>
      <c r="R137" s="11">
        <f t="shared" ref="R137:BA137" si="89">Q145</f>
        <v>0</v>
      </c>
      <c r="S137" s="11">
        <f t="shared" si="89"/>
        <v>0</v>
      </c>
      <c r="T137" s="11">
        <f t="shared" si="89"/>
        <v>0</v>
      </c>
      <c r="U137" s="11">
        <f t="shared" si="89"/>
        <v>0</v>
      </c>
      <c r="V137" s="11">
        <f t="shared" si="89"/>
        <v>0</v>
      </c>
      <c r="W137" s="11">
        <f t="shared" si="89"/>
        <v>0</v>
      </c>
      <c r="X137" s="11">
        <f t="shared" si="89"/>
        <v>0</v>
      </c>
      <c r="Y137" s="11">
        <f t="shared" si="89"/>
        <v>0</v>
      </c>
      <c r="Z137" s="11">
        <f t="shared" si="89"/>
        <v>0</v>
      </c>
      <c r="AA137" s="11">
        <f t="shared" si="89"/>
        <v>0</v>
      </c>
      <c r="AB137" s="11">
        <f t="shared" si="89"/>
        <v>0</v>
      </c>
      <c r="AC137" s="11">
        <f t="shared" si="89"/>
        <v>0</v>
      </c>
      <c r="AD137" s="11">
        <f t="shared" si="89"/>
        <v>0</v>
      </c>
      <c r="AE137" s="11">
        <f t="shared" si="89"/>
        <v>0</v>
      </c>
      <c r="AF137" s="11">
        <f t="shared" si="89"/>
        <v>0</v>
      </c>
      <c r="AG137" s="11">
        <f t="shared" si="89"/>
        <v>0</v>
      </c>
      <c r="AH137" s="11">
        <f t="shared" si="89"/>
        <v>0</v>
      </c>
      <c r="AI137" s="11">
        <f t="shared" si="89"/>
        <v>0</v>
      </c>
      <c r="AJ137" s="11">
        <f t="shared" si="89"/>
        <v>0</v>
      </c>
      <c r="AK137" s="11">
        <f t="shared" si="89"/>
        <v>0</v>
      </c>
      <c r="AL137" s="11">
        <f t="shared" si="89"/>
        <v>0</v>
      </c>
      <c r="AM137" s="11">
        <f t="shared" si="89"/>
        <v>0</v>
      </c>
      <c r="AN137" s="11">
        <f t="shared" si="89"/>
        <v>0</v>
      </c>
      <c r="AO137" s="11">
        <f t="shared" si="89"/>
        <v>0</v>
      </c>
      <c r="AP137" s="11">
        <f t="shared" si="89"/>
        <v>0</v>
      </c>
      <c r="AQ137" s="11">
        <f t="shared" si="89"/>
        <v>0</v>
      </c>
      <c r="AR137" s="11">
        <f t="shared" si="89"/>
        <v>0</v>
      </c>
      <c r="AS137" s="11">
        <f t="shared" si="89"/>
        <v>0</v>
      </c>
      <c r="AT137" s="11">
        <f t="shared" si="89"/>
        <v>0</v>
      </c>
      <c r="AU137" s="11">
        <f t="shared" si="89"/>
        <v>0</v>
      </c>
      <c r="AV137" s="11">
        <f t="shared" si="89"/>
        <v>0</v>
      </c>
      <c r="AW137" s="11">
        <f t="shared" si="89"/>
        <v>0</v>
      </c>
      <c r="AX137" s="11">
        <f t="shared" si="89"/>
        <v>0</v>
      </c>
      <c r="AY137" s="11">
        <f t="shared" si="89"/>
        <v>0</v>
      </c>
      <c r="AZ137" s="11">
        <f t="shared" si="89"/>
        <v>0</v>
      </c>
      <c r="BA137" s="11">
        <f t="shared" si="89"/>
        <v>0</v>
      </c>
    </row>
    <row r="138" spans="3:53" ht="15.75" customHeight="1" x14ac:dyDescent="0.35">
      <c r="E138" s="5" t="s">
        <v>30</v>
      </c>
      <c r="F138" s="5"/>
      <c r="G138" s="5"/>
      <c r="H138" s="5"/>
      <c r="I138" s="5"/>
      <c r="J138" s="5"/>
      <c r="K138" s="5"/>
      <c r="N138" s="1">
        <f t="shared" ref="N138:N144" si="90">SUM(Q138:BA138)</f>
        <v>0</v>
      </c>
      <c r="Q138" s="1">
        <f t="shared" ref="Q138:BA138" si="91">SUM(Q139:Q141)</f>
        <v>0</v>
      </c>
      <c r="R138" s="1">
        <f t="shared" si="91"/>
        <v>0</v>
      </c>
      <c r="S138" s="1">
        <f t="shared" si="91"/>
        <v>0</v>
      </c>
      <c r="T138" s="1">
        <f t="shared" si="91"/>
        <v>0</v>
      </c>
      <c r="U138" s="1">
        <f t="shared" si="91"/>
        <v>0</v>
      </c>
      <c r="V138" s="1">
        <f t="shared" si="91"/>
        <v>0</v>
      </c>
      <c r="W138" s="1">
        <f t="shared" si="91"/>
        <v>0</v>
      </c>
      <c r="X138" s="1">
        <f t="shared" si="91"/>
        <v>0</v>
      </c>
      <c r="Y138" s="1">
        <f t="shared" si="91"/>
        <v>0</v>
      </c>
      <c r="Z138" s="1">
        <f t="shared" si="91"/>
        <v>0</v>
      </c>
      <c r="AA138" s="1">
        <f t="shared" si="91"/>
        <v>0</v>
      </c>
      <c r="AB138" s="1">
        <f t="shared" si="91"/>
        <v>0</v>
      </c>
      <c r="AC138" s="1">
        <f t="shared" si="91"/>
        <v>0</v>
      </c>
      <c r="AD138" s="1">
        <f t="shared" si="91"/>
        <v>0</v>
      </c>
      <c r="AE138" s="1">
        <f t="shared" si="91"/>
        <v>0</v>
      </c>
      <c r="AF138" s="1">
        <f t="shared" si="91"/>
        <v>0</v>
      </c>
      <c r="AG138" s="1">
        <f t="shared" si="91"/>
        <v>0</v>
      </c>
      <c r="AH138" s="1">
        <f t="shared" si="91"/>
        <v>0</v>
      </c>
      <c r="AI138" s="1">
        <f t="shared" si="91"/>
        <v>0</v>
      </c>
      <c r="AJ138" s="1">
        <f t="shared" si="91"/>
        <v>0</v>
      </c>
      <c r="AK138" s="1">
        <f t="shared" si="91"/>
        <v>0</v>
      </c>
      <c r="AL138" s="1">
        <f t="shared" si="91"/>
        <v>0</v>
      </c>
      <c r="AM138" s="1">
        <f t="shared" si="91"/>
        <v>0</v>
      </c>
      <c r="AN138" s="1">
        <f t="shared" si="91"/>
        <v>0</v>
      </c>
      <c r="AO138" s="1">
        <f t="shared" si="91"/>
        <v>0</v>
      </c>
      <c r="AP138" s="1">
        <f t="shared" si="91"/>
        <v>0</v>
      </c>
      <c r="AQ138" s="1">
        <f t="shared" si="91"/>
        <v>0</v>
      </c>
      <c r="AR138" s="1">
        <f t="shared" si="91"/>
        <v>0</v>
      </c>
      <c r="AS138" s="1">
        <f t="shared" si="91"/>
        <v>0</v>
      </c>
      <c r="AT138" s="1">
        <f t="shared" si="91"/>
        <v>0</v>
      </c>
      <c r="AU138" s="1">
        <f t="shared" si="91"/>
        <v>0</v>
      </c>
      <c r="AV138" s="1">
        <f t="shared" si="91"/>
        <v>0</v>
      </c>
      <c r="AW138" s="1">
        <f t="shared" si="91"/>
        <v>0</v>
      </c>
      <c r="AX138" s="1">
        <f t="shared" si="91"/>
        <v>0</v>
      </c>
      <c r="AY138" s="1">
        <f t="shared" si="91"/>
        <v>0</v>
      </c>
      <c r="AZ138" s="1">
        <f t="shared" si="91"/>
        <v>0</v>
      </c>
      <c r="BA138" s="1">
        <f t="shared" si="91"/>
        <v>0</v>
      </c>
    </row>
    <row r="139" spans="3:53" ht="15.75" customHeight="1" x14ac:dyDescent="0.35">
      <c r="F139" s="5" t="s">
        <v>67</v>
      </c>
      <c r="G139" s="5"/>
      <c r="H139" s="5"/>
      <c r="I139" s="5"/>
      <c r="J139" s="5"/>
      <c r="K139" s="5"/>
      <c r="N139" s="1">
        <f t="shared" si="90"/>
        <v>0</v>
      </c>
      <c r="Q139" s="1">
        <f t="shared" ref="Q139:BA139" si="92">Q182</f>
        <v>0</v>
      </c>
      <c r="R139" s="1">
        <f t="shared" si="92"/>
        <v>0</v>
      </c>
      <c r="S139" s="1">
        <f t="shared" si="92"/>
        <v>0</v>
      </c>
      <c r="T139" s="1">
        <f t="shared" si="92"/>
        <v>0</v>
      </c>
      <c r="U139" s="1">
        <f t="shared" si="92"/>
        <v>0</v>
      </c>
      <c r="V139" s="1">
        <f t="shared" si="92"/>
        <v>0</v>
      </c>
      <c r="W139" s="1">
        <f t="shared" si="92"/>
        <v>0</v>
      </c>
      <c r="X139" s="1">
        <f t="shared" si="92"/>
        <v>0</v>
      </c>
      <c r="Y139" s="1">
        <f t="shared" si="92"/>
        <v>0</v>
      </c>
      <c r="Z139" s="1">
        <f t="shared" si="92"/>
        <v>0</v>
      </c>
      <c r="AA139" s="1">
        <f t="shared" si="92"/>
        <v>0</v>
      </c>
      <c r="AB139" s="1">
        <f t="shared" si="92"/>
        <v>0</v>
      </c>
      <c r="AC139" s="1">
        <f t="shared" si="92"/>
        <v>0</v>
      </c>
      <c r="AD139" s="1">
        <f t="shared" si="92"/>
        <v>0</v>
      </c>
      <c r="AE139" s="1">
        <f t="shared" si="92"/>
        <v>0</v>
      </c>
      <c r="AF139" s="1">
        <f t="shared" si="92"/>
        <v>0</v>
      </c>
      <c r="AG139" s="1">
        <f t="shared" si="92"/>
        <v>0</v>
      </c>
      <c r="AH139" s="1">
        <f t="shared" si="92"/>
        <v>0</v>
      </c>
      <c r="AI139" s="1">
        <f t="shared" si="92"/>
        <v>0</v>
      </c>
      <c r="AJ139" s="1">
        <f t="shared" si="92"/>
        <v>0</v>
      </c>
      <c r="AK139" s="1">
        <f t="shared" si="92"/>
        <v>0</v>
      </c>
      <c r="AL139" s="1">
        <f t="shared" si="92"/>
        <v>0</v>
      </c>
      <c r="AM139" s="1">
        <f t="shared" si="92"/>
        <v>0</v>
      </c>
      <c r="AN139" s="1">
        <f t="shared" si="92"/>
        <v>0</v>
      </c>
      <c r="AO139" s="1">
        <f t="shared" si="92"/>
        <v>0</v>
      </c>
      <c r="AP139" s="1">
        <f t="shared" si="92"/>
        <v>0</v>
      </c>
      <c r="AQ139" s="1">
        <f t="shared" si="92"/>
        <v>0</v>
      </c>
      <c r="AR139" s="1">
        <f t="shared" si="92"/>
        <v>0</v>
      </c>
      <c r="AS139" s="1">
        <f t="shared" si="92"/>
        <v>0</v>
      </c>
      <c r="AT139" s="1">
        <f t="shared" si="92"/>
        <v>0</v>
      </c>
      <c r="AU139" s="1">
        <f t="shared" si="92"/>
        <v>0</v>
      </c>
      <c r="AV139" s="1">
        <f t="shared" si="92"/>
        <v>0</v>
      </c>
      <c r="AW139" s="1">
        <f t="shared" si="92"/>
        <v>0</v>
      </c>
      <c r="AX139" s="1">
        <f t="shared" si="92"/>
        <v>0</v>
      </c>
      <c r="AY139" s="1">
        <f t="shared" si="92"/>
        <v>0</v>
      </c>
      <c r="AZ139" s="1">
        <f t="shared" si="92"/>
        <v>0</v>
      </c>
      <c r="BA139" s="1">
        <f t="shared" si="92"/>
        <v>0</v>
      </c>
    </row>
    <row r="140" spans="3:53" ht="15.75" customHeight="1" x14ac:dyDescent="0.35">
      <c r="F140" s="5" t="s">
        <v>71</v>
      </c>
      <c r="G140" s="5"/>
      <c r="H140" s="5"/>
      <c r="I140" s="5"/>
      <c r="J140" s="5"/>
      <c r="K140" s="5"/>
      <c r="N140" s="1">
        <f t="shared" si="90"/>
        <v>0</v>
      </c>
      <c r="Q140" s="1">
        <f>SUM($Q$175:$BA$175)*'zakładka techniczna'!$N$19*'zakładka techniczna'!$N$25*OPp.w2</f>
        <v>0</v>
      </c>
      <c r="R140" s="1">
        <f>SUM($Q$175:$BA$175)*'zakładka techniczna'!$N$19*'zakładka techniczna'!$N$25*OPp.w2</f>
        <v>0</v>
      </c>
      <c r="S140" s="1">
        <f>SUM($Q$175:$BA$175)*'zakładka techniczna'!$N$19*'zakładka techniczna'!$N$25*OPp.w2</f>
        <v>0</v>
      </c>
      <c r="T140" s="1">
        <f>SUM($Q$175:$BA$175)*'zakładka techniczna'!$N$19*'zakładka techniczna'!$N$25*OPp.w2</f>
        <v>0</v>
      </c>
      <c r="U140" s="1">
        <f>SUM($Q$175:$BA$175)*'zakładka techniczna'!$N$19*'zakładka techniczna'!$N$25*OPp.w2</f>
        <v>0</v>
      </c>
      <c r="V140" s="1">
        <f>SUM($Q$175:$BA$175)*'zakładka techniczna'!$N$19*'zakładka techniczna'!$N$25*OPp.w2</f>
        <v>0</v>
      </c>
      <c r="W140" s="1">
        <f>SUM($Q$175:$BA$175)*'zakładka techniczna'!$N$19*'zakładka techniczna'!$N$25*OPp.w2</f>
        <v>0</v>
      </c>
      <c r="X140" s="1">
        <f>SUM($Q$175:$BA$175)*'zakładka techniczna'!$N$19*'zakładka techniczna'!$N$25*OPp.w2</f>
        <v>0</v>
      </c>
      <c r="Y140" s="1">
        <f>SUM($Q$175:$BA$175)*'zakładka techniczna'!$N$19*'zakładka techniczna'!$N$25*OPp.w2</f>
        <v>0</v>
      </c>
      <c r="Z140" s="1">
        <f>SUM($Q$175:$BA$175)*'zakładka techniczna'!$N$19*'zakładka techniczna'!$N$25*OPp.w2</f>
        <v>0</v>
      </c>
      <c r="AA140" s="1">
        <f>SUM($Q$175:$BA$175)*'zakładka techniczna'!$N$19*'zakładka techniczna'!$N$25*OPp.w2</f>
        <v>0</v>
      </c>
      <c r="AB140" s="1">
        <f>SUM($Q$175:$BA$175)*'zakładka techniczna'!$N$19*'zakładka techniczna'!$N$25*OPp.w2</f>
        <v>0</v>
      </c>
      <c r="AC140" s="1">
        <f>SUM($Q$175:$BA$175)*'zakładka techniczna'!$N$19*'zakładka techniczna'!$N$25*OPp.w2</f>
        <v>0</v>
      </c>
      <c r="AD140" s="1">
        <f>SUM($Q$175:$BA$175)*'zakładka techniczna'!$N$19*'zakładka techniczna'!$N$25*OPp.w2</f>
        <v>0</v>
      </c>
      <c r="AE140" s="1">
        <f>SUM($Q$175:$BA$175)*'zakładka techniczna'!$N$19*'zakładka techniczna'!$N$25*OPp.w2</f>
        <v>0</v>
      </c>
      <c r="AF140" s="1">
        <f>SUM($Q$175:$BA$175)*'zakładka techniczna'!$N$19*'zakładka techniczna'!$N$25*OPp.w2</f>
        <v>0</v>
      </c>
      <c r="AG140" s="1">
        <f>SUM($Q$175:$BA$175)*'zakładka techniczna'!$N$19*'zakładka techniczna'!$N$25*OPp.w2</f>
        <v>0</v>
      </c>
      <c r="AH140" s="1">
        <f>SUM($Q$175:$BA$175)*'zakładka techniczna'!$N$19*'zakładka techniczna'!$N$25*OPp.w2</f>
        <v>0</v>
      </c>
      <c r="AI140" s="1">
        <f>SUM($Q$175:$BA$175)*'zakładka techniczna'!$N$19*'zakładka techniczna'!$N$25*OPp.w2</f>
        <v>0</v>
      </c>
      <c r="AJ140" s="1">
        <f>SUM($Q$175:$BA$175)*'zakładka techniczna'!$N$19*'zakładka techniczna'!$N$25*OPp.w2</f>
        <v>0</v>
      </c>
      <c r="AK140" s="1">
        <f>SUM($Q$175:$BA$175)*'zakładka techniczna'!$N$19*'zakładka techniczna'!$N$25*OPp.w2</f>
        <v>0</v>
      </c>
      <c r="AL140" s="1">
        <f>SUM($Q$175:$BA$175)*'zakładka techniczna'!$N$19*'zakładka techniczna'!$N$25*OPp.w2</f>
        <v>0</v>
      </c>
      <c r="AM140" s="1">
        <f>SUM($Q$175:$BA$175)*'zakładka techniczna'!$N$19*'zakładka techniczna'!$N$25*OPp.w2</f>
        <v>0</v>
      </c>
      <c r="AN140" s="1">
        <f>SUM($Q$175:$BA$175)*'zakładka techniczna'!$N$19*'zakładka techniczna'!$N$25*OPp.w2</f>
        <v>0</v>
      </c>
      <c r="AO140" s="1">
        <f>SUM($Q$175:$BA$175)*'zakładka techniczna'!$N$19*'zakładka techniczna'!$N$25*OPp.w2</f>
        <v>0</v>
      </c>
      <c r="AP140" s="1">
        <f>SUM($Q$175:$BA$175)*'zakładka techniczna'!$N$19*'zakładka techniczna'!$N$25*OPp.w2</f>
        <v>0</v>
      </c>
      <c r="AQ140" s="1">
        <f>SUM($Q$175:$BA$175)*'zakładka techniczna'!$N$19*'zakładka techniczna'!$N$25*OPp.w2</f>
        <v>0</v>
      </c>
      <c r="AR140" s="1">
        <f>SUM($Q$175:$BA$175)*'zakładka techniczna'!$N$19*'zakładka techniczna'!$N$25*OPp.w2</f>
        <v>0</v>
      </c>
      <c r="AS140" s="1">
        <f>SUM($Q$175:$BA$175)*'zakładka techniczna'!$N$19*'zakładka techniczna'!$N$25*OPp.w2</f>
        <v>0</v>
      </c>
      <c r="AT140" s="1">
        <f>SUM($Q$175:$BA$175)*'zakładka techniczna'!$N$19*'zakładka techniczna'!$N$25*OPp.w2</f>
        <v>0</v>
      </c>
      <c r="AU140" s="1">
        <f>SUM($Q$175:$BA$175)*'zakładka techniczna'!$N$19*'zakładka techniczna'!$N$25*OPp.w2</f>
        <v>0</v>
      </c>
      <c r="AV140" s="1">
        <f>SUM($Q$175:$BA$175)*'zakładka techniczna'!$N$19*'zakładka techniczna'!$N$25*OPp.w2</f>
        <v>0</v>
      </c>
      <c r="AW140" s="1">
        <f>SUM($Q$175:$BA$175)*'zakładka techniczna'!$N$19*'zakładka techniczna'!$N$25*OPp.w2</f>
        <v>0</v>
      </c>
      <c r="AX140" s="1">
        <f>SUM($Q$175:$BA$175)*'zakładka techniczna'!$N$19*'zakładka techniczna'!$N$25*OPp.w2</f>
        <v>0</v>
      </c>
      <c r="AY140" s="1">
        <f>SUM($Q$175:$BA$175)*'zakładka techniczna'!$N$19*'zakładka techniczna'!$N$25*OPp.w2</f>
        <v>0</v>
      </c>
      <c r="AZ140" s="1">
        <f>SUM($Q$175:$BA$175)*'zakładka techniczna'!$N$19*'zakładka techniczna'!$N$25*OPp.w2</f>
        <v>0</v>
      </c>
      <c r="BA140" s="1">
        <f>SUM($Q$175:$BA$175)*'zakładka techniczna'!$N$19*'zakładka techniczna'!$N$25*OPp.w2</f>
        <v>0</v>
      </c>
    </row>
    <row r="141" spans="3:53" ht="15.75" customHeight="1" x14ac:dyDescent="0.35">
      <c r="F141" s="5" t="s">
        <v>70</v>
      </c>
      <c r="G141" s="5"/>
      <c r="H141" s="5"/>
      <c r="I141" s="5"/>
      <c r="J141" s="5"/>
      <c r="K141" s="5"/>
      <c r="N141" s="1">
        <f t="shared" si="90"/>
        <v>0</v>
      </c>
      <c r="Q141" s="1">
        <f t="shared" ref="Q141:BA141" si="93">SUM(Q137,Q139)*SUM(Q148:Q149)*(OBt.w2+OPt.w2)</f>
        <v>0</v>
      </c>
      <c r="R141" s="1">
        <f t="shared" si="93"/>
        <v>0</v>
      </c>
      <c r="S141" s="1">
        <f t="shared" si="93"/>
        <v>0</v>
      </c>
      <c r="T141" s="1">
        <f t="shared" si="93"/>
        <v>0</v>
      </c>
      <c r="U141" s="1">
        <f t="shared" si="93"/>
        <v>0</v>
      </c>
      <c r="V141" s="1">
        <f t="shared" si="93"/>
        <v>0</v>
      </c>
      <c r="W141" s="1">
        <f t="shared" si="93"/>
        <v>0</v>
      </c>
      <c r="X141" s="1">
        <f t="shared" si="93"/>
        <v>0</v>
      </c>
      <c r="Y141" s="1">
        <f t="shared" si="93"/>
        <v>0</v>
      </c>
      <c r="Z141" s="1">
        <f t="shared" si="93"/>
        <v>0</v>
      </c>
      <c r="AA141" s="1">
        <f t="shared" si="93"/>
        <v>0</v>
      </c>
      <c r="AB141" s="1">
        <f t="shared" si="93"/>
        <v>0</v>
      </c>
      <c r="AC141" s="1">
        <f t="shared" si="93"/>
        <v>0</v>
      </c>
      <c r="AD141" s="1">
        <f t="shared" si="93"/>
        <v>0</v>
      </c>
      <c r="AE141" s="1">
        <f t="shared" si="93"/>
        <v>0</v>
      </c>
      <c r="AF141" s="1">
        <f t="shared" si="93"/>
        <v>0</v>
      </c>
      <c r="AG141" s="1">
        <f t="shared" si="93"/>
        <v>0</v>
      </c>
      <c r="AH141" s="1">
        <f t="shared" si="93"/>
        <v>0</v>
      </c>
      <c r="AI141" s="1">
        <f t="shared" si="93"/>
        <v>0</v>
      </c>
      <c r="AJ141" s="1">
        <f t="shared" si="93"/>
        <v>0</v>
      </c>
      <c r="AK141" s="1">
        <f t="shared" si="93"/>
        <v>0</v>
      </c>
      <c r="AL141" s="1">
        <f t="shared" si="93"/>
        <v>0</v>
      </c>
      <c r="AM141" s="1">
        <f t="shared" si="93"/>
        <v>0</v>
      </c>
      <c r="AN141" s="1">
        <f t="shared" si="93"/>
        <v>0</v>
      </c>
      <c r="AO141" s="1">
        <f t="shared" si="93"/>
        <v>0</v>
      </c>
      <c r="AP141" s="1">
        <f t="shared" si="93"/>
        <v>0</v>
      </c>
      <c r="AQ141" s="1">
        <f t="shared" si="93"/>
        <v>0</v>
      </c>
      <c r="AR141" s="1">
        <f t="shared" si="93"/>
        <v>0</v>
      </c>
      <c r="AS141" s="1">
        <f t="shared" si="93"/>
        <v>0</v>
      </c>
      <c r="AT141" s="1">
        <f t="shared" si="93"/>
        <v>0</v>
      </c>
      <c r="AU141" s="1">
        <f t="shared" si="93"/>
        <v>0</v>
      </c>
      <c r="AV141" s="1">
        <f t="shared" si="93"/>
        <v>0</v>
      </c>
      <c r="AW141" s="1">
        <f t="shared" si="93"/>
        <v>0</v>
      </c>
      <c r="AX141" s="1">
        <f t="shared" si="93"/>
        <v>0</v>
      </c>
      <c r="AY141" s="1">
        <f t="shared" si="93"/>
        <v>0</v>
      </c>
      <c r="AZ141" s="1">
        <f t="shared" si="93"/>
        <v>0</v>
      </c>
      <c r="BA141" s="1">
        <f t="shared" si="93"/>
        <v>0</v>
      </c>
    </row>
    <row r="142" spans="3:53" ht="15.75" customHeight="1" x14ac:dyDescent="0.35">
      <c r="E142" s="5" t="s">
        <v>31</v>
      </c>
      <c r="F142" s="5"/>
      <c r="G142" s="5"/>
      <c r="H142" s="5"/>
      <c r="I142" s="5"/>
      <c r="J142" s="5"/>
      <c r="K142" s="5"/>
      <c r="N142" s="1">
        <f t="shared" si="90"/>
        <v>0</v>
      </c>
      <c r="Q142" s="1">
        <f t="shared" ref="Q142:BA142" si="94">SUM(Q143:Q144)</f>
        <v>0</v>
      </c>
      <c r="R142" s="1">
        <f t="shared" si="94"/>
        <v>0</v>
      </c>
      <c r="S142" s="1">
        <f t="shared" si="94"/>
        <v>0</v>
      </c>
      <c r="T142" s="1">
        <f t="shared" si="94"/>
        <v>0</v>
      </c>
      <c r="U142" s="1">
        <f t="shared" si="94"/>
        <v>0</v>
      </c>
      <c r="V142" s="1">
        <f t="shared" si="94"/>
        <v>0</v>
      </c>
      <c r="W142" s="1">
        <f t="shared" si="94"/>
        <v>0</v>
      </c>
      <c r="X142" s="1">
        <f t="shared" si="94"/>
        <v>0</v>
      </c>
      <c r="Y142" s="1">
        <f t="shared" si="94"/>
        <v>0</v>
      </c>
      <c r="Z142" s="1">
        <f t="shared" si="94"/>
        <v>0</v>
      </c>
      <c r="AA142" s="1">
        <f t="shared" si="94"/>
        <v>0</v>
      </c>
      <c r="AB142" s="1">
        <f t="shared" si="94"/>
        <v>0</v>
      </c>
      <c r="AC142" s="1">
        <f t="shared" si="94"/>
        <v>0</v>
      </c>
      <c r="AD142" s="1">
        <f t="shared" si="94"/>
        <v>0</v>
      </c>
      <c r="AE142" s="1">
        <f t="shared" si="94"/>
        <v>0</v>
      </c>
      <c r="AF142" s="1">
        <f t="shared" si="94"/>
        <v>0</v>
      </c>
      <c r="AG142" s="1">
        <f t="shared" si="94"/>
        <v>0</v>
      </c>
      <c r="AH142" s="1">
        <f t="shared" si="94"/>
        <v>0</v>
      </c>
      <c r="AI142" s="1">
        <f t="shared" si="94"/>
        <v>0</v>
      </c>
      <c r="AJ142" s="1">
        <f t="shared" si="94"/>
        <v>0</v>
      </c>
      <c r="AK142" s="1">
        <f t="shared" si="94"/>
        <v>0</v>
      </c>
      <c r="AL142" s="1">
        <f t="shared" si="94"/>
        <v>0</v>
      </c>
      <c r="AM142" s="1">
        <f t="shared" si="94"/>
        <v>0</v>
      </c>
      <c r="AN142" s="1">
        <f t="shared" si="94"/>
        <v>0</v>
      </c>
      <c r="AO142" s="1">
        <f t="shared" si="94"/>
        <v>0</v>
      </c>
      <c r="AP142" s="1">
        <f t="shared" si="94"/>
        <v>0</v>
      </c>
      <c r="AQ142" s="1">
        <f t="shared" si="94"/>
        <v>0</v>
      </c>
      <c r="AR142" s="1">
        <f t="shared" si="94"/>
        <v>0</v>
      </c>
      <c r="AS142" s="1">
        <f t="shared" si="94"/>
        <v>0</v>
      </c>
      <c r="AT142" s="1">
        <f t="shared" si="94"/>
        <v>0</v>
      </c>
      <c r="AU142" s="1">
        <f t="shared" si="94"/>
        <v>0</v>
      </c>
      <c r="AV142" s="1">
        <f t="shared" si="94"/>
        <v>0</v>
      </c>
      <c r="AW142" s="1">
        <f t="shared" si="94"/>
        <v>0</v>
      </c>
      <c r="AX142" s="1">
        <f t="shared" si="94"/>
        <v>0</v>
      </c>
      <c r="AY142" s="1">
        <f t="shared" si="94"/>
        <v>0</v>
      </c>
      <c r="AZ142" s="1">
        <f t="shared" si="94"/>
        <v>0</v>
      </c>
      <c r="BA142" s="1">
        <f t="shared" si="94"/>
        <v>0</v>
      </c>
    </row>
    <row r="143" spans="3:53" ht="15.75" customHeight="1" x14ac:dyDescent="0.35">
      <c r="E143" s="5"/>
      <c r="F143" s="5" t="s">
        <v>83</v>
      </c>
      <c r="G143" s="5"/>
      <c r="H143" s="5"/>
      <c r="I143" s="5"/>
      <c r="J143" s="5"/>
      <c r="K143" s="5"/>
      <c r="N143" s="1">
        <f t="shared" si="90"/>
        <v>0</v>
      </c>
      <c r="Q143" s="1">
        <f>IFERROR(-MIN(Q137,SUM($P$139:Q141)/SUM(OEt.w2))*OEt.w2,0)</f>
        <v>0</v>
      </c>
      <c r="R143" s="1">
        <f>IFERROR(-MIN(R137,SUM($P$139:R141)/SUM(OEt.w2))*OEt.w2,0)</f>
        <v>0</v>
      </c>
      <c r="S143" s="1">
        <f>IFERROR(-MIN(S137,SUM($P$139:S141)/SUM(OEt.w2))*OEt.w2,0)</f>
        <v>0</v>
      </c>
      <c r="T143" s="1">
        <f>IFERROR(-MIN(T137,SUM($P$139:T141)/SUM(OEt.w2))*OEt.w2,0)</f>
        <v>0</v>
      </c>
      <c r="U143" s="1">
        <f>IFERROR(-MIN(U137,SUM($P$139:U141)/SUM(OEt.w2))*OEt.w2,0)</f>
        <v>0</v>
      </c>
      <c r="V143" s="1">
        <f>IFERROR(-MIN(V137,SUM($P$139:V141)/SUM(OEt.w2))*OEt.w2,0)</f>
        <v>0</v>
      </c>
      <c r="W143" s="1">
        <f>IFERROR(-MIN(W137,SUM($P$139:W141)/SUM(OEt.w2))*OEt.w2,0)</f>
        <v>0</v>
      </c>
      <c r="X143" s="1">
        <f>IFERROR(-MIN(X137,SUM($P$139:X141)/SUM(OEt.w2))*OEt.w2,0)</f>
        <v>0</v>
      </c>
      <c r="Y143" s="1">
        <f>IFERROR(-MIN(Y137,SUM($P$139:Y141)/SUM(OEt.w2))*OEt.w2,0)</f>
        <v>0</v>
      </c>
      <c r="Z143" s="1">
        <f>IFERROR(-MIN(Z137,SUM($P$139:Z141)/SUM(OEt.w2))*OEt.w2,0)</f>
        <v>0</v>
      </c>
      <c r="AA143" s="1">
        <f>IFERROR(-MIN(AA137,SUM($P$139:AA141)/SUM(OEt.w2))*OEt.w2,0)</f>
        <v>0</v>
      </c>
      <c r="AB143" s="1">
        <f>IFERROR(-MIN(AB137,SUM($P$139:AB141)/SUM(OEt.w2))*OEt.w2,0)</f>
        <v>0</v>
      </c>
      <c r="AC143" s="1">
        <f>IFERROR(-MIN(AC137,SUM($P$139:AC141)/SUM(OEt.w2))*OEt.w2,0)</f>
        <v>0</v>
      </c>
      <c r="AD143" s="1">
        <f>IFERROR(-MIN(AD137,SUM($P$139:AD141)/SUM(OEt.w2))*OEt.w2,0)</f>
        <v>0</v>
      </c>
      <c r="AE143" s="1">
        <f>IFERROR(-MIN(AE137,SUM($P$139:AE141)/SUM(OEt.w2))*OEt.w2,0)</f>
        <v>0</v>
      </c>
      <c r="AF143" s="1">
        <f>IFERROR(-MIN(AF137,SUM($P$139:AF141)/SUM(OEt.w2))*OEt.w2,0)</f>
        <v>0</v>
      </c>
      <c r="AG143" s="1">
        <f>IFERROR(-MIN(AG137,SUM($P$139:AG141)/SUM(OEt.w2))*OEt.w2,0)</f>
        <v>0</v>
      </c>
      <c r="AH143" s="1">
        <f>IFERROR(-MIN(AH137,SUM($P$139:AH141)/SUM(OEt.w2))*OEt.w2,0)</f>
        <v>0</v>
      </c>
      <c r="AI143" s="1">
        <f>IFERROR(-MIN(AI137,SUM($P$139:AI141)/SUM(OEt.w2))*OEt.w2,0)</f>
        <v>0</v>
      </c>
      <c r="AJ143" s="1">
        <f>IFERROR(-MIN(AJ137,SUM($P$139:AJ141)/SUM(OEt.w2))*OEt.w2,0)</f>
        <v>0</v>
      </c>
      <c r="AK143" s="1">
        <f>IFERROR(-MIN(AK137,SUM($P$139:AK141)/SUM(OEt.w2))*OEt.w2,0)</f>
        <v>0</v>
      </c>
      <c r="AL143" s="1">
        <f>IFERROR(-MIN(AL137,SUM($P$139:AL141)/SUM(OEt.w2))*OEt.w2,0)</f>
        <v>0</v>
      </c>
      <c r="AM143" s="1">
        <f>IFERROR(-MIN(AM137,SUM($P$139:AM141)/SUM(OEt.w2))*OEt.w2,0)</f>
        <v>0</v>
      </c>
      <c r="AN143" s="1">
        <f>IFERROR(-MIN(AN137,SUM($P$139:AN141)/SUM(OEt.w2))*OEt.w2,0)</f>
        <v>0</v>
      </c>
      <c r="AO143" s="1">
        <f>IFERROR(-MIN(AO137,SUM($P$139:AO141)/SUM(OEt.w2))*OEt.w2,0)</f>
        <v>0</v>
      </c>
      <c r="AP143" s="1">
        <f>IFERROR(-MIN(AP137,SUM($P$139:AP141)/SUM(OEt.w2))*OEt.w2,0)</f>
        <v>0</v>
      </c>
      <c r="AQ143" s="1">
        <f>IFERROR(-MIN(AQ137,SUM($P$139:AQ141)/SUM(OEt.w2))*OEt.w2,0)</f>
        <v>0</v>
      </c>
      <c r="AR143" s="1">
        <f>IFERROR(-MIN(AR137,SUM($P$139:AR141)/SUM(OEt.w2))*OEt.w2,0)</f>
        <v>0</v>
      </c>
      <c r="AS143" s="1">
        <f>IFERROR(-MIN(AS137,SUM($P$139:AS141)/SUM(OEt.w2))*OEt.w2,0)</f>
        <v>0</v>
      </c>
      <c r="AT143" s="1">
        <f>IFERROR(-MIN(AT137,SUM($P$139:AT141)/SUM(OEt.w2))*OEt.w2,0)</f>
        <v>0</v>
      </c>
      <c r="AU143" s="1">
        <f>IFERROR(-MIN(AU137,SUM($P$139:AU141)/SUM(OEt.w2))*OEt.w2,0)</f>
        <v>0</v>
      </c>
      <c r="AV143" s="1">
        <f>IFERROR(-MIN(AV137,SUM($P$139:AV141)/SUM(OEt.w2))*OEt.w2,0)</f>
        <v>0</v>
      </c>
      <c r="AW143" s="1">
        <f>IFERROR(-MIN(AW137,SUM($P$139:AW141)/SUM(OEt.w2))*OEt.w2,0)</f>
        <v>0</v>
      </c>
      <c r="AX143" s="1">
        <f>IFERROR(-MIN(AX137,SUM($P$139:AX141)/SUM(OEt.w2))*OEt.w2,0)</f>
        <v>0</v>
      </c>
      <c r="AY143" s="1">
        <f>IFERROR(-MIN(AY137,SUM($P$139:AY141)/SUM(OEt.w2))*OEt.w2,0)</f>
        <v>0</v>
      </c>
      <c r="AZ143" s="1">
        <f>IFERROR(-MIN(AZ137,SUM($P$139:AZ141)/SUM(OEt.w2))*OEt.w2,0)</f>
        <v>0</v>
      </c>
      <c r="BA143" s="1">
        <f>IFERROR(-MIN(BA137,SUM($P$139:BA141)/SUM(OEt.w2))*OEt.w2,0)</f>
        <v>0</v>
      </c>
    </row>
    <row r="144" spans="3:53" ht="15.75" customHeight="1" x14ac:dyDescent="0.35">
      <c r="E144" s="5"/>
      <c r="F144" s="5" t="s">
        <v>84</v>
      </c>
      <c r="G144" s="5"/>
      <c r="H144" s="5"/>
      <c r="I144" s="5"/>
      <c r="J144" s="5"/>
      <c r="K144" s="5"/>
      <c r="N144" s="1">
        <f t="shared" si="90"/>
        <v>0</v>
      </c>
      <c r="Q144" s="1">
        <f t="shared" ref="Q144:AX144" si="95">Q198</f>
        <v>0</v>
      </c>
      <c r="R144" s="1">
        <f t="shared" si="95"/>
        <v>0</v>
      </c>
      <c r="S144" s="1">
        <f t="shared" si="95"/>
        <v>0</v>
      </c>
      <c r="T144" s="1">
        <f t="shared" si="95"/>
        <v>0</v>
      </c>
      <c r="U144" s="1">
        <f t="shared" si="95"/>
        <v>0</v>
      </c>
      <c r="V144" s="1">
        <f t="shared" si="95"/>
        <v>0</v>
      </c>
      <c r="W144" s="1">
        <f t="shared" si="95"/>
        <v>0</v>
      </c>
      <c r="X144" s="1">
        <f t="shared" si="95"/>
        <v>0</v>
      </c>
      <c r="Y144" s="1">
        <f t="shared" si="95"/>
        <v>0</v>
      </c>
      <c r="Z144" s="1">
        <f t="shared" si="95"/>
        <v>0</v>
      </c>
      <c r="AA144" s="1">
        <f t="shared" si="95"/>
        <v>0</v>
      </c>
      <c r="AB144" s="1">
        <f t="shared" si="95"/>
        <v>0</v>
      </c>
      <c r="AC144" s="1">
        <f t="shared" si="95"/>
        <v>0</v>
      </c>
      <c r="AD144" s="1">
        <f t="shared" si="95"/>
        <v>0</v>
      </c>
      <c r="AE144" s="1">
        <f t="shared" si="95"/>
        <v>0</v>
      </c>
      <c r="AF144" s="1">
        <f t="shared" si="95"/>
        <v>0</v>
      </c>
      <c r="AG144" s="1">
        <f t="shared" si="95"/>
        <v>0</v>
      </c>
      <c r="AH144" s="1">
        <f t="shared" si="95"/>
        <v>0</v>
      </c>
      <c r="AI144" s="1">
        <f t="shared" si="95"/>
        <v>0</v>
      </c>
      <c r="AJ144" s="1">
        <f t="shared" si="95"/>
        <v>0</v>
      </c>
      <c r="AK144" s="1">
        <f t="shared" si="95"/>
        <v>0</v>
      </c>
      <c r="AL144" s="1">
        <f t="shared" si="95"/>
        <v>0</v>
      </c>
      <c r="AM144" s="1">
        <f t="shared" si="95"/>
        <v>0</v>
      </c>
      <c r="AN144" s="1">
        <f t="shared" si="95"/>
        <v>0</v>
      </c>
      <c r="AO144" s="1">
        <f t="shared" si="95"/>
        <v>0</v>
      </c>
      <c r="AP144" s="1">
        <f t="shared" si="95"/>
        <v>0</v>
      </c>
      <c r="AQ144" s="1">
        <f t="shared" si="95"/>
        <v>0</v>
      </c>
      <c r="AR144" s="1">
        <f t="shared" si="95"/>
        <v>0</v>
      </c>
      <c r="AS144" s="1">
        <f t="shared" si="95"/>
        <v>0</v>
      </c>
      <c r="AT144" s="1">
        <f t="shared" si="95"/>
        <v>0</v>
      </c>
      <c r="AU144" s="1">
        <f t="shared" si="95"/>
        <v>0</v>
      </c>
      <c r="AV144" s="1">
        <f t="shared" si="95"/>
        <v>0</v>
      </c>
      <c r="AW144" s="1">
        <f t="shared" si="95"/>
        <v>0</v>
      </c>
      <c r="AX144" s="1">
        <f t="shared" si="95"/>
        <v>0</v>
      </c>
      <c r="AY144" s="1">
        <f>AY198</f>
        <v>0</v>
      </c>
      <c r="AZ144" s="1">
        <f t="shared" ref="AZ144:BA144" si="96">AZ198</f>
        <v>0</v>
      </c>
      <c r="BA144" s="1">
        <f t="shared" si="96"/>
        <v>0</v>
      </c>
    </row>
    <row r="145" spans="1:54" ht="15.75" customHeight="1" x14ac:dyDescent="0.35">
      <c r="D145" s="2" t="s">
        <v>27</v>
      </c>
      <c r="E145" s="5"/>
      <c r="F145" s="5"/>
      <c r="G145" s="5"/>
      <c r="H145" s="5"/>
      <c r="I145" s="5"/>
      <c r="J145" s="5"/>
      <c r="K145" s="5"/>
      <c r="N145" s="1">
        <f>SUM(N137,N138,N142)</f>
        <v>0</v>
      </c>
      <c r="Q145" s="1">
        <f t="shared" ref="Q145:BA145" si="97">SUM(Q137,Q138,Q142)</f>
        <v>0</v>
      </c>
      <c r="R145" s="1">
        <f t="shared" si="97"/>
        <v>0</v>
      </c>
      <c r="S145" s="1">
        <f t="shared" si="97"/>
        <v>0</v>
      </c>
      <c r="T145" s="1">
        <f t="shared" si="97"/>
        <v>0</v>
      </c>
      <c r="U145" s="1">
        <f t="shared" si="97"/>
        <v>0</v>
      </c>
      <c r="V145" s="1">
        <f t="shared" si="97"/>
        <v>0</v>
      </c>
      <c r="W145" s="1">
        <f t="shared" si="97"/>
        <v>0</v>
      </c>
      <c r="X145" s="1">
        <f t="shared" si="97"/>
        <v>0</v>
      </c>
      <c r="Y145" s="1">
        <f t="shared" si="97"/>
        <v>0</v>
      </c>
      <c r="Z145" s="1">
        <f t="shared" si="97"/>
        <v>0</v>
      </c>
      <c r="AA145" s="1">
        <f t="shared" si="97"/>
        <v>0</v>
      </c>
      <c r="AB145" s="1">
        <f t="shared" si="97"/>
        <v>0</v>
      </c>
      <c r="AC145" s="1">
        <f t="shared" si="97"/>
        <v>0</v>
      </c>
      <c r="AD145" s="1">
        <f t="shared" si="97"/>
        <v>0</v>
      </c>
      <c r="AE145" s="1">
        <f t="shared" si="97"/>
        <v>0</v>
      </c>
      <c r="AF145" s="1">
        <f t="shared" si="97"/>
        <v>0</v>
      </c>
      <c r="AG145" s="1">
        <f t="shared" si="97"/>
        <v>0</v>
      </c>
      <c r="AH145" s="1">
        <f t="shared" si="97"/>
        <v>0</v>
      </c>
      <c r="AI145" s="1">
        <f t="shared" si="97"/>
        <v>0</v>
      </c>
      <c r="AJ145" s="1">
        <f t="shared" si="97"/>
        <v>0</v>
      </c>
      <c r="AK145" s="1">
        <f t="shared" si="97"/>
        <v>0</v>
      </c>
      <c r="AL145" s="1">
        <f t="shared" si="97"/>
        <v>0</v>
      </c>
      <c r="AM145" s="1">
        <f t="shared" si="97"/>
        <v>0</v>
      </c>
      <c r="AN145" s="1">
        <f t="shared" si="97"/>
        <v>0</v>
      </c>
      <c r="AO145" s="1">
        <f t="shared" si="97"/>
        <v>0</v>
      </c>
      <c r="AP145" s="1">
        <f t="shared" si="97"/>
        <v>0</v>
      </c>
      <c r="AQ145" s="1">
        <f t="shared" si="97"/>
        <v>0</v>
      </c>
      <c r="AR145" s="1">
        <f t="shared" si="97"/>
        <v>0</v>
      </c>
      <c r="AS145" s="1">
        <f t="shared" si="97"/>
        <v>0</v>
      </c>
      <c r="AT145" s="1">
        <f t="shared" si="97"/>
        <v>0</v>
      </c>
      <c r="AU145" s="1">
        <f t="shared" si="97"/>
        <v>0</v>
      </c>
      <c r="AV145" s="1">
        <f t="shared" si="97"/>
        <v>0</v>
      </c>
      <c r="AW145" s="1">
        <f t="shared" si="97"/>
        <v>0</v>
      </c>
      <c r="AX145" s="1">
        <f t="shared" si="97"/>
        <v>0</v>
      </c>
      <c r="AY145" s="1">
        <f t="shared" si="97"/>
        <v>0</v>
      </c>
      <c r="AZ145" s="1">
        <f t="shared" si="97"/>
        <v>0</v>
      </c>
      <c r="BA145" s="1">
        <f t="shared" si="97"/>
        <v>0</v>
      </c>
    </row>
    <row r="146" spans="1:54" x14ac:dyDescent="0.35">
      <c r="D146" s="5"/>
    </row>
    <row r="147" spans="1:54" ht="15.75" customHeight="1" x14ac:dyDescent="0.35">
      <c r="D147" s="2" t="s">
        <v>147</v>
      </c>
      <c r="E147" s="5"/>
      <c r="F147" s="5"/>
      <c r="G147" s="5"/>
      <c r="H147" s="5"/>
      <c r="I147" s="5"/>
      <c r="J147" s="5"/>
      <c r="K147" s="5"/>
      <c r="N147" s="1">
        <f>SUM(Q147:BA147)</f>
        <v>0</v>
      </c>
      <c r="Q147" s="1">
        <f t="shared" ref="Q147:BA147" si="98">SUM(Q137,Q139)*SUM(Q148:Q150)*OEt.w2</f>
        <v>0</v>
      </c>
      <c r="R147" s="1">
        <f t="shared" si="98"/>
        <v>0</v>
      </c>
      <c r="S147" s="1">
        <f t="shared" si="98"/>
        <v>0</v>
      </c>
      <c r="T147" s="1">
        <f t="shared" si="98"/>
        <v>0</v>
      </c>
      <c r="U147" s="1">
        <f t="shared" si="98"/>
        <v>0</v>
      </c>
      <c r="V147" s="1">
        <f t="shared" si="98"/>
        <v>0</v>
      </c>
      <c r="W147" s="1">
        <f t="shared" si="98"/>
        <v>0</v>
      </c>
      <c r="X147" s="1">
        <f t="shared" si="98"/>
        <v>0</v>
      </c>
      <c r="Y147" s="1">
        <f t="shared" si="98"/>
        <v>0</v>
      </c>
      <c r="Z147" s="1">
        <f t="shared" si="98"/>
        <v>0</v>
      </c>
      <c r="AA147" s="1">
        <f t="shared" si="98"/>
        <v>0</v>
      </c>
      <c r="AB147" s="1">
        <f t="shared" si="98"/>
        <v>0</v>
      </c>
      <c r="AC147" s="1">
        <f t="shared" si="98"/>
        <v>0</v>
      </c>
      <c r="AD147" s="1">
        <f t="shared" si="98"/>
        <v>0</v>
      </c>
      <c r="AE147" s="1">
        <f t="shared" si="98"/>
        <v>0</v>
      </c>
      <c r="AF147" s="1">
        <f t="shared" si="98"/>
        <v>0</v>
      </c>
      <c r="AG147" s="1">
        <f t="shared" si="98"/>
        <v>0</v>
      </c>
      <c r="AH147" s="1">
        <f t="shared" si="98"/>
        <v>0</v>
      </c>
      <c r="AI147" s="1">
        <f t="shared" si="98"/>
        <v>0</v>
      </c>
      <c r="AJ147" s="1">
        <f t="shared" si="98"/>
        <v>0</v>
      </c>
      <c r="AK147" s="1">
        <f t="shared" si="98"/>
        <v>0</v>
      </c>
      <c r="AL147" s="1">
        <f t="shared" si="98"/>
        <v>0</v>
      </c>
      <c r="AM147" s="1">
        <f t="shared" si="98"/>
        <v>0</v>
      </c>
      <c r="AN147" s="1">
        <f t="shared" si="98"/>
        <v>0</v>
      </c>
      <c r="AO147" s="1">
        <f t="shared" si="98"/>
        <v>0</v>
      </c>
      <c r="AP147" s="1">
        <f t="shared" si="98"/>
        <v>0</v>
      </c>
      <c r="AQ147" s="1">
        <f t="shared" si="98"/>
        <v>0</v>
      </c>
      <c r="AR147" s="1">
        <f t="shared" si="98"/>
        <v>0</v>
      </c>
      <c r="AS147" s="1">
        <f t="shared" si="98"/>
        <v>0</v>
      </c>
      <c r="AT147" s="1">
        <f t="shared" si="98"/>
        <v>0</v>
      </c>
      <c r="AU147" s="1">
        <f t="shared" si="98"/>
        <v>0</v>
      </c>
      <c r="AV147" s="1">
        <f t="shared" si="98"/>
        <v>0</v>
      </c>
      <c r="AW147" s="1">
        <f t="shared" si="98"/>
        <v>0</v>
      </c>
      <c r="AX147" s="1">
        <f t="shared" si="98"/>
        <v>0</v>
      </c>
      <c r="AY147" s="1">
        <f t="shared" si="98"/>
        <v>0</v>
      </c>
      <c r="AZ147" s="1">
        <f t="shared" si="98"/>
        <v>0</v>
      </c>
      <c r="BA147" s="1">
        <f t="shared" si="98"/>
        <v>0</v>
      </c>
    </row>
    <row r="148" spans="1:54" ht="15.75" customHeight="1" x14ac:dyDescent="0.35">
      <c r="E148" s="5" t="s">
        <v>35</v>
      </c>
      <c r="F148" s="5"/>
      <c r="G148" s="5"/>
      <c r="H148" s="5"/>
      <c r="I148" s="5"/>
      <c r="J148" s="5"/>
      <c r="K148" s="5"/>
      <c r="Q148" s="6">
        <f>'zakładka techniczna'!Q$11</f>
        <v>5.5199999999999999E-2</v>
      </c>
      <c r="R148" s="6">
        <f>'zakładka techniczna'!R$11</f>
        <v>5.1799999999999999E-2</v>
      </c>
      <c r="S148" s="6">
        <f>'zakładka techniczna'!S$11</f>
        <v>4.6199999999999998E-2</v>
      </c>
      <c r="T148" s="6">
        <f>'zakładka techniczna'!T$11</f>
        <v>4.6199999999999998E-2</v>
      </c>
      <c r="U148" s="6">
        <f>'zakładka techniczna'!U$11</f>
        <v>3.5000000000000003E-2</v>
      </c>
      <c r="V148" s="6">
        <f>'zakładka techniczna'!V$11</f>
        <v>3.5000000000000003E-2</v>
      </c>
      <c r="W148" s="6">
        <f>'zakładka techniczna'!W$11</f>
        <v>3.5000000000000003E-2</v>
      </c>
      <c r="X148" s="6">
        <f>'zakładka techniczna'!X$11</f>
        <v>3.5000000000000003E-2</v>
      </c>
      <c r="Y148" s="6">
        <f>'zakładka techniczna'!Y$11</f>
        <v>3.5000000000000003E-2</v>
      </c>
      <c r="Z148" s="6">
        <f>'zakładka techniczna'!Z$11</f>
        <v>3.5000000000000003E-2</v>
      </c>
      <c r="AA148" s="6">
        <f>'zakładka techniczna'!AA$11</f>
        <v>3.5000000000000003E-2</v>
      </c>
      <c r="AB148" s="6">
        <f>'zakładka techniczna'!AB$11</f>
        <v>3.5000000000000003E-2</v>
      </c>
      <c r="AC148" s="6">
        <f>'zakładka techniczna'!AC$11</f>
        <v>3.5000000000000003E-2</v>
      </c>
      <c r="AD148" s="6">
        <f>'zakładka techniczna'!AD$11</f>
        <v>3.5000000000000003E-2</v>
      </c>
      <c r="AE148" s="6">
        <f>'zakładka techniczna'!AE$11</f>
        <v>3.5000000000000003E-2</v>
      </c>
      <c r="AF148" s="6">
        <f>'zakładka techniczna'!AF$11</f>
        <v>3.5000000000000003E-2</v>
      </c>
      <c r="AG148" s="6">
        <f>'zakładka techniczna'!AG$11</f>
        <v>3.5000000000000003E-2</v>
      </c>
      <c r="AH148" s="6">
        <f>'zakładka techniczna'!AH$11</f>
        <v>3.5000000000000003E-2</v>
      </c>
      <c r="AI148" s="6">
        <f>'zakładka techniczna'!AI$11</f>
        <v>3.5000000000000003E-2</v>
      </c>
      <c r="AJ148" s="6">
        <f>'zakładka techniczna'!AJ$11</f>
        <v>3.5000000000000003E-2</v>
      </c>
      <c r="AK148" s="6">
        <f>'zakładka techniczna'!AK$11</f>
        <v>3.5000000000000003E-2</v>
      </c>
      <c r="AL148" s="6">
        <f>'zakładka techniczna'!AL$11</f>
        <v>3.5000000000000003E-2</v>
      </c>
      <c r="AM148" s="6">
        <f>'zakładka techniczna'!AM$11</f>
        <v>3.5000000000000003E-2</v>
      </c>
      <c r="AN148" s="6">
        <f>'zakładka techniczna'!AN$11</f>
        <v>3.5000000000000003E-2</v>
      </c>
      <c r="AO148" s="6">
        <f>'zakładka techniczna'!AO$11</f>
        <v>3.5000000000000003E-2</v>
      </c>
      <c r="AP148" s="6">
        <f>'zakładka techniczna'!AP$11</f>
        <v>3.5000000000000003E-2</v>
      </c>
      <c r="AQ148" s="6">
        <f>'zakładka techniczna'!AQ$11</f>
        <v>3.5000000000000003E-2</v>
      </c>
      <c r="AR148" s="6">
        <f>'zakładka techniczna'!AR$11</f>
        <v>3.5000000000000003E-2</v>
      </c>
      <c r="AS148" s="6">
        <f>'zakładka techniczna'!AS$11</f>
        <v>3.5000000000000003E-2</v>
      </c>
      <c r="AT148" s="6">
        <f>'zakładka techniczna'!AT$11</f>
        <v>3.5000000000000003E-2</v>
      </c>
      <c r="AU148" s="6">
        <f>'zakładka techniczna'!AU$11</f>
        <v>3.5000000000000003E-2</v>
      </c>
      <c r="AV148" s="6">
        <f>'zakładka techniczna'!AV$11</f>
        <v>3.5000000000000003E-2</v>
      </c>
      <c r="AW148" s="6">
        <f>'zakładka techniczna'!AW$11</f>
        <v>3.5000000000000003E-2</v>
      </c>
      <c r="AX148" s="6">
        <f>'zakładka techniczna'!AX$11</f>
        <v>3.5000000000000003E-2</v>
      </c>
      <c r="AY148" s="6">
        <f>'zakładka techniczna'!AY$11</f>
        <v>3.5000000000000003E-2</v>
      </c>
      <c r="AZ148" s="6">
        <f>'zakładka techniczna'!AZ$11</f>
        <v>3.5000000000000003E-2</v>
      </c>
      <c r="BA148" s="6">
        <f>'zakładka techniczna'!BA$11</f>
        <v>3.5000000000000003E-2</v>
      </c>
    </row>
    <row r="149" spans="1:54" ht="15.75" customHeight="1" x14ac:dyDescent="0.35">
      <c r="E149" s="5" t="s">
        <v>74</v>
      </c>
      <c r="F149" s="5"/>
      <c r="G149" s="5"/>
      <c r="H149" s="5"/>
      <c r="I149" s="5"/>
      <c r="J149" s="5"/>
      <c r="K149" s="5"/>
      <c r="Q149" s="6">
        <f>'zakładka techniczna'!$N$23</f>
        <v>2.5000000000000001E-2</v>
      </c>
      <c r="R149" s="6">
        <f>'zakładka techniczna'!$N$23</f>
        <v>2.5000000000000001E-2</v>
      </c>
      <c r="S149" s="6">
        <f>'zakładka techniczna'!$N$23</f>
        <v>2.5000000000000001E-2</v>
      </c>
      <c r="T149" s="6">
        <f>'zakładka techniczna'!$N$23</f>
        <v>2.5000000000000001E-2</v>
      </c>
      <c r="U149" s="6">
        <f>'zakładka techniczna'!$N$23</f>
        <v>2.5000000000000001E-2</v>
      </c>
      <c r="V149" s="6">
        <f>'zakładka techniczna'!$N$23</f>
        <v>2.5000000000000001E-2</v>
      </c>
      <c r="W149" s="6">
        <f>'zakładka techniczna'!$N$23</f>
        <v>2.5000000000000001E-2</v>
      </c>
      <c r="X149" s="6">
        <f>'zakładka techniczna'!$N$23</f>
        <v>2.5000000000000001E-2</v>
      </c>
      <c r="Y149" s="6">
        <f>'zakładka techniczna'!$N$23</f>
        <v>2.5000000000000001E-2</v>
      </c>
      <c r="Z149" s="6">
        <f>'zakładka techniczna'!$N$23</f>
        <v>2.5000000000000001E-2</v>
      </c>
      <c r="AA149" s="6">
        <f>'zakładka techniczna'!$N$23</f>
        <v>2.5000000000000001E-2</v>
      </c>
      <c r="AB149" s="6">
        <f>'zakładka techniczna'!$N$23</f>
        <v>2.5000000000000001E-2</v>
      </c>
      <c r="AC149" s="6">
        <f>'zakładka techniczna'!$N$23</f>
        <v>2.5000000000000001E-2</v>
      </c>
      <c r="AD149" s="6">
        <f>'zakładka techniczna'!$N$23</f>
        <v>2.5000000000000001E-2</v>
      </c>
      <c r="AE149" s="6">
        <f>'zakładka techniczna'!$N$23</f>
        <v>2.5000000000000001E-2</v>
      </c>
      <c r="AF149" s="6">
        <f>'zakładka techniczna'!$N$23</f>
        <v>2.5000000000000001E-2</v>
      </c>
      <c r="AG149" s="6">
        <f>'zakładka techniczna'!$N$23</f>
        <v>2.5000000000000001E-2</v>
      </c>
      <c r="AH149" s="6">
        <f>'zakładka techniczna'!$N$23</f>
        <v>2.5000000000000001E-2</v>
      </c>
      <c r="AI149" s="6">
        <f>'zakładka techniczna'!$N$23</f>
        <v>2.5000000000000001E-2</v>
      </c>
      <c r="AJ149" s="6">
        <f>'zakładka techniczna'!$N$23</f>
        <v>2.5000000000000001E-2</v>
      </c>
      <c r="AK149" s="6">
        <f>'zakładka techniczna'!$N$23</f>
        <v>2.5000000000000001E-2</v>
      </c>
      <c r="AL149" s="6">
        <f>'zakładka techniczna'!$N$23</f>
        <v>2.5000000000000001E-2</v>
      </c>
      <c r="AM149" s="6">
        <f>'zakładka techniczna'!$N$23</f>
        <v>2.5000000000000001E-2</v>
      </c>
      <c r="AN149" s="6">
        <f>'zakładka techniczna'!$N$23</f>
        <v>2.5000000000000001E-2</v>
      </c>
      <c r="AO149" s="6">
        <f>'zakładka techniczna'!$N$23</f>
        <v>2.5000000000000001E-2</v>
      </c>
      <c r="AP149" s="6">
        <f>'zakładka techniczna'!$N$23</f>
        <v>2.5000000000000001E-2</v>
      </c>
      <c r="AQ149" s="6">
        <f>'zakładka techniczna'!$N$23</f>
        <v>2.5000000000000001E-2</v>
      </c>
      <c r="AR149" s="6">
        <f>'zakładka techniczna'!$N$23</f>
        <v>2.5000000000000001E-2</v>
      </c>
      <c r="AS149" s="6">
        <f>'zakładka techniczna'!$N$23</f>
        <v>2.5000000000000001E-2</v>
      </c>
      <c r="AT149" s="6">
        <f>'zakładka techniczna'!$N$23</f>
        <v>2.5000000000000001E-2</v>
      </c>
      <c r="AU149" s="6">
        <f>'zakładka techniczna'!$N$23</f>
        <v>2.5000000000000001E-2</v>
      </c>
      <c r="AV149" s="6">
        <f>'zakładka techniczna'!$N$23</f>
        <v>2.5000000000000001E-2</v>
      </c>
      <c r="AW149" s="6">
        <f>'zakładka techniczna'!$N$23</f>
        <v>2.5000000000000001E-2</v>
      </c>
      <c r="AX149" s="6">
        <f>'zakładka techniczna'!$N$23</f>
        <v>2.5000000000000001E-2</v>
      </c>
      <c r="AY149" s="6">
        <f>'zakładka techniczna'!$N$23</f>
        <v>2.5000000000000001E-2</v>
      </c>
      <c r="AZ149" s="6">
        <f>'zakładka techniczna'!$N$23</f>
        <v>2.5000000000000001E-2</v>
      </c>
      <c r="BA149" s="6">
        <f>'zakładka techniczna'!$N$23</f>
        <v>2.5000000000000001E-2</v>
      </c>
    </row>
    <row r="150" spans="1:54" ht="15.75" customHeight="1" x14ac:dyDescent="0.35">
      <c r="E150" s="5" t="s">
        <v>124</v>
      </c>
      <c r="F150" s="5"/>
      <c r="G150" s="5"/>
      <c r="H150" s="5"/>
      <c r="I150" s="5"/>
      <c r="J150" s="5"/>
      <c r="K150" s="5"/>
      <c r="Q150" s="6">
        <f>'zakładka techniczna'!$N$24</f>
        <v>1.4999999999999999E-2</v>
      </c>
      <c r="R150" s="6">
        <f>'zakładka techniczna'!$N$24</f>
        <v>1.4999999999999999E-2</v>
      </c>
      <c r="S150" s="6">
        <f>'zakładka techniczna'!$N$24</f>
        <v>1.4999999999999999E-2</v>
      </c>
      <c r="T150" s="6">
        <f>'zakładka techniczna'!$N$24</f>
        <v>1.4999999999999999E-2</v>
      </c>
      <c r="U150" s="6">
        <f>'zakładka techniczna'!$N$24</f>
        <v>1.4999999999999999E-2</v>
      </c>
      <c r="V150" s="6">
        <f>'zakładka techniczna'!$N$24</f>
        <v>1.4999999999999999E-2</v>
      </c>
      <c r="W150" s="6">
        <f>'zakładka techniczna'!$N$24</f>
        <v>1.4999999999999999E-2</v>
      </c>
      <c r="X150" s="6">
        <f>'zakładka techniczna'!$N$24</f>
        <v>1.4999999999999999E-2</v>
      </c>
      <c r="Y150" s="6">
        <f>'zakładka techniczna'!$N$24</f>
        <v>1.4999999999999999E-2</v>
      </c>
      <c r="Z150" s="6">
        <f>'zakładka techniczna'!$N$24</f>
        <v>1.4999999999999999E-2</v>
      </c>
      <c r="AA150" s="6">
        <f>'zakładka techniczna'!$N$24</f>
        <v>1.4999999999999999E-2</v>
      </c>
      <c r="AB150" s="6">
        <f>'zakładka techniczna'!$N$24</f>
        <v>1.4999999999999999E-2</v>
      </c>
      <c r="AC150" s="6">
        <f>'zakładka techniczna'!$N$24</f>
        <v>1.4999999999999999E-2</v>
      </c>
      <c r="AD150" s="6">
        <f>'zakładka techniczna'!$N$24</f>
        <v>1.4999999999999999E-2</v>
      </c>
      <c r="AE150" s="6">
        <f>'zakładka techniczna'!$N$24</f>
        <v>1.4999999999999999E-2</v>
      </c>
      <c r="AF150" s="6">
        <f>'zakładka techniczna'!$N$24</f>
        <v>1.4999999999999999E-2</v>
      </c>
      <c r="AG150" s="6">
        <f>'zakładka techniczna'!$N$24</f>
        <v>1.4999999999999999E-2</v>
      </c>
      <c r="AH150" s="6">
        <f>'zakładka techniczna'!$N$24</f>
        <v>1.4999999999999999E-2</v>
      </c>
      <c r="AI150" s="6">
        <f>'zakładka techniczna'!$N$24</f>
        <v>1.4999999999999999E-2</v>
      </c>
      <c r="AJ150" s="6">
        <f>'zakładka techniczna'!$N$24</f>
        <v>1.4999999999999999E-2</v>
      </c>
      <c r="AK150" s="6">
        <f>'zakładka techniczna'!$N$24</f>
        <v>1.4999999999999999E-2</v>
      </c>
      <c r="AL150" s="6">
        <f>'zakładka techniczna'!$N$24</f>
        <v>1.4999999999999999E-2</v>
      </c>
      <c r="AM150" s="6">
        <f>'zakładka techniczna'!$N$24</f>
        <v>1.4999999999999999E-2</v>
      </c>
      <c r="AN150" s="6">
        <f>'zakładka techniczna'!$N$24</f>
        <v>1.4999999999999999E-2</v>
      </c>
      <c r="AO150" s="6">
        <f>'zakładka techniczna'!$N$24</f>
        <v>1.4999999999999999E-2</v>
      </c>
      <c r="AP150" s="6">
        <f>'zakładka techniczna'!$N$24</f>
        <v>1.4999999999999999E-2</v>
      </c>
      <c r="AQ150" s="6">
        <f>'zakładka techniczna'!$N$24</f>
        <v>1.4999999999999999E-2</v>
      </c>
      <c r="AR150" s="6">
        <f>'zakładka techniczna'!$N$24</f>
        <v>1.4999999999999999E-2</v>
      </c>
      <c r="AS150" s="6">
        <f>'zakładka techniczna'!$N$24</f>
        <v>1.4999999999999999E-2</v>
      </c>
      <c r="AT150" s="6">
        <f>'zakładka techniczna'!$N$24</f>
        <v>1.4999999999999999E-2</v>
      </c>
      <c r="AU150" s="6">
        <f>'zakładka techniczna'!$N$24</f>
        <v>1.4999999999999999E-2</v>
      </c>
      <c r="AV150" s="6">
        <f>'zakładka techniczna'!$N$24</f>
        <v>1.4999999999999999E-2</v>
      </c>
      <c r="AW150" s="6">
        <f>'zakładka techniczna'!$N$24</f>
        <v>1.4999999999999999E-2</v>
      </c>
      <c r="AX150" s="6">
        <f>'zakładka techniczna'!$N$24</f>
        <v>1.4999999999999999E-2</v>
      </c>
      <c r="AY150" s="6">
        <f>'zakładka techniczna'!$N$24</f>
        <v>1.4999999999999999E-2</v>
      </c>
      <c r="AZ150" s="6">
        <f>'zakładka techniczna'!$N$24</f>
        <v>1.4999999999999999E-2</v>
      </c>
      <c r="BA150" s="6">
        <f>'zakładka techniczna'!$N$24</f>
        <v>1.4999999999999999E-2</v>
      </c>
    </row>
    <row r="151" spans="1:54" x14ac:dyDescent="0.35">
      <c r="D151" s="5"/>
    </row>
    <row r="152" spans="1:54" ht="15.75" customHeight="1" thickBot="1" x14ac:dyDescent="0.4">
      <c r="A152" s="44" t="s">
        <v>32</v>
      </c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5"/>
    </row>
    <row r="153" spans="1:54" ht="15.75" customHeight="1" thickTop="1" x14ac:dyDescent="0.35">
      <c r="B153" s="5"/>
      <c r="C153" s="5"/>
      <c r="D153" s="5"/>
      <c r="E153" s="5"/>
      <c r="F153" s="5"/>
      <c r="G153" s="5"/>
      <c r="H153" s="5"/>
      <c r="I153" s="5"/>
      <c r="J153" s="5"/>
      <c r="K153" s="5"/>
    </row>
    <row r="154" spans="1:54" ht="15.75" customHeight="1" x14ac:dyDescent="0.35">
      <c r="B154" s="9" t="s">
        <v>28</v>
      </c>
      <c r="C154" s="9"/>
      <c r="D154" s="9"/>
      <c r="E154" s="9"/>
      <c r="F154" s="9"/>
      <c r="G154" s="9"/>
      <c r="H154" s="9"/>
      <c r="I154" s="9"/>
      <c r="J154" s="9"/>
      <c r="K154" s="9"/>
      <c r="L154" s="8"/>
      <c r="M154" s="8"/>
      <c r="N154" s="10">
        <f>SUM(Q154:BA154)</f>
        <v>0</v>
      </c>
      <c r="O154" s="8"/>
      <c r="P154" s="8"/>
      <c r="Q154" s="10">
        <f t="shared" ref="Q154:BA154" si="99">SUM(Q155:Q156)</f>
        <v>0</v>
      </c>
      <c r="R154" s="10">
        <f t="shared" si="99"/>
        <v>0</v>
      </c>
      <c r="S154" s="10">
        <f t="shared" si="99"/>
        <v>0</v>
      </c>
      <c r="T154" s="10">
        <f t="shared" si="99"/>
        <v>0</v>
      </c>
      <c r="U154" s="10">
        <f t="shared" si="99"/>
        <v>0</v>
      </c>
      <c r="V154" s="10">
        <f t="shared" si="99"/>
        <v>0</v>
      </c>
      <c r="W154" s="10">
        <f t="shared" si="99"/>
        <v>0</v>
      </c>
      <c r="X154" s="10">
        <f t="shared" si="99"/>
        <v>0</v>
      </c>
      <c r="Y154" s="10">
        <f t="shared" si="99"/>
        <v>0</v>
      </c>
      <c r="Z154" s="10">
        <f t="shared" si="99"/>
        <v>0</v>
      </c>
      <c r="AA154" s="10">
        <f t="shared" si="99"/>
        <v>0</v>
      </c>
      <c r="AB154" s="10">
        <f t="shared" si="99"/>
        <v>0</v>
      </c>
      <c r="AC154" s="10">
        <f t="shared" si="99"/>
        <v>0</v>
      </c>
      <c r="AD154" s="10">
        <f t="shared" si="99"/>
        <v>0</v>
      </c>
      <c r="AE154" s="10">
        <f t="shared" si="99"/>
        <v>0</v>
      </c>
      <c r="AF154" s="10">
        <f t="shared" si="99"/>
        <v>0</v>
      </c>
      <c r="AG154" s="10">
        <f t="shared" si="99"/>
        <v>0</v>
      </c>
      <c r="AH154" s="10">
        <f t="shared" si="99"/>
        <v>0</v>
      </c>
      <c r="AI154" s="10">
        <f t="shared" si="99"/>
        <v>0</v>
      </c>
      <c r="AJ154" s="10">
        <f t="shared" si="99"/>
        <v>0</v>
      </c>
      <c r="AK154" s="10">
        <f t="shared" si="99"/>
        <v>0</v>
      </c>
      <c r="AL154" s="10">
        <f t="shared" si="99"/>
        <v>0</v>
      </c>
      <c r="AM154" s="10">
        <f t="shared" si="99"/>
        <v>0</v>
      </c>
      <c r="AN154" s="10">
        <f t="shared" si="99"/>
        <v>0</v>
      </c>
      <c r="AO154" s="10">
        <f t="shared" si="99"/>
        <v>0</v>
      </c>
      <c r="AP154" s="10">
        <f t="shared" si="99"/>
        <v>0</v>
      </c>
      <c r="AQ154" s="10">
        <f t="shared" si="99"/>
        <v>0</v>
      </c>
      <c r="AR154" s="10">
        <f t="shared" si="99"/>
        <v>0</v>
      </c>
      <c r="AS154" s="10">
        <f t="shared" si="99"/>
        <v>0</v>
      </c>
      <c r="AT154" s="10">
        <f t="shared" si="99"/>
        <v>0</v>
      </c>
      <c r="AU154" s="10">
        <f t="shared" si="99"/>
        <v>0</v>
      </c>
      <c r="AV154" s="10">
        <f t="shared" si="99"/>
        <v>0</v>
      </c>
      <c r="AW154" s="10">
        <f t="shared" si="99"/>
        <v>0</v>
      </c>
      <c r="AX154" s="10">
        <f t="shared" si="99"/>
        <v>0</v>
      </c>
      <c r="AY154" s="10">
        <f t="shared" si="99"/>
        <v>0</v>
      </c>
      <c r="AZ154" s="10">
        <f t="shared" si="99"/>
        <v>0</v>
      </c>
      <c r="BA154" s="10">
        <f t="shared" si="99"/>
        <v>0</v>
      </c>
    </row>
    <row r="155" spans="1:54" ht="15.75" customHeight="1" x14ac:dyDescent="0.35">
      <c r="B155" s="5"/>
      <c r="C155" s="5" t="s">
        <v>1</v>
      </c>
      <c r="D155" s="5"/>
      <c r="E155" s="5"/>
      <c r="F155" s="5"/>
      <c r="G155" s="5"/>
      <c r="H155" s="5"/>
      <c r="I155" s="5"/>
      <c r="J155" s="5"/>
      <c r="K155" s="5"/>
      <c r="N155" s="11">
        <f>SUM(Q155:BA155)</f>
        <v>0</v>
      </c>
      <c r="Q155" s="11">
        <f>SUM($P$67:P$71)*OEp.w2*Założenia!$M$175</f>
        <v>0</v>
      </c>
      <c r="R155" s="11">
        <f>SUM($P$67:Q$71)*OEp.w2*Założenia!$M$175</f>
        <v>0</v>
      </c>
      <c r="S155" s="11">
        <f>SUM($P$67:R$71)*OEp.w2*Założenia!$M$175</f>
        <v>0</v>
      </c>
      <c r="T155" s="11">
        <f>SUM($P$67:S$71)*OEp.w2*Założenia!$M$175</f>
        <v>0</v>
      </c>
      <c r="U155" s="11">
        <f>SUM($P$67:T$71)*OEp.w2*Założenia!$M$175</f>
        <v>0</v>
      </c>
      <c r="V155" s="11">
        <f>SUM($P$67:U$71)*OEp.w2*Założenia!$M$175</f>
        <v>0</v>
      </c>
      <c r="W155" s="11">
        <f>SUM($P$67:V$71)*OEp.w2*Założenia!$M$175</f>
        <v>0</v>
      </c>
      <c r="X155" s="11">
        <f>SUM($P$67:W$71)*OEp.w2*Założenia!$M$175</f>
        <v>0</v>
      </c>
      <c r="Y155" s="11">
        <f>SUM($P$67:X$71)*OEp.w2*Założenia!$M$175</f>
        <v>0</v>
      </c>
      <c r="Z155" s="11">
        <f>SUM($P$67:Y$71)*OEp.w2*Założenia!$M$175</f>
        <v>0</v>
      </c>
      <c r="AA155" s="11">
        <f>SUM($P$67:Z$71)*OEp.w2*Założenia!$M$175</f>
        <v>0</v>
      </c>
      <c r="AB155" s="11">
        <f>SUM($P$67:AA$71)*OEp.w2*Założenia!$M$175</f>
        <v>0</v>
      </c>
      <c r="AC155" s="11">
        <f>SUM($P$67:AB$71)*OEp.w2*Założenia!$M$175</f>
        <v>0</v>
      </c>
      <c r="AD155" s="11">
        <f>SUM($P$67:AC$71)*OEp.w2*Założenia!$M$175</f>
        <v>0</v>
      </c>
      <c r="AE155" s="11">
        <f>SUM($P$67:AD$71)*OEp.w2*Założenia!$M$175</f>
        <v>0</v>
      </c>
      <c r="AF155" s="11">
        <f>SUM($P$67:AE$71)*OEp.w2*Założenia!$M$175</f>
        <v>0</v>
      </c>
      <c r="AG155" s="11">
        <f>SUM($P$67:AF$71)*OEp.w2*Założenia!$M$175</f>
        <v>0</v>
      </c>
      <c r="AH155" s="11">
        <f>SUM($P$67:AG$71)*OEp.w2*Założenia!$M$175</f>
        <v>0</v>
      </c>
      <c r="AI155" s="11">
        <f>SUM($P$67:AH$71)*OEp.w2*Założenia!$M$175</f>
        <v>0</v>
      </c>
      <c r="AJ155" s="11">
        <f>SUM($P$67:AI$71)*OEp.w2*Założenia!$M$175</f>
        <v>0</v>
      </c>
      <c r="AK155" s="11">
        <f>SUM($P$67:AJ$71)*OEp.w2*Założenia!$M$175</f>
        <v>0</v>
      </c>
      <c r="AL155" s="11">
        <f>SUM($P$67:AK$71)*OEp.w2*Założenia!$M$175</f>
        <v>0</v>
      </c>
      <c r="AM155" s="11">
        <f>SUM($P$67:AL$71)*OEp.w2*Założenia!$M$175</f>
        <v>0</v>
      </c>
      <c r="AN155" s="11">
        <f>SUM($P$67:AM$71)*OEp.w2*Założenia!$M$175</f>
        <v>0</v>
      </c>
      <c r="AO155" s="11">
        <f>SUM($P$67:AN$71)*OEp.w2*Założenia!$M$175</f>
        <v>0</v>
      </c>
      <c r="AP155" s="11">
        <f>SUM($P$67:AO$71)*OEp.w2*Założenia!$M$175</f>
        <v>0</v>
      </c>
      <c r="AQ155" s="11">
        <f>SUM($P$67:AP$71)*OEp.w2*Założenia!$M$175</f>
        <v>0</v>
      </c>
      <c r="AR155" s="11">
        <f>SUM($P$67:AQ$71)*OEp.w2*Założenia!$M$175</f>
        <v>0</v>
      </c>
      <c r="AS155" s="11">
        <f>SUM($P$67:AR$71)*OEp.w2*Założenia!$M$175</f>
        <v>0</v>
      </c>
      <c r="AT155" s="11">
        <f>SUM($P$67:AS$71)*OEp.w2*Założenia!$M$175</f>
        <v>0</v>
      </c>
      <c r="AU155" s="11">
        <f>SUM($P$67:AT$71)*OEp.w2*Założenia!$M$175</f>
        <v>0</v>
      </c>
      <c r="AV155" s="11">
        <f>SUM($P$67:AU$71)*OEp.w2*Założenia!$M$175</f>
        <v>0</v>
      </c>
      <c r="AW155" s="11">
        <f>SUM($P$67:AV$71)*OEp.w2*Założenia!$M$175</f>
        <v>0</v>
      </c>
      <c r="AX155" s="11">
        <f>SUM($P$67:AW$71)*OEp.w2*Założenia!$M$175</f>
        <v>0</v>
      </c>
      <c r="AY155" s="11">
        <f>SUM($P$67:AX$71)*OEp.w2*Założenia!$M$175</f>
        <v>0</v>
      </c>
      <c r="AZ155" s="11">
        <f>SUM($P$67:AY$71)*OEp.w2*Założenia!$M$175</f>
        <v>0</v>
      </c>
      <c r="BA155" s="11">
        <f>SUM($P$67:AZ$71)*OEp.w2*Założenia!$M$175</f>
        <v>0</v>
      </c>
    </row>
    <row r="156" spans="1:54" ht="15.75" customHeight="1" x14ac:dyDescent="0.35">
      <c r="B156" s="5"/>
      <c r="C156" s="5" t="s">
        <v>3</v>
      </c>
      <c r="D156" s="5"/>
      <c r="E156" s="5"/>
      <c r="F156" s="5"/>
      <c r="G156" s="5"/>
      <c r="H156" s="5"/>
      <c r="I156" s="5"/>
      <c r="J156" s="5"/>
      <c r="K156" s="5"/>
      <c r="N156" s="1">
        <f>SUM(Q156:BA156)</f>
        <v>0</v>
      </c>
      <c r="Q156" s="1">
        <f t="shared" ref="Q156:BA156" si="100">SUM(Q157:Q158)</f>
        <v>0</v>
      </c>
      <c r="R156" s="1">
        <f t="shared" si="100"/>
        <v>0</v>
      </c>
      <c r="S156" s="1">
        <f t="shared" si="100"/>
        <v>0</v>
      </c>
      <c r="T156" s="1">
        <f t="shared" si="100"/>
        <v>0</v>
      </c>
      <c r="U156" s="1">
        <f t="shared" si="100"/>
        <v>0</v>
      </c>
      <c r="V156" s="1">
        <f t="shared" si="100"/>
        <v>0</v>
      </c>
      <c r="W156" s="1">
        <f t="shared" si="100"/>
        <v>0</v>
      </c>
      <c r="X156" s="1">
        <f t="shared" si="100"/>
        <v>0</v>
      </c>
      <c r="Y156" s="1">
        <f t="shared" si="100"/>
        <v>0</v>
      </c>
      <c r="Z156" s="1">
        <f t="shared" si="100"/>
        <v>0</v>
      </c>
      <c r="AA156" s="1">
        <f t="shared" si="100"/>
        <v>0</v>
      </c>
      <c r="AB156" s="1">
        <f t="shared" si="100"/>
        <v>0</v>
      </c>
      <c r="AC156" s="1">
        <f t="shared" si="100"/>
        <v>0</v>
      </c>
      <c r="AD156" s="1">
        <f t="shared" si="100"/>
        <v>0</v>
      </c>
      <c r="AE156" s="1">
        <f t="shared" si="100"/>
        <v>0</v>
      </c>
      <c r="AF156" s="1">
        <f t="shared" si="100"/>
        <v>0</v>
      </c>
      <c r="AG156" s="1">
        <f t="shared" si="100"/>
        <v>0</v>
      </c>
      <c r="AH156" s="1">
        <f t="shared" si="100"/>
        <v>0</v>
      </c>
      <c r="AI156" s="1">
        <f t="shared" si="100"/>
        <v>0</v>
      </c>
      <c r="AJ156" s="1">
        <f t="shared" si="100"/>
        <v>0</v>
      </c>
      <c r="AK156" s="1">
        <f t="shared" si="100"/>
        <v>0</v>
      </c>
      <c r="AL156" s="1">
        <f t="shared" si="100"/>
        <v>0</v>
      </c>
      <c r="AM156" s="1">
        <f t="shared" si="100"/>
        <v>0</v>
      </c>
      <c r="AN156" s="1">
        <f t="shared" si="100"/>
        <v>0</v>
      </c>
      <c r="AO156" s="1">
        <f t="shared" si="100"/>
        <v>0</v>
      </c>
      <c r="AP156" s="1">
        <f t="shared" si="100"/>
        <v>0</v>
      </c>
      <c r="AQ156" s="1">
        <f t="shared" si="100"/>
        <v>0</v>
      </c>
      <c r="AR156" s="1">
        <f t="shared" si="100"/>
        <v>0</v>
      </c>
      <c r="AS156" s="1">
        <f t="shared" si="100"/>
        <v>0</v>
      </c>
      <c r="AT156" s="1">
        <f t="shared" si="100"/>
        <v>0</v>
      </c>
      <c r="AU156" s="1">
        <f t="shared" si="100"/>
        <v>0</v>
      </c>
      <c r="AV156" s="1">
        <f t="shared" si="100"/>
        <v>0</v>
      </c>
      <c r="AW156" s="1">
        <f t="shared" si="100"/>
        <v>0</v>
      </c>
      <c r="AX156" s="1">
        <f t="shared" si="100"/>
        <v>0</v>
      </c>
      <c r="AY156" s="1">
        <f t="shared" si="100"/>
        <v>0</v>
      </c>
      <c r="AZ156" s="1">
        <f t="shared" si="100"/>
        <v>0</v>
      </c>
      <c r="BA156" s="1">
        <f t="shared" si="100"/>
        <v>0</v>
      </c>
    </row>
    <row r="157" spans="1:54" ht="15.75" customHeight="1" x14ac:dyDescent="0.35">
      <c r="B157" s="5"/>
      <c r="C157" s="5"/>
      <c r="D157" s="5" t="s">
        <v>6</v>
      </c>
      <c r="E157" s="5"/>
      <c r="F157" s="5"/>
      <c r="G157" s="5"/>
      <c r="H157" s="5"/>
      <c r="I157" s="5"/>
      <c r="J157" s="5"/>
      <c r="K157" s="5"/>
      <c r="N157" s="1">
        <f>SUM(Q157:BA157)</f>
        <v>0</v>
      </c>
      <c r="Q157" s="1">
        <f t="shared" ref="Q157:BA157" si="101">Q73*VAT</f>
        <v>0</v>
      </c>
      <c r="R157" s="1">
        <f t="shared" si="101"/>
        <v>0</v>
      </c>
      <c r="S157" s="1">
        <f t="shared" si="101"/>
        <v>0</v>
      </c>
      <c r="T157" s="1">
        <f t="shared" si="101"/>
        <v>0</v>
      </c>
      <c r="U157" s="1">
        <f t="shared" si="101"/>
        <v>0</v>
      </c>
      <c r="V157" s="1">
        <f t="shared" si="101"/>
        <v>0</v>
      </c>
      <c r="W157" s="1">
        <f t="shared" si="101"/>
        <v>0</v>
      </c>
      <c r="X157" s="1">
        <f t="shared" si="101"/>
        <v>0</v>
      </c>
      <c r="Y157" s="1">
        <f t="shared" si="101"/>
        <v>0</v>
      </c>
      <c r="Z157" s="1">
        <f t="shared" si="101"/>
        <v>0</v>
      </c>
      <c r="AA157" s="1">
        <f t="shared" si="101"/>
        <v>0</v>
      </c>
      <c r="AB157" s="1">
        <f t="shared" si="101"/>
        <v>0</v>
      </c>
      <c r="AC157" s="1">
        <f t="shared" si="101"/>
        <v>0</v>
      </c>
      <c r="AD157" s="1">
        <f t="shared" si="101"/>
        <v>0</v>
      </c>
      <c r="AE157" s="1">
        <f t="shared" si="101"/>
        <v>0</v>
      </c>
      <c r="AF157" s="1">
        <f t="shared" si="101"/>
        <v>0</v>
      </c>
      <c r="AG157" s="1">
        <f t="shared" si="101"/>
        <v>0</v>
      </c>
      <c r="AH157" s="1">
        <f t="shared" si="101"/>
        <v>0</v>
      </c>
      <c r="AI157" s="1">
        <f t="shared" si="101"/>
        <v>0</v>
      </c>
      <c r="AJ157" s="1">
        <f t="shared" si="101"/>
        <v>0</v>
      </c>
      <c r="AK157" s="1">
        <f t="shared" si="101"/>
        <v>0</v>
      </c>
      <c r="AL157" s="1">
        <f t="shared" si="101"/>
        <v>0</v>
      </c>
      <c r="AM157" s="1">
        <f t="shared" si="101"/>
        <v>0</v>
      </c>
      <c r="AN157" s="1">
        <f t="shared" si="101"/>
        <v>0</v>
      </c>
      <c r="AO157" s="1">
        <f t="shared" si="101"/>
        <v>0</v>
      </c>
      <c r="AP157" s="1">
        <f t="shared" si="101"/>
        <v>0</v>
      </c>
      <c r="AQ157" s="1">
        <f t="shared" si="101"/>
        <v>0</v>
      </c>
      <c r="AR157" s="1">
        <f t="shared" si="101"/>
        <v>0</v>
      </c>
      <c r="AS157" s="1">
        <f t="shared" si="101"/>
        <v>0</v>
      </c>
      <c r="AT157" s="1">
        <f t="shared" si="101"/>
        <v>0</v>
      </c>
      <c r="AU157" s="1">
        <f t="shared" si="101"/>
        <v>0</v>
      </c>
      <c r="AV157" s="1">
        <f t="shared" si="101"/>
        <v>0</v>
      </c>
      <c r="AW157" s="1">
        <f t="shared" si="101"/>
        <v>0</v>
      </c>
      <c r="AX157" s="1">
        <f t="shared" si="101"/>
        <v>0</v>
      </c>
      <c r="AY157" s="1">
        <f t="shared" si="101"/>
        <v>0</v>
      </c>
      <c r="AZ157" s="1">
        <f t="shared" si="101"/>
        <v>0</v>
      </c>
      <c r="BA157" s="1">
        <f t="shared" si="101"/>
        <v>0</v>
      </c>
    </row>
    <row r="158" spans="1:54" ht="15.75" customHeight="1" x14ac:dyDescent="0.35">
      <c r="B158" s="5"/>
      <c r="C158" s="5"/>
      <c r="D158" s="5" t="s">
        <v>142</v>
      </c>
      <c r="E158" s="5"/>
      <c r="F158" s="5"/>
      <c r="G158" s="5"/>
      <c r="H158" s="5"/>
      <c r="I158" s="5"/>
      <c r="J158" s="5"/>
      <c r="K158" s="5"/>
      <c r="N158" s="1">
        <f>SUM(Q158:BA158)</f>
        <v>0</v>
      </c>
      <c r="Q158" s="1">
        <f t="shared" ref="Q158:BA158" si="102">Q74*VAT</f>
        <v>0</v>
      </c>
      <c r="R158" s="1">
        <f t="shared" si="102"/>
        <v>0</v>
      </c>
      <c r="S158" s="1">
        <f t="shared" si="102"/>
        <v>0</v>
      </c>
      <c r="T158" s="1">
        <f t="shared" si="102"/>
        <v>0</v>
      </c>
      <c r="U158" s="1">
        <f t="shared" si="102"/>
        <v>0</v>
      </c>
      <c r="V158" s="1">
        <f t="shared" si="102"/>
        <v>0</v>
      </c>
      <c r="W158" s="1">
        <f t="shared" si="102"/>
        <v>0</v>
      </c>
      <c r="X158" s="1">
        <f t="shared" si="102"/>
        <v>0</v>
      </c>
      <c r="Y158" s="1">
        <f t="shared" si="102"/>
        <v>0</v>
      </c>
      <c r="Z158" s="1">
        <f t="shared" si="102"/>
        <v>0</v>
      </c>
      <c r="AA158" s="1">
        <f t="shared" si="102"/>
        <v>0</v>
      </c>
      <c r="AB158" s="1">
        <f t="shared" si="102"/>
        <v>0</v>
      </c>
      <c r="AC158" s="1">
        <f t="shared" si="102"/>
        <v>0</v>
      </c>
      <c r="AD158" s="1">
        <f t="shared" si="102"/>
        <v>0</v>
      </c>
      <c r="AE158" s="1">
        <f t="shared" si="102"/>
        <v>0</v>
      </c>
      <c r="AF158" s="1">
        <f t="shared" si="102"/>
        <v>0</v>
      </c>
      <c r="AG158" s="1">
        <f t="shared" si="102"/>
        <v>0</v>
      </c>
      <c r="AH158" s="1">
        <f t="shared" si="102"/>
        <v>0</v>
      </c>
      <c r="AI158" s="1">
        <f t="shared" si="102"/>
        <v>0</v>
      </c>
      <c r="AJ158" s="1">
        <f t="shared" si="102"/>
        <v>0</v>
      </c>
      <c r="AK158" s="1">
        <f t="shared" si="102"/>
        <v>0</v>
      </c>
      <c r="AL158" s="1">
        <f t="shared" si="102"/>
        <v>0</v>
      </c>
      <c r="AM158" s="1">
        <f t="shared" si="102"/>
        <v>0</v>
      </c>
      <c r="AN158" s="1">
        <f t="shared" si="102"/>
        <v>0</v>
      </c>
      <c r="AO158" s="1">
        <f t="shared" si="102"/>
        <v>0</v>
      </c>
      <c r="AP158" s="1">
        <f t="shared" si="102"/>
        <v>0</v>
      </c>
      <c r="AQ158" s="1">
        <f t="shared" si="102"/>
        <v>0</v>
      </c>
      <c r="AR158" s="1">
        <f t="shared" si="102"/>
        <v>0</v>
      </c>
      <c r="AS158" s="1">
        <f t="shared" si="102"/>
        <v>0</v>
      </c>
      <c r="AT158" s="1">
        <f t="shared" si="102"/>
        <v>0</v>
      </c>
      <c r="AU158" s="1">
        <f t="shared" si="102"/>
        <v>0</v>
      </c>
      <c r="AV158" s="1">
        <f t="shared" si="102"/>
        <v>0</v>
      </c>
      <c r="AW158" s="1">
        <f t="shared" si="102"/>
        <v>0</v>
      </c>
      <c r="AX158" s="1">
        <f t="shared" si="102"/>
        <v>0</v>
      </c>
      <c r="AY158" s="1">
        <f t="shared" si="102"/>
        <v>0</v>
      </c>
      <c r="AZ158" s="1">
        <f t="shared" si="102"/>
        <v>0</v>
      </c>
      <c r="BA158" s="1">
        <f t="shared" si="102"/>
        <v>0</v>
      </c>
    </row>
    <row r="159" spans="1:54" ht="15.75" customHeight="1" x14ac:dyDescent="0.35">
      <c r="B159" s="5"/>
      <c r="C159" s="5"/>
      <c r="D159" s="5"/>
      <c r="E159" s="5"/>
      <c r="F159" s="5"/>
      <c r="G159" s="5"/>
      <c r="H159" s="5"/>
      <c r="I159" s="5"/>
      <c r="J159" s="5"/>
      <c r="K159" s="5"/>
    </row>
    <row r="160" spans="1:54" ht="15.75" customHeight="1" x14ac:dyDescent="0.35">
      <c r="B160" s="9" t="s">
        <v>33</v>
      </c>
      <c r="C160" s="9"/>
      <c r="D160" s="9"/>
      <c r="E160" s="9"/>
      <c r="F160" s="9"/>
      <c r="G160" s="9"/>
      <c r="H160" s="9"/>
      <c r="I160" s="9"/>
      <c r="J160" s="9"/>
      <c r="K160" s="9"/>
      <c r="L160" s="8"/>
      <c r="M160" s="8"/>
      <c r="N160" s="10">
        <f t="shared" ref="N160:N165" si="103">SUM(Q160:BA160)</f>
        <v>0</v>
      </c>
      <c r="O160" s="8"/>
      <c r="P160" s="8"/>
      <c r="Q160" s="10">
        <f t="shared" ref="Q160:BA160" si="104">SUM(Q161:Q165)</f>
        <v>0</v>
      </c>
      <c r="R160" s="10">
        <f t="shared" si="104"/>
        <v>0</v>
      </c>
      <c r="S160" s="10">
        <f t="shared" si="104"/>
        <v>0</v>
      </c>
      <c r="T160" s="10">
        <f t="shared" si="104"/>
        <v>0</v>
      </c>
      <c r="U160" s="10">
        <f t="shared" si="104"/>
        <v>0</v>
      </c>
      <c r="V160" s="10">
        <f t="shared" si="104"/>
        <v>0</v>
      </c>
      <c r="W160" s="10">
        <f t="shared" si="104"/>
        <v>0</v>
      </c>
      <c r="X160" s="10">
        <f t="shared" si="104"/>
        <v>0</v>
      </c>
      <c r="Y160" s="10">
        <f t="shared" si="104"/>
        <v>0</v>
      </c>
      <c r="Z160" s="10">
        <f t="shared" si="104"/>
        <v>0</v>
      </c>
      <c r="AA160" s="10">
        <f t="shared" si="104"/>
        <v>0</v>
      </c>
      <c r="AB160" s="10">
        <f t="shared" si="104"/>
        <v>0</v>
      </c>
      <c r="AC160" s="10">
        <f t="shared" si="104"/>
        <v>0</v>
      </c>
      <c r="AD160" s="10">
        <f t="shared" si="104"/>
        <v>0</v>
      </c>
      <c r="AE160" s="10">
        <f t="shared" si="104"/>
        <v>0</v>
      </c>
      <c r="AF160" s="10">
        <f t="shared" si="104"/>
        <v>0</v>
      </c>
      <c r="AG160" s="10">
        <f t="shared" si="104"/>
        <v>0</v>
      </c>
      <c r="AH160" s="10">
        <f t="shared" si="104"/>
        <v>0</v>
      </c>
      <c r="AI160" s="10">
        <f t="shared" si="104"/>
        <v>0</v>
      </c>
      <c r="AJ160" s="10">
        <f t="shared" si="104"/>
        <v>0</v>
      </c>
      <c r="AK160" s="10">
        <f t="shared" si="104"/>
        <v>0</v>
      </c>
      <c r="AL160" s="10">
        <f t="shared" si="104"/>
        <v>0</v>
      </c>
      <c r="AM160" s="10">
        <f t="shared" si="104"/>
        <v>0</v>
      </c>
      <c r="AN160" s="10">
        <f t="shared" si="104"/>
        <v>0</v>
      </c>
      <c r="AO160" s="10">
        <f t="shared" si="104"/>
        <v>0</v>
      </c>
      <c r="AP160" s="10">
        <f t="shared" si="104"/>
        <v>0</v>
      </c>
      <c r="AQ160" s="10">
        <f t="shared" si="104"/>
        <v>0</v>
      </c>
      <c r="AR160" s="10">
        <f t="shared" si="104"/>
        <v>0</v>
      </c>
      <c r="AS160" s="10">
        <f t="shared" si="104"/>
        <v>0</v>
      </c>
      <c r="AT160" s="10">
        <f t="shared" si="104"/>
        <v>0</v>
      </c>
      <c r="AU160" s="10">
        <f t="shared" si="104"/>
        <v>0</v>
      </c>
      <c r="AV160" s="10">
        <f t="shared" si="104"/>
        <v>0</v>
      </c>
      <c r="AW160" s="10">
        <f t="shared" si="104"/>
        <v>0</v>
      </c>
      <c r="AX160" s="10">
        <f t="shared" si="104"/>
        <v>0</v>
      </c>
      <c r="AY160" s="10">
        <f t="shared" si="104"/>
        <v>0</v>
      </c>
      <c r="AZ160" s="10">
        <f t="shared" si="104"/>
        <v>0</v>
      </c>
      <c r="BA160" s="10">
        <f t="shared" si="104"/>
        <v>0</v>
      </c>
    </row>
    <row r="161" spans="1:54" ht="15.75" customHeight="1" x14ac:dyDescent="0.35">
      <c r="B161" s="5"/>
      <c r="C161" s="5" t="s">
        <v>99</v>
      </c>
      <c r="D161" s="5"/>
      <c r="E161" s="5"/>
      <c r="F161" s="5"/>
      <c r="G161" s="5"/>
      <c r="H161" s="5"/>
      <c r="I161" s="5"/>
      <c r="J161" s="5"/>
      <c r="K161" s="5"/>
      <c r="N161" s="11">
        <f t="shared" si="103"/>
        <v>0</v>
      </c>
      <c r="Q161" s="11">
        <f>-Q176*Założenia!$M$175</f>
        <v>0</v>
      </c>
      <c r="R161" s="11">
        <f>-R176*Założenia!$M$175</f>
        <v>0</v>
      </c>
      <c r="S161" s="11">
        <f>-S176*Założenia!$M$175</f>
        <v>0</v>
      </c>
      <c r="T161" s="11">
        <f>-T176*Założenia!$M$175</f>
        <v>0</v>
      </c>
      <c r="U161" s="11">
        <f>-U176*Założenia!$M$175</f>
        <v>0</v>
      </c>
      <c r="V161" s="11">
        <f>-V176*Założenia!$M$175</f>
        <v>0</v>
      </c>
      <c r="W161" s="11">
        <f>-W176*Założenia!$M$175</f>
        <v>0</v>
      </c>
      <c r="X161" s="11">
        <f>-X176*Założenia!$M$175</f>
        <v>0</v>
      </c>
      <c r="Y161" s="11">
        <f>-Y176*Założenia!$M$175</f>
        <v>0</v>
      </c>
      <c r="Z161" s="11">
        <f>-Z176*Założenia!$M$175</f>
        <v>0</v>
      </c>
      <c r="AA161" s="11">
        <f>-AA176*Założenia!$M$175</f>
        <v>0</v>
      </c>
      <c r="AB161" s="11">
        <f>-AB176*Założenia!$M$175</f>
        <v>0</v>
      </c>
      <c r="AC161" s="11">
        <f>-AC176*Założenia!$M$175</f>
        <v>0</v>
      </c>
      <c r="AD161" s="11">
        <f>-AD176*Założenia!$M$175</f>
        <v>0</v>
      </c>
      <c r="AE161" s="11">
        <f>-AE176*Założenia!$M$175</f>
        <v>0</v>
      </c>
      <c r="AF161" s="11">
        <f>-AF176*Założenia!$M$175</f>
        <v>0</v>
      </c>
      <c r="AG161" s="11">
        <f>-AG176*Założenia!$M$175</f>
        <v>0</v>
      </c>
      <c r="AH161" s="11">
        <f>-AH176*Założenia!$M$175</f>
        <v>0</v>
      </c>
      <c r="AI161" s="11">
        <f>-AI176*Założenia!$M$175</f>
        <v>0</v>
      </c>
      <c r="AJ161" s="11">
        <f>-AJ176*Założenia!$M$175</f>
        <v>0</v>
      </c>
      <c r="AK161" s="11">
        <f>-AK176*Założenia!$M$175</f>
        <v>0</v>
      </c>
      <c r="AL161" s="11">
        <f>-AL176*Założenia!$M$175</f>
        <v>0</v>
      </c>
      <c r="AM161" s="11">
        <f>-AM176*Założenia!$M$175</f>
        <v>0</v>
      </c>
      <c r="AN161" s="11">
        <f>-AN176*Założenia!$M$175</f>
        <v>0</v>
      </c>
      <c r="AO161" s="11">
        <f>-AO176*Założenia!$M$175</f>
        <v>0</v>
      </c>
      <c r="AP161" s="11">
        <f>-AP176*Założenia!$M$175</f>
        <v>0</v>
      </c>
      <c r="AQ161" s="11">
        <f>-AQ176*Założenia!$M$175</f>
        <v>0</v>
      </c>
      <c r="AR161" s="11">
        <f>-AR176*Założenia!$M$175</f>
        <v>0</v>
      </c>
      <c r="AS161" s="11">
        <f>-AS176*Założenia!$M$175</f>
        <v>0</v>
      </c>
      <c r="AT161" s="11">
        <f>-AT176*Założenia!$M$175</f>
        <v>0</v>
      </c>
      <c r="AU161" s="11">
        <f>-AU176*Założenia!$M$175</f>
        <v>0</v>
      </c>
      <c r="AV161" s="11">
        <f>-AV176*Założenia!$M$175</f>
        <v>0</v>
      </c>
      <c r="AW161" s="11">
        <f>-AW176*Założenia!$M$175</f>
        <v>0</v>
      </c>
      <c r="AX161" s="11">
        <f>-AX176*Założenia!$M$175</f>
        <v>0</v>
      </c>
      <c r="AY161" s="11">
        <f>-AY176*Założenia!$M$175</f>
        <v>0</v>
      </c>
      <c r="AZ161" s="11">
        <f>-AZ176*Założenia!$M$175</f>
        <v>0</v>
      </c>
      <c r="BA161" s="11">
        <f>-BA176*Założenia!$M$175</f>
        <v>0</v>
      </c>
    </row>
    <row r="162" spans="1:54" ht="15.75" customHeight="1" x14ac:dyDescent="0.35">
      <c r="B162" s="5"/>
      <c r="C162" s="5" t="s">
        <v>100</v>
      </c>
      <c r="D162" s="5"/>
      <c r="E162" s="5"/>
      <c r="F162" s="5"/>
      <c r="G162" s="5"/>
      <c r="H162" s="5"/>
      <c r="I162" s="5"/>
      <c r="J162" s="5"/>
      <c r="K162" s="5"/>
      <c r="N162" s="1">
        <f t="shared" si="103"/>
        <v>0</v>
      </c>
      <c r="Q162" s="1">
        <f>-Q177*Założenia!$M$175</f>
        <v>0</v>
      </c>
      <c r="R162" s="1">
        <f>-R177*Założenia!$M$175</f>
        <v>0</v>
      </c>
      <c r="S162" s="1">
        <f>-S177*Założenia!$M$175</f>
        <v>0</v>
      </c>
      <c r="T162" s="1">
        <f>-T177*Założenia!$M$175</f>
        <v>0</v>
      </c>
      <c r="U162" s="1">
        <f>-U177*Założenia!$M$175</f>
        <v>0</v>
      </c>
      <c r="V162" s="1">
        <f>-V177*Założenia!$M$175</f>
        <v>0</v>
      </c>
      <c r="W162" s="1">
        <f>-W177*Założenia!$M$175</f>
        <v>0</v>
      </c>
      <c r="X162" s="1">
        <f>-X177*Założenia!$M$175</f>
        <v>0</v>
      </c>
      <c r="Y162" s="1">
        <f>-Y177*Założenia!$M$175</f>
        <v>0</v>
      </c>
      <c r="Z162" s="1">
        <f>-Z177*Założenia!$M$175</f>
        <v>0</v>
      </c>
      <c r="AA162" s="1">
        <f>-AA177*Założenia!$M$175</f>
        <v>0</v>
      </c>
      <c r="AB162" s="1">
        <f>-AB177*Założenia!$M$175</f>
        <v>0</v>
      </c>
      <c r="AC162" s="1">
        <f>-AC177*Założenia!$M$175</f>
        <v>0</v>
      </c>
      <c r="AD162" s="1">
        <f>-AD177*Założenia!$M$175</f>
        <v>0</v>
      </c>
      <c r="AE162" s="1">
        <f>-AE177*Założenia!$M$175</f>
        <v>0</v>
      </c>
      <c r="AF162" s="1">
        <f>-AF177*Założenia!$M$175</f>
        <v>0</v>
      </c>
      <c r="AG162" s="1">
        <f>-AG177*Założenia!$M$175</f>
        <v>0</v>
      </c>
      <c r="AH162" s="1">
        <f>-AH177*Założenia!$M$175</f>
        <v>0</v>
      </c>
      <c r="AI162" s="1">
        <f>-AI177*Założenia!$M$175</f>
        <v>0</v>
      </c>
      <c r="AJ162" s="1">
        <f>-AJ177*Założenia!$M$175</f>
        <v>0</v>
      </c>
      <c r="AK162" s="1">
        <f>-AK177*Założenia!$M$175</f>
        <v>0</v>
      </c>
      <c r="AL162" s="1">
        <f>-AL177*Założenia!$M$175</f>
        <v>0</v>
      </c>
      <c r="AM162" s="1">
        <f>-AM177*Założenia!$M$175</f>
        <v>0</v>
      </c>
      <c r="AN162" s="1">
        <f>-AN177*Założenia!$M$175</f>
        <v>0</v>
      </c>
      <c r="AO162" s="1">
        <f>-AO177*Założenia!$M$175</f>
        <v>0</v>
      </c>
      <c r="AP162" s="1">
        <f>-AP177*Założenia!$M$175</f>
        <v>0</v>
      </c>
      <c r="AQ162" s="1">
        <f>-AQ177*Założenia!$M$175</f>
        <v>0</v>
      </c>
      <c r="AR162" s="1">
        <f>-AR177*Założenia!$M$175</f>
        <v>0</v>
      </c>
      <c r="AS162" s="1">
        <f>-AS177*Założenia!$M$175</f>
        <v>0</v>
      </c>
      <c r="AT162" s="1">
        <f>-AT177*Założenia!$M$175</f>
        <v>0</v>
      </c>
      <c r="AU162" s="1">
        <f>-AU177*Założenia!$M$175</f>
        <v>0</v>
      </c>
      <c r="AV162" s="1">
        <f>-AV177*Założenia!$M$175</f>
        <v>0</v>
      </c>
      <c r="AW162" s="1">
        <f>-AW177*Założenia!$M$175</f>
        <v>0</v>
      </c>
      <c r="AX162" s="1">
        <f>-AX177*Założenia!$M$175</f>
        <v>0</v>
      </c>
      <c r="AY162" s="1">
        <f>-AY177*Założenia!$M$175</f>
        <v>0</v>
      </c>
      <c r="AZ162" s="1">
        <f>-AZ177*Założenia!$M$175</f>
        <v>0</v>
      </c>
      <c r="BA162" s="1">
        <f>-BA177*Założenia!$M$175</f>
        <v>0</v>
      </c>
    </row>
    <row r="163" spans="1:54" ht="15.75" customHeight="1" x14ac:dyDescent="0.35">
      <c r="B163" s="5"/>
      <c r="C163" s="5" t="s">
        <v>66</v>
      </c>
      <c r="D163" s="5"/>
      <c r="E163" s="5"/>
      <c r="F163" s="5"/>
      <c r="G163" s="5"/>
      <c r="H163" s="5"/>
      <c r="I163" s="5"/>
      <c r="J163" s="5"/>
      <c r="K163" s="5"/>
      <c r="N163" s="1">
        <f t="shared" si="103"/>
        <v>0</v>
      </c>
      <c r="Q163" s="1">
        <f>-Q178*Założenia!$M$175</f>
        <v>0</v>
      </c>
      <c r="R163" s="1">
        <f>-R178*Założenia!$M$175</f>
        <v>0</v>
      </c>
      <c r="S163" s="1">
        <f>-S178*Założenia!$M$175</f>
        <v>0</v>
      </c>
      <c r="T163" s="1">
        <f>-T178*Założenia!$M$175</f>
        <v>0</v>
      </c>
      <c r="U163" s="1">
        <f>-U178*Założenia!$M$175</f>
        <v>0</v>
      </c>
      <c r="V163" s="1">
        <f>-V178*Założenia!$M$175</f>
        <v>0</v>
      </c>
      <c r="W163" s="1">
        <f>-W178*Założenia!$M$175</f>
        <v>0</v>
      </c>
      <c r="X163" s="1">
        <f>-X178*Założenia!$M$175</f>
        <v>0</v>
      </c>
      <c r="Y163" s="1">
        <f>-Y178*Założenia!$M$175</f>
        <v>0</v>
      </c>
      <c r="Z163" s="1">
        <f>-Z178*Założenia!$M$175</f>
        <v>0</v>
      </c>
      <c r="AA163" s="1">
        <f>-AA178*Założenia!$M$175</f>
        <v>0</v>
      </c>
      <c r="AB163" s="1">
        <f>-AB178*Założenia!$M$175</f>
        <v>0</v>
      </c>
      <c r="AC163" s="1">
        <f>-AC178*Założenia!$M$175</f>
        <v>0</v>
      </c>
      <c r="AD163" s="1">
        <f>-AD178*Założenia!$M$175</f>
        <v>0</v>
      </c>
      <c r="AE163" s="1">
        <f>-AE178*Założenia!$M$175</f>
        <v>0</v>
      </c>
      <c r="AF163" s="1">
        <f>-AF178*Założenia!$M$175</f>
        <v>0</v>
      </c>
      <c r="AG163" s="1">
        <f>-AG178*Założenia!$M$175</f>
        <v>0</v>
      </c>
      <c r="AH163" s="1">
        <f>-AH178*Założenia!$M$175</f>
        <v>0</v>
      </c>
      <c r="AI163" s="1">
        <f>-AI178*Założenia!$M$175</f>
        <v>0</v>
      </c>
      <c r="AJ163" s="1">
        <f>-AJ178*Założenia!$M$175</f>
        <v>0</v>
      </c>
      <c r="AK163" s="1">
        <f>-AK178*Założenia!$M$175</f>
        <v>0</v>
      </c>
      <c r="AL163" s="1">
        <f>-AL178*Założenia!$M$175</f>
        <v>0</v>
      </c>
      <c r="AM163" s="1">
        <f>-AM178*Założenia!$M$175</f>
        <v>0</v>
      </c>
      <c r="AN163" s="1">
        <f>-AN178*Założenia!$M$175</f>
        <v>0</v>
      </c>
      <c r="AO163" s="1">
        <f>-AO178*Założenia!$M$175</f>
        <v>0</v>
      </c>
      <c r="AP163" s="1">
        <f>-AP178*Założenia!$M$175</f>
        <v>0</v>
      </c>
      <c r="AQ163" s="1">
        <f>-AQ178*Założenia!$M$175</f>
        <v>0</v>
      </c>
      <c r="AR163" s="1">
        <f>-AR178*Założenia!$M$175</f>
        <v>0</v>
      </c>
      <c r="AS163" s="1">
        <f>-AS178*Założenia!$M$175</f>
        <v>0</v>
      </c>
      <c r="AT163" s="1">
        <f>-AT178*Założenia!$M$175</f>
        <v>0</v>
      </c>
      <c r="AU163" s="1">
        <f>-AU178*Założenia!$M$175</f>
        <v>0</v>
      </c>
      <c r="AV163" s="1">
        <f>-AV178*Założenia!$M$175</f>
        <v>0</v>
      </c>
      <c r="AW163" s="1">
        <f>-AW178*Założenia!$M$175</f>
        <v>0</v>
      </c>
      <c r="AX163" s="1">
        <f>-AX178*Założenia!$M$175</f>
        <v>0</v>
      </c>
      <c r="AY163" s="1">
        <f>-AY178*Założenia!$M$175</f>
        <v>0</v>
      </c>
      <c r="AZ163" s="1">
        <f>-AZ178*Założenia!$M$175</f>
        <v>0</v>
      </c>
      <c r="BA163" s="1">
        <f>-BA178*Założenia!$M$175</f>
        <v>0</v>
      </c>
    </row>
    <row r="164" spans="1:54" ht="15.75" customHeight="1" x14ac:dyDescent="0.35">
      <c r="B164" s="5"/>
      <c r="C164" s="5" t="s">
        <v>142</v>
      </c>
      <c r="D164" s="5"/>
      <c r="E164" s="5"/>
      <c r="F164" s="5"/>
      <c r="G164" s="5"/>
      <c r="H164" s="5"/>
      <c r="I164" s="5"/>
      <c r="J164" s="5"/>
      <c r="K164" s="5"/>
      <c r="N164" s="1">
        <f t="shared" si="103"/>
        <v>0</v>
      </c>
      <c r="Q164" s="1">
        <f t="shared" ref="Q164:BA164" si="105">-Q74*VAT</f>
        <v>0</v>
      </c>
      <c r="R164" s="1">
        <f t="shared" si="105"/>
        <v>0</v>
      </c>
      <c r="S164" s="1">
        <f t="shared" si="105"/>
        <v>0</v>
      </c>
      <c r="T164" s="1">
        <f t="shared" si="105"/>
        <v>0</v>
      </c>
      <c r="U164" s="1">
        <f t="shared" si="105"/>
        <v>0</v>
      </c>
      <c r="V164" s="1">
        <f t="shared" si="105"/>
        <v>0</v>
      </c>
      <c r="W164" s="1">
        <f t="shared" si="105"/>
        <v>0</v>
      </c>
      <c r="X164" s="1">
        <f t="shared" si="105"/>
        <v>0</v>
      </c>
      <c r="Y164" s="1">
        <f t="shared" si="105"/>
        <v>0</v>
      </c>
      <c r="Z164" s="1">
        <f t="shared" si="105"/>
        <v>0</v>
      </c>
      <c r="AA164" s="1">
        <f t="shared" si="105"/>
        <v>0</v>
      </c>
      <c r="AB164" s="1">
        <f t="shared" si="105"/>
        <v>0</v>
      </c>
      <c r="AC164" s="1">
        <f t="shared" si="105"/>
        <v>0</v>
      </c>
      <c r="AD164" s="1">
        <f t="shared" si="105"/>
        <v>0</v>
      </c>
      <c r="AE164" s="1">
        <f t="shared" si="105"/>
        <v>0</v>
      </c>
      <c r="AF164" s="1">
        <f t="shared" si="105"/>
        <v>0</v>
      </c>
      <c r="AG164" s="1">
        <f t="shared" si="105"/>
        <v>0</v>
      </c>
      <c r="AH164" s="1">
        <f t="shared" si="105"/>
        <v>0</v>
      </c>
      <c r="AI164" s="1">
        <f t="shared" si="105"/>
        <v>0</v>
      </c>
      <c r="AJ164" s="1">
        <f t="shared" si="105"/>
        <v>0</v>
      </c>
      <c r="AK164" s="1">
        <f t="shared" si="105"/>
        <v>0</v>
      </c>
      <c r="AL164" s="1">
        <f t="shared" si="105"/>
        <v>0</v>
      </c>
      <c r="AM164" s="1">
        <f t="shared" si="105"/>
        <v>0</v>
      </c>
      <c r="AN164" s="1">
        <f t="shared" si="105"/>
        <v>0</v>
      </c>
      <c r="AO164" s="1">
        <f t="shared" si="105"/>
        <v>0</v>
      </c>
      <c r="AP164" s="1">
        <f t="shared" si="105"/>
        <v>0</v>
      </c>
      <c r="AQ164" s="1">
        <f t="shared" si="105"/>
        <v>0</v>
      </c>
      <c r="AR164" s="1">
        <f t="shared" si="105"/>
        <v>0</v>
      </c>
      <c r="AS164" s="1">
        <f t="shared" si="105"/>
        <v>0</v>
      </c>
      <c r="AT164" s="1">
        <f t="shared" si="105"/>
        <v>0</v>
      </c>
      <c r="AU164" s="1">
        <f t="shared" si="105"/>
        <v>0</v>
      </c>
      <c r="AV164" s="1">
        <f t="shared" si="105"/>
        <v>0</v>
      </c>
      <c r="AW164" s="1">
        <f t="shared" si="105"/>
        <v>0</v>
      </c>
      <c r="AX164" s="1">
        <f t="shared" si="105"/>
        <v>0</v>
      </c>
      <c r="AY164" s="1">
        <f t="shared" si="105"/>
        <v>0</v>
      </c>
      <c r="AZ164" s="1">
        <f t="shared" si="105"/>
        <v>0</v>
      </c>
      <c r="BA164" s="1">
        <f t="shared" si="105"/>
        <v>0</v>
      </c>
    </row>
    <row r="165" spans="1:54" x14ac:dyDescent="0.35">
      <c r="B165" s="5"/>
      <c r="C165" s="5" t="s">
        <v>6</v>
      </c>
      <c r="D165" s="5"/>
      <c r="E165" s="5"/>
      <c r="F165" s="5"/>
      <c r="G165" s="5"/>
      <c r="H165" s="5"/>
      <c r="I165" s="5"/>
      <c r="J165" s="5"/>
      <c r="K165" s="5"/>
      <c r="N165" s="1">
        <f t="shared" si="103"/>
        <v>0</v>
      </c>
      <c r="Q165" s="1">
        <f t="shared" ref="Q165:BA165" si="106">-Q73*VAT</f>
        <v>0</v>
      </c>
      <c r="R165" s="1">
        <f t="shared" si="106"/>
        <v>0</v>
      </c>
      <c r="S165" s="1">
        <f t="shared" si="106"/>
        <v>0</v>
      </c>
      <c r="T165" s="1">
        <f t="shared" si="106"/>
        <v>0</v>
      </c>
      <c r="U165" s="1">
        <f t="shared" si="106"/>
        <v>0</v>
      </c>
      <c r="V165" s="1">
        <f t="shared" si="106"/>
        <v>0</v>
      </c>
      <c r="W165" s="1">
        <f t="shared" si="106"/>
        <v>0</v>
      </c>
      <c r="X165" s="1">
        <f t="shared" si="106"/>
        <v>0</v>
      </c>
      <c r="Y165" s="1">
        <f t="shared" si="106"/>
        <v>0</v>
      </c>
      <c r="Z165" s="1">
        <f t="shared" si="106"/>
        <v>0</v>
      </c>
      <c r="AA165" s="1">
        <f t="shared" si="106"/>
        <v>0</v>
      </c>
      <c r="AB165" s="1">
        <f t="shared" si="106"/>
        <v>0</v>
      </c>
      <c r="AC165" s="1">
        <f t="shared" si="106"/>
        <v>0</v>
      </c>
      <c r="AD165" s="1">
        <f t="shared" si="106"/>
        <v>0</v>
      </c>
      <c r="AE165" s="1">
        <f t="shared" si="106"/>
        <v>0</v>
      </c>
      <c r="AF165" s="1">
        <f t="shared" si="106"/>
        <v>0</v>
      </c>
      <c r="AG165" s="1">
        <f t="shared" si="106"/>
        <v>0</v>
      </c>
      <c r="AH165" s="1">
        <f t="shared" si="106"/>
        <v>0</v>
      </c>
      <c r="AI165" s="1">
        <f t="shared" si="106"/>
        <v>0</v>
      </c>
      <c r="AJ165" s="1">
        <f t="shared" si="106"/>
        <v>0</v>
      </c>
      <c r="AK165" s="1">
        <f t="shared" si="106"/>
        <v>0</v>
      </c>
      <c r="AL165" s="1">
        <f t="shared" si="106"/>
        <v>0</v>
      </c>
      <c r="AM165" s="1">
        <f t="shared" si="106"/>
        <v>0</v>
      </c>
      <c r="AN165" s="1">
        <f t="shared" si="106"/>
        <v>0</v>
      </c>
      <c r="AO165" s="1">
        <f t="shared" si="106"/>
        <v>0</v>
      </c>
      <c r="AP165" s="1">
        <f t="shared" si="106"/>
        <v>0</v>
      </c>
      <c r="AQ165" s="1">
        <f t="shared" si="106"/>
        <v>0</v>
      </c>
      <c r="AR165" s="1">
        <f t="shared" si="106"/>
        <v>0</v>
      </c>
      <c r="AS165" s="1">
        <f t="shared" si="106"/>
        <v>0</v>
      </c>
      <c r="AT165" s="1">
        <f t="shared" si="106"/>
        <v>0</v>
      </c>
      <c r="AU165" s="1">
        <f t="shared" si="106"/>
        <v>0</v>
      </c>
      <c r="AV165" s="1">
        <f t="shared" si="106"/>
        <v>0</v>
      </c>
      <c r="AW165" s="1">
        <f t="shared" si="106"/>
        <v>0</v>
      </c>
      <c r="AX165" s="1">
        <f t="shared" si="106"/>
        <v>0</v>
      </c>
      <c r="AY165" s="1">
        <f t="shared" si="106"/>
        <v>0</v>
      </c>
      <c r="AZ165" s="1">
        <f t="shared" si="106"/>
        <v>0</v>
      </c>
      <c r="BA165" s="1">
        <f t="shared" si="106"/>
        <v>0</v>
      </c>
    </row>
    <row r="166" spans="1:54" ht="15.75" customHeight="1" x14ac:dyDescent="0.35">
      <c r="B166" s="5"/>
      <c r="C166" s="5"/>
      <c r="D166" s="5"/>
      <c r="E166" s="5"/>
      <c r="F166" s="5"/>
      <c r="G166" s="5"/>
      <c r="H166" s="5"/>
      <c r="I166" s="5"/>
      <c r="J166" s="5"/>
      <c r="K166" s="5"/>
    </row>
    <row r="167" spans="1:54" ht="15.75" customHeight="1" x14ac:dyDescent="0.35">
      <c r="B167" s="9" t="s">
        <v>140</v>
      </c>
      <c r="C167" s="9"/>
      <c r="D167" s="9"/>
      <c r="E167" s="9"/>
      <c r="F167" s="9"/>
      <c r="G167" s="9"/>
      <c r="H167" s="9"/>
      <c r="I167" s="9"/>
      <c r="J167" s="9"/>
      <c r="K167" s="9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</row>
    <row r="168" spans="1:54" ht="15.75" customHeight="1" x14ac:dyDescent="0.35">
      <c r="B168" s="5"/>
      <c r="C168" s="5" t="s">
        <v>132</v>
      </c>
      <c r="D168" s="5"/>
      <c r="E168" s="5"/>
      <c r="F168" s="5"/>
      <c r="G168" s="5"/>
      <c r="H168" s="5"/>
      <c r="I168" s="5"/>
      <c r="J168" s="5"/>
      <c r="K168" s="5"/>
      <c r="N168" s="11">
        <f>SUM(Q168:BA168)</f>
        <v>0</v>
      </c>
      <c r="Q168" s="11">
        <f t="shared" ref="Q168:Y168" si="107">SUM(Q169:Q170)</f>
        <v>0</v>
      </c>
      <c r="R168" s="11">
        <f t="shared" si="107"/>
        <v>0</v>
      </c>
      <c r="S168" s="11">
        <f t="shared" si="107"/>
        <v>0</v>
      </c>
      <c r="T168" s="11">
        <f t="shared" si="107"/>
        <v>0</v>
      </c>
      <c r="U168" s="11">
        <f t="shared" si="107"/>
        <v>0</v>
      </c>
      <c r="V168" s="11">
        <f t="shared" si="107"/>
        <v>0</v>
      </c>
      <c r="W168" s="11">
        <f t="shared" si="107"/>
        <v>0</v>
      </c>
      <c r="X168" s="11">
        <f t="shared" si="107"/>
        <v>0</v>
      </c>
      <c r="Y168" s="11">
        <f t="shared" si="107"/>
        <v>0</v>
      </c>
      <c r="Z168" s="11">
        <f>SUM(Z169:Z170)</f>
        <v>0</v>
      </c>
      <c r="AA168" s="11">
        <f t="shared" ref="AA168:BA168" si="108">SUM(AA169:AA170)</f>
        <v>0</v>
      </c>
      <c r="AB168" s="11">
        <f t="shared" si="108"/>
        <v>0</v>
      </c>
      <c r="AC168" s="11">
        <f t="shared" si="108"/>
        <v>0</v>
      </c>
      <c r="AD168" s="11">
        <f t="shared" si="108"/>
        <v>0</v>
      </c>
      <c r="AE168" s="11">
        <f t="shared" si="108"/>
        <v>0</v>
      </c>
      <c r="AF168" s="11">
        <f t="shared" si="108"/>
        <v>0</v>
      </c>
      <c r="AG168" s="11">
        <f t="shared" si="108"/>
        <v>0</v>
      </c>
      <c r="AH168" s="11">
        <f t="shared" si="108"/>
        <v>0</v>
      </c>
      <c r="AI168" s="11">
        <f t="shared" si="108"/>
        <v>0</v>
      </c>
      <c r="AJ168" s="11">
        <f t="shared" si="108"/>
        <v>0</v>
      </c>
      <c r="AK168" s="11">
        <f t="shared" si="108"/>
        <v>0</v>
      </c>
      <c r="AL168" s="11">
        <f t="shared" si="108"/>
        <v>0</v>
      </c>
      <c r="AM168" s="11">
        <f t="shared" si="108"/>
        <v>0</v>
      </c>
      <c r="AN168" s="11">
        <f t="shared" si="108"/>
        <v>0</v>
      </c>
      <c r="AO168" s="11">
        <f t="shared" si="108"/>
        <v>0</v>
      </c>
      <c r="AP168" s="11">
        <f t="shared" si="108"/>
        <v>0</v>
      </c>
      <c r="AQ168" s="11">
        <f t="shared" si="108"/>
        <v>0</v>
      </c>
      <c r="AR168" s="11">
        <f t="shared" si="108"/>
        <v>0</v>
      </c>
      <c r="AS168" s="11">
        <f t="shared" si="108"/>
        <v>0</v>
      </c>
      <c r="AT168" s="11">
        <f t="shared" si="108"/>
        <v>0</v>
      </c>
      <c r="AU168" s="11">
        <f t="shared" si="108"/>
        <v>0</v>
      </c>
      <c r="AV168" s="11">
        <f t="shared" si="108"/>
        <v>0</v>
      </c>
      <c r="AW168" s="11">
        <f t="shared" si="108"/>
        <v>0</v>
      </c>
      <c r="AX168" s="11">
        <f t="shared" si="108"/>
        <v>0</v>
      </c>
      <c r="AY168" s="11">
        <f t="shared" si="108"/>
        <v>0</v>
      </c>
      <c r="AZ168" s="11">
        <f t="shared" si="108"/>
        <v>0</v>
      </c>
      <c r="BA168" s="11">
        <f t="shared" si="108"/>
        <v>0</v>
      </c>
    </row>
    <row r="169" spans="1:54" ht="15.75" customHeight="1" x14ac:dyDescent="0.35">
      <c r="B169" s="5"/>
      <c r="C169" s="5"/>
      <c r="D169" s="5" t="s">
        <v>138</v>
      </c>
      <c r="E169" s="5"/>
      <c r="F169" s="5"/>
      <c r="G169" s="5"/>
      <c r="H169" s="5"/>
      <c r="I169" s="5"/>
      <c r="J169" s="5"/>
      <c r="K169" s="5"/>
      <c r="N169" s="1">
        <f>SUM(Q169:BA169)</f>
        <v>0</v>
      </c>
      <c r="Q169" s="1">
        <f>Q$155*(Założenia!$M$172="tak")*Założenia!$M$173</f>
        <v>0</v>
      </c>
      <c r="R169" s="1">
        <f>R$155*(Założenia!$M$172="tak")*Założenia!$M$173</f>
        <v>0</v>
      </c>
      <c r="S169" s="1">
        <f>S$155*(Założenia!$M$172="tak")*Założenia!$M$173</f>
        <v>0</v>
      </c>
      <c r="T169" s="1">
        <f>T$155*(Założenia!$M$172="tak")*Założenia!$M$173</f>
        <v>0</v>
      </c>
      <c r="U169" s="1">
        <f>U$155*(Założenia!$M$172="tak")*Założenia!$M$173</f>
        <v>0</v>
      </c>
      <c r="V169" s="1">
        <f>V$155*(Założenia!$M$172="tak")*Założenia!$M$173</f>
        <v>0</v>
      </c>
      <c r="W169" s="1">
        <f>W$155*(Założenia!$M$172="tak")*Założenia!$M$173</f>
        <v>0</v>
      </c>
      <c r="X169" s="1">
        <f>X$155*(Założenia!$M$172="tak")*Założenia!$M$173</f>
        <v>0</v>
      </c>
      <c r="Y169" s="1">
        <f>Y$155*(Założenia!$M$172="tak")*Założenia!$M$173</f>
        <v>0</v>
      </c>
      <c r="Z169" s="1">
        <f>Z$155*(Założenia!$M$172="tak")*Założenia!$M$173</f>
        <v>0</v>
      </c>
      <c r="AA169" s="1">
        <f>AA$155*(Założenia!$M$172="tak")*Założenia!$M$173</f>
        <v>0</v>
      </c>
      <c r="AB169" s="1">
        <f>AB$155*(Założenia!$M$172="tak")*Założenia!$M$173</f>
        <v>0</v>
      </c>
      <c r="AC169" s="1">
        <f>AC$155*(Założenia!$M$172="tak")*Założenia!$M$173</f>
        <v>0</v>
      </c>
      <c r="AD169" s="1">
        <f>AD$155*(Założenia!$M$172="tak")*Założenia!$M$173</f>
        <v>0</v>
      </c>
      <c r="AE169" s="1">
        <f>AE$155*(Założenia!$M$172="tak")*Założenia!$M$173</f>
        <v>0</v>
      </c>
      <c r="AF169" s="1">
        <f>AF$155*(Założenia!$M$172="tak")*Założenia!$M$173</f>
        <v>0</v>
      </c>
      <c r="AG169" s="1">
        <f>AG$155*(Założenia!$M$172="tak")*Założenia!$M$173</f>
        <v>0</v>
      </c>
      <c r="AH169" s="1">
        <f>AH$155*(Założenia!$M$172="tak")*Założenia!$M$173</f>
        <v>0</v>
      </c>
      <c r="AI169" s="1">
        <f>AI$155*(Założenia!$M$172="tak")*Założenia!$M$173</f>
        <v>0</v>
      </c>
      <c r="AJ169" s="1">
        <f>AJ$155*(Założenia!$M$172="tak")*Założenia!$M$173</f>
        <v>0</v>
      </c>
      <c r="AK169" s="1">
        <f>AK$155*(Założenia!$M$172="tak")*Założenia!$M$173</f>
        <v>0</v>
      </c>
      <c r="AL169" s="1">
        <f>AL$155*(Założenia!$M$172="tak")*Założenia!$M$173</f>
        <v>0</v>
      </c>
      <c r="AM169" s="1">
        <f>AM$155*(Założenia!$M$172="tak")*Założenia!$M$173</f>
        <v>0</v>
      </c>
      <c r="AN169" s="1">
        <f>AN$155*(Założenia!$M$172="tak")*Założenia!$M$173</f>
        <v>0</v>
      </c>
      <c r="AO169" s="1">
        <f>AO$155*(Założenia!$M$172="tak")*Założenia!$M$173</f>
        <v>0</v>
      </c>
      <c r="AP169" s="1">
        <f>AP$155*(Założenia!$M$172="tak")*Założenia!$M$173</f>
        <v>0</v>
      </c>
      <c r="AQ169" s="1">
        <f>AQ$155*(Założenia!$M$172="tak")*Założenia!$M$173</f>
        <v>0</v>
      </c>
      <c r="AR169" s="1">
        <f>AR$155*(Założenia!$M$172="tak")*Założenia!$M$173</f>
        <v>0</v>
      </c>
      <c r="AS169" s="1">
        <f>AS$155*(Założenia!$M$172="tak")*Założenia!$M$173</f>
        <v>0</v>
      </c>
      <c r="AT169" s="1">
        <f>AT$155*(Założenia!$M$172="tak")*Założenia!$M$173</f>
        <v>0</v>
      </c>
      <c r="AU169" s="1">
        <f>AU$155*(Założenia!$M$172="tak")*Założenia!$M$173</f>
        <v>0</v>
      </c>
      <c r="AV169" s="1">
        <f>AV$155*(Założenia!$M$172="tak")*Założenia!$M$173</f>
        <v>0</v>
      </c>
      <c r="AW169" s="1">
        <f>AW$155*(Założenia!$M$172="tak")*Założenia!$M$173</f>
        <v>0</v>
      </c>
      <c r="AX169" s="1">
        <f>AX$155*(Założenia!$M$172="tak")*Założenia!$M$173</f>
        <v>0</v>
      </c>
      <c r="AY169" s="1">
        <f>AY$155*(Założenia!$M$172="tak")*Założenia!$M$173</f>
        <v>0</v>
      </c>
      <c r="AZ169" s="1">
        <f>AZ$155*(Założenia!$M$172="tak")*Założenia!$M$173</f>
        <v>0</v>
      </c>
      <c r="BA169" s="1">
        <f>BA$155*(Założenia!$M$172="tak")*Założenia!$M$173</f>
        <v>0</v>
      </c>
    </row>
    <row r="170" spans="1:54" ht="15.75" customHeight="1" x14ac:dyDescent="0.35">
      <c r="B170" s="5"/>
      <c r="C170" s="5"/>
      <c r="D170" s="5" t="s">
        <v>139</v>
      </c>
      <c r="E170" s="5"/>
      <c r="F170" s="5"/>
      <c r="G170" s="5"/>
      <c r="H170" s="5"/>
      <c r="I170" s="5"/>
      <c r="J170" s="5"/>
      <c r="K170" s="5"/>
      <c r="N170" s="1">
        <f>SUM(Q170:BA170)</f>
        <v>0</v>
      </c>
      <c r="Q170" s="1">
        <f>SUM(Q$155-Q$169)*(Założenia!$M$179="Podmiot Publiczny")</f>
        <v>0</v>
      </c>
      <c r="R170" s="1">
        <f>SUM(R$155-R$169)*(Założenia!$M$179="Podmiot Publiczny")</f>
        <v>0</v>
      </c>
      <c r="S170" s="1">
        <f>SUM(S$155-S$169)*(Założenia!$M$179="Podmiot Publiczny")</f>
        <v>0</v>
      </c>
      <c r="T170" s="1">
        <f>SUM(T$155-T$169)*(Założenia!$M$179="Podmiot Publiczny")</f>
        <v>0</v>
      </c>
      <c r="U170" s="1">
        <f>SUM(U$155-U$169)*(Założenia!$M$179="Podmiot Publiczny")</f>
        <v>0</v>
      </c>
      <c r="V170" s="1">
        <f>SUM(V$155-V$169)*(Założenia!$M$179="Podmiot Publiczny")</f>
        <v>0</v>
      </c>
      <c r="W170" s="1">
        <f>SUM(W$155-W$169)*(Założenia!$M$179="Podmiot Publiczny")</f>
        <v>0</v>
      </c>
      <c r="X170" s="1">
        <f>SUM(X$155-X$169)*(Założenia!$M$179="Podmiot Publiczny")</f>
        <v>0</v>
      </c>
      <c r="Y170" s="1">
        <f>SUM(Y$155-Y$169)*(Założenia!$M$179="Podmiot Publiczny")</f>
        <v>0</v>
      </c>
      <c r="Z170" s="1">
        <f>SUM(Z$155-Z$169)*(Założenia!$M$179="Podmiot Publiczny")</f>
        <v>0</v>
      </c>
      <c r="AA170" s="1">
        <f>SUM(AA$155-AA$169)*(Założenia!$M$179="Podmiot Publiczny")</f>
        <v>0</v>
      </c>
      <c r="AB170" s="1">
        <f>SUM(AB$155-AB$169)*(Założenia!$M$179="Podmiot Publiczny")</f>
        <v>0</v>
      </c>
      <c r="AC170" s="1">
        <f>SUM(AC$155-AC$169)*(Założenia!$M$179="Podmiot Publiczny")</f>
        <v>0</v>
      </c>
      <c r="AD170" s="1">
        <f>SUM(AD$155-AD$169)*(Założenia!$M$179="Podmiot Publiczny")</f>
        <v>0</v>
      </c>
      <c r="AE170" s="1">
        <f>SUM(AE$155-AE$169)*(Założenia!$M$179="Podmiot Publiczny")</f>
        <v>0</v>
      </c>
      <c r="AF170" s="1">
        <f>SUM(AF$155-AF$169)*(Założenia!$M$179="Podmiot Publiczny")</f>
        <v>0</v>
      </c>
      <c r="AG170" s="1">
        <f>SUM(AG$155-AG$169)*(Założenia!$M$179="Podmiot Publiczny")</f>
        <v>0</v>
      </c>
      <c r="AH170" s="1">
        <f>SUM(AH$155-AH$169)*(Założenia!$M$179="Podmiot Publiczny")</f>
        <v>0</v>
      </c>
      <c r="AI170" s="1">
        <f>SUM(AI$155-AI$169)*(Założenia!$M$179="Podmiot Publiczny")</f>
        <v>0</v>
      </c>
      <c r="AJ170" s="1">
        <f>SUM(AJ$155-AJ$169)*(Założenia!$M$179="Podmiot Publiczny")</f>
        <v>0</v>
      </c>
      <c r="AK170" s="1">
        <f>SUM(AK$155-AK$169)*(Założenia!$M$179="Podmiot Publiczny")</f>
        <v>0</v>
      </c>
      <c r="AL170" s="1">
        <f>SUM(AL$155-AL$169)*(Założenia!$M$179="Podmiot Publiczny")</f>
        <v>0</v>
      </c>
      <c r="AM170" s="1">
        <f>SUM(AM$155-AM$169)*(Założenia!$M$179="Podmiot Publiczny")</f>
        <v>0</v>
      </c>
      <c r="AN170" s="1">
        <f>SUM(AN$155-AN$169)*(Założenia!$M$179="Podmiot Publiczny")</f>
        <v>0</v>
      </c>
      <c r="AO170" s="1">
        <f>SUM(AO$155-AO$169)*(Założenia!$M$179="Podmiot Publiczny")</f>
        <v>0</v>
      </c>
      <c r="AP170" s="1">
        <f>SUM(AP$155-AP$169)*(Założenia!$M$179="Podmiot Publiczny")</f>
        <v>0</v>
      </c>
      <c r="AQ170" s="1">
        <f>SUM(AQ$155-AQ$169)*(Założenia!$M$179="Podmiot Publiczny")</f>
        <v>0</v>
      </c>
      <c r="AR170" s="1">
        <f>SUM(AR$155-AR$169)*(Założenia!$M$179="Podmiot Publiczny")</f>
        <v>0</v>
      </c>
      <c r="AS170" s="1">
        <f>SUM(AS$155-AS$169)*(Założenia!$M$179="Podmiot Publiczny")</f>
        <v>0</v>
      </c>
      <c r="AT170" s="1">
        <f>SUM(AT$155-AT$169)*(Założenia!$M$179="Podmiot Publiczny")</f>
        <v>0</v>
      </c>
      <c r="AU170" s="1">
        <f>SUM(AU$155-AU$169)*(Założenia!$M$179="Podmiot Publiczny")</f>
        <v>0</v>
      </c>
      <c r="AV170" s="1">
        <f>SUM(AV$155-AV$169)*(Założenia!$M$179="Podmiot Publiczny")</f>
        <v>0</v>
      </c>
      <c r="AW170" s="1">
        <f>SUM(AW$155-AW$169)*(Założenia!$M$179="Podmiot Publiczny")</f>
        <v>0</v>
      </c>
      <c r="AX170" s="1">
        <f>SUM(AX$155-AX$169)*(Założenia!$M$179="Podmiot Publiczny")</f>
        <v>0</v>
      </c>
      <c r="AY170" s="1">
        <f>SUM(AY$155-AY$169)*(Założenia!$M$179="Podmiot Publiczny")</f>
        <v>0</v>
      </c>
      <c r="AZ170" s="1">
        <f>SUM(AZ$155-AZ$169)*(Założenia!$M$179="Podmiot Publiczny")</f>
        <v>0</v>
      </c>
      <c r="BA170" s="1">
        <f>SUM(BA$155-BA$169)*(Założenia!$M$179="Podmiot Publiczny")</f>
        <v>0</v>
      </c>
    </row>
    <row r="171" spans="1:54" ht="15.75" customHeight="1" x14ac:dyDescent="0.35">
      <c r="B171" s="5"/>
      <c r="C171" s="5" t="s">
        <v>103</v>
      </c>
      <c r="D171" s="5"/>
      <c r="E171" s="5"/>
      <c r="F171" s="5"/>
      <c r="G171" s="5"/>
      <c r="H171" s="5"/>
      <c r="I171" s="5"/>
      <c r="J171" s="5"/>
      <c r="K171" s="5"/>
      <c r="N171" s="1">
        <f>SUM(Q171:BA171)</f>
        <v>0</v>
      </c>
      <c r="Q171" s="1">
        <f t="shared" ref="Q171:BA171" si="109">Q155-Q168</f>
        <v>0</v>
      </c>
      <c r="R171" s="1">
        <f t="shared" si="109"/>
        <v>0</v>
      </c>
      <c r="S171" s="1">
        <f t="shared" si="109"/>
        <v>0</v>
      </c>
      <c r="T171" s="1">
        <f t="shared" si="109"/>
        <v>0</v>
      </c>
      <c r="U171" s="1">
        <f t="shared" si="109"/>
        <v>0</v>
      </c>
      <c r="V171" s="1">
        <f t="shared" si="109"/>
        <v>0</v>
      </c>
      <c r="W171" s="1">
        <f t="shared" si="109"/>
        <v>0</v>
      </c>
      <c r="X171" s="1">
        <f t="shared" si="109"/>
        <v>0</v>
      </c>
      <c r="Y171" s="1">
        <f t="shared" si="109"/>
        <v>0</v>
      </c>
      <c r="Z171" s="1">
        <f t="shared" si="109"/>
        <v>0</v>
      </c>
      <c r="AA171" s="1">
        <f t="shared" si="109"/>
        <v>0</v>
      </c>
      <c r="AB171" s="1">
        <f t="shared" si="109"/>
        <v>0</v>
      </c>
      <c r="AC171" s="1">
        <f t="shared" si="109"/>
        <v>0</v>
      </c>
      <c r="AD171" s="1">
        <f t="shared" si="109"/>
        <v>0</v>
      </c>
      <c r="AE171" s="1">
        <f t="shared" si="109"/>
        <v>0</v>
      </c>
      <c r="AF171" s="1">
        <f t="shared" si="109"/>
        <v>0</v>
      </c>
      <c r="AG171" s="1">
        <f t="shared" si="109"/>
        <v>0</v>
      </c>
      <c r="AH171" s="1">
        <f t="shared" si="109"/>
        <v>0</v>
      </c>
      <c r="AI171" s="1">
        <f t="shared" si="109"/>
        <v>0</v>
      </c>
      <c r="AJ171" s="1">
        <f t="shared" si="109"/>
        <v>0</v>
      </c>
      <c r="AK171" s="1">
        <f t="shared" si="109"/>
        <v>0</v>
      </c>
      <c r="AL171" s="1">
        <f t="shared" si="109"/>
        <v>0</v>
      </c>
      <c r="AM171" s="1">
        <f t="shared" si="109"/>
        <v>0</v>
      </c>
      <c r="AN171" s="1">
        <f t="shared" si="109"/>
        <v>0</v>
      </c>
      <c r="AO171" s="1">
        <f t="shared" si="109"/>
        <v>0</v>
      </c>
      <c r="AP171" s="1">
        <f t="shared" si="109"/>
        <v>0</v>
      </c>
      <c r="AQ171" s="1">
        <f t="shared" si="109"/>
        <v>0</v>
      </c>
      <c r="AR171" s="1">
        <f t="shared" si="109"/>
        <v>0</v>
      </c>
      <c r="AS171" s="1">
        <f t="shared" si="109"/>
        <v>0</v>
      </c>
      <c r="AT171" s="1">
        <f t="shared" si="109"/>
        <v>0</v>
      </c>
      <c r="AU171" s="1">
        <f t="shared" si="109"/>
        <v>0</v>
      </c>
      <c r="AV171" s="1">
        <f t="shared" si="109"/>
        <v>0</v>
      </c>
      <c r="AW171" s="1">
        <f t="shared" si="109"/>
        <v>0</v>
      </c>
      <c r="AX171" s="1">
        <f t="shared" si="109"/>
        <v>0</v>
      </c>
      <c r="AY171" s="1">
        <f t="shared" si="109"/>
        <v>0</v>
      </c>
      <c r="AZ171" s="1">
        <f t="shared" si="109"/>
        <v>0</v>
      </c>
      <c r="BA171" s="1">
        <f t="shared" si="109"/>
        <v>0</v>
      </c>
    </row>
    <row r="172" spans="1:54" ht="15.75" customHeight="1" x14ac:dyDescent="0.35">
      <c r="B172" s="5"/>
      <c r="C172" s="5"/>
      <c r="D172" s="5"/>
      <c r="E172" s="5"/>
      <c r="F172" s="5"/>
      <c r="G172" s="5"/>
      <c r="H172" s="5"/>
      <c r="I172" s="5"/>
      <c r="J172" s="5"/>
      <c r="K172" s="5"/>
    </row>
    <row r="173" spans="1:54" ht="15.75" customHeight="1" thickBot="1" x14ac:dyDescent="0.4">
      <c r="A173" s="44" t="s">
        <v>92</v>
      </c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5"/>
    </row>
    <row r="174" spans="1:54" ht="15.75" customHeight="1" thickTop="1" x14ac:dyDescent="0.35">
      <c r="B174" s="5"/>
      <c r="C174" s="5"/>
      <c r="D174" s="5"/>
      <c r="E174" s="5"/>
      <c r="F174" s="5"/>
      <c r="G174" s="5"/>
      <c r="H174" s="5"/>
      <c r="I174" s="5"/>
      <c r="J174" s="5"/>
      <c r="K174" s="5"/>
    </row>
    <row r="175" spans="1:54" ht="15.75" customHeight="1" x14ac:dyDescent="0.35">
      <c r="B175" s="9" t="s">
        <v>143</v>
      </c>
      <c r="C175" s="9"/>
      <c r="D175" s="9"/>
      <c r="E175" s="9"/>
      <c r="F175" s="9"/>
      <c r="G175" s="9"/>
      <c r="H175" s="9"/>
      <c r="I175" s="9"/>
      <c r="J175" s="9"/>
      <c r="K175" s="9"/>
      <c r="L175" s="8"/>
      <c r="M175" s="8"/>
      <c r="N175" s="10">
        <f>SUM(Q175:BA175)</f>
        <v>0</v>
      </c>
      <c r="O175" s="8"/>
      <c r="P175" s="8"/>
      <c r="Q175" s="10">
        <f>SUM(Q176:Q178)</f>
        <v>0</v>
      </c>
      <c r="R175" s="10">
        <f t="shared" ref="R175:BA175" si="110">SUM(R176:R178)</f>
        <v>0</v>
      </c>
      <c r="S175" s="10">
        <f t="shared" si="110"/>
        <v>0</v>
      </c>
      <c r="T175" s="10">
        <f t="shared" si="110"/>
        <v>0</v>
      </c>
      <c r="U175" s="10">
        <f t="shared" si="110"/>
        <v>0</v>
      </c>
      <c r="V175" s="10">
        <f t="shared" si="110"/>
        <v>0</v>
      </c>
      <c r="W175" s="10">
        <f t="shared" si="110"/>
        <v>0</v>
      </c>
      <c r="X175" s="10">
        <f t="shared" si="110"/>
        <v>0</v>
      </c>
      <c r="Y175" s="10">
        <f t="shared" si="110"/>
        <v>0</v>
      </c>
      <c r="Z175" s="10">
        <f t="shared" si="110"/>
        <v>0</v>
      </c>
      <c r="AA175" s="10">
        <f t="shared" si="110"/>
        <v>0</v>
      </c>
      <c r="AB175" s="10">
        <f t="shared" si="110"/>
        <v>0</v>
      </c>
      <c r="AC175" s="10">
        <f t="shared" si="110"/>
        <v>0</v>
      </c>
      <c r="AD175" s="10">
        <f t="shared" si="110"/>
        <v>0</v>
      </c>
      <c r="AE175" s="10">
        <f t="shared" si="110"/>
        <v>0</v>
      </c>
      <c r="AF175" s="10">
        <f t="shared" si="110"/>
        <v>0</v>
      </c>
      <c r="AG175" s="10">
        <f t="shared" si="110"/>
        <v>0</v>
      </c>
      <c r="AH175" s="10">
        <f t="shared" si="110"/>
        <v>0</v>
      </c>
      <c r="AI175" s="10">
        <f t="shared" si="110"/>
        <v>0</v>
      </c>
      <c r="AJ175" s="10">
        <f t="shared" si="110"/>
        <v>0</v>
      </c>
      <c r="AK175" s="10">
        <f t="shared" si="110"/>
        <v>0</v>
      </c>
      <c r="AL175" s="10">
        <f t="shared" si="110"/>
        <v>0</v>
      </c>
      <c r="AM175" s="10">
        <f t="shared" si="110"/>
        <v>0</v>
      </c>
      <c r="AN175" s="10">
        <f t="shared" si="110"/>
        <v>0</v>
      </c>
      <c r="AO175" s="10">
        <f t="shared" si="110"/>
        <v>0</v>
      </c>
      <c r="AP175" s="10">
        <f t="shared" si="110"/>
        <v>0</v>
      </c>
      <c r="AQ175" s="10">
        <f t="shared" si="110"/>
        <v>0</v>
      </c>
      <c r="AR175" s="10">
        <f t="shared" si="110"/>
        <v>0</v>
      </c>
      <c r="AS175" s="10">
        <f t="shared" si="110"/>
        <v>0</v>
      </c>
      <c r="AT175" s="10">
        <f t="shared" si="110"/>
        <v>0</v>
      </c>
      <c r="AU175" s="10">
        <f t="shared" si="110"/>
        <v>0</v>
      </c>
      <c r="AV175" s="10">
        <f t="shared" si="110"/>
        <v>0</v>
      </c>
      <c r="AW175" s="10">
        <f t="shared" si="110"/>
        <v>0</v>
      </c>
      <c r="AX175" s="10">
        <f t="shared" si="110"/>
        <v>0</v>
      </c>
      <c r="AY175" s="10">
        <f t="shared" si="110"/>
        <v>0</v>
      </c>
      <c r="AZ175" s="10">
        <f t="shared" si="110"/>
        <v>0</v>
      </c>
      <c r="BA175" s="10">
        <f t="shared" si="110"/>
        <v>0</v>
      </c>
    </row>
    <row r="176" spans="1:54" ht="15.75" customHeight="1" x14ac:dyDescent="0.35">
      <c r="B176" s="5"/>
      <c r="C176" s="5" t="s">
        <v>99</v>
      </c>
      <c r="D176" s="5"/>
      <c r="E176" s="5"/>
      <c r="F176" s="5"/>
      <c r="G176" s="5"/>
      <c r="H176" s="5"/>
      <c r="I176" s="5"/>
      <c r="J176" s="5"/>
      <c r="K176" s="5"/>
      <c r="N176" s="11">
        <f>SUM(Q176:BA176)</f>
        <v>0</v>
      </c>
      <c r="Q176" s="11">
        <f>IFERROR(Założenia!$M$34/SUM(OPt.w2)*OPt.w2*IF(Założenia!$M$38="tak",'zakładka techniczna'!Q$10,1),0)</f>
        <v>0</v>
      </c>
      <c r="R176" s="11">
        <f>IFERROR(Założenia!$M$34/SUM(OPt.w2)*OPt.w2*IF(Założenia!$M$38="tak",'zakładka techniczna'!R$10,1),0)</f>
        <v>0</v>
      </c>
      <c r="S176" s="11">
        <f>IFERROR(Założenia!$M$34/SUM(OPt.w2)*OPt.w2*IF(Założenia!$M$38="tak",'zakładka techniczna'!S$10,1),0)</f>
        <v>0</v>
      </c>
      <c r="T176" s="11">
        <f>IFERROR(Założenia!$M$34/SUM(OPt.w2)*OPt.w2*IF(Założenia!$M$38="tak",'zakładka techniczna'!T$10,1),0)</f>
        <v>0</v>
      </c>
      <c r="U176" s="11">
        <f>IFERROR(Założenia!$M$34/SUM(OPt.w2)*OPt.w2*IF(Założenia!$M$38="tak",'zakładka techniczna'!U$10,1),0)</f>
        <v>0</v>
      </c>
      <c r="V176" s="11">
        <f>IFERROR(Założenia!$M$34/SUM(OPt.w2)*OPt.w2*IF(Założenia!$M$38="tak",'zakładka techniczna'!V$10,1),0)</f>
        <v>0</v>
      </c>
      <c r="W176" s="11">
        <f>IFERROR(Założenia!$M$34/SUM(OPt.w2)*OPt.w2*IF(Założenia!$M$38="tak",'zakładka techniczna'!W$10,1),0)</f>
        <v>0</v>
      </c>
      <c r="X176" s="11">
        <f>IFERROR(Założenia!$M$34/SUM(OPt.w2)*OPt.w2*IF(Założenia!$M$38="tak",'zakładka techniczna'!X$10,1),0)</f>
        <v>0</v>
      </c>
      <c r="Y176" s="11">
        <f>IFERROR(Założenia!$M$34/SUM(OPt.w2)*OPt.w2*IF(Założenia!$M$38="tak",'zakładka techniczna'!Y$10,1),0)</f>
        <v>0</v>
      </c>
      <c r="Z176" s="11">
        <f>IFERROR(Założenia!$M$34/SUM(OPt.w2)*OPt.w2*IF(Założenia!$M$38="tak",'zakładka techniczna'!Z$10,1),0)</f>
        <v>0</v>
      </c>
      <c r="AA176" s="11">
        <f>IFERROR(Założenia!$M$34/SUM(OPt.w2)*OPt.w2*IF(Założenia!$M$38="tak",'zakładka techniczna'!AA$10,1),0)</f>
        <v>0</v>
      </c>
      <c r="AB176" s="11">
        <f>IFERROR(Założenia!$M$34/SUM(OPt.w2)*OPt.w2*IF(Założenia!$M$38="tak",'zakładka techniczna'!AB$10,1),0)</f>
        <v>0</v>
      </c>
      <c r="AC176" s="11">
        <f>IFERROR(Założenia!$M$34/SUM(OPt.w2)*OPt.w2*IF(Założenia!$M$38="tak",'zakładka techniczna'!AC$10,1),0)</f>
        <v>0</v>
      </c>
      <c r="AD176" s="11">
        <f>IFERROR(Założenia!$M$34/SUM(OPt.w2)*OPt.w2*IF(Założenia!$M$38="tak",'zakładka techniczna'!AD$10,1),0)</f>
        <v>0</v>
      </c>
      <c r="AE176" s="11">
        <f>IFERROR(Założenia!$M$34/SUM(OPt.w2)*OPt.w2*IF(Założenia!$M$38="tak",'zakładka techniczna'!AE$10,1),0)</f>
        <v>0</v>
      </c>
      <c r="AF176" s="11">
        <f>IFERROR(Założenia!$M$34/SUM(OPt.w2)*OPt.w2*IF(Założenia!$M$38="tak",'zakładka techniczna'!AF$10,1),0)</f>
        <v>0</v>
      </c>
      <c r="AG176" s="11">
        <f>IFERROR(Założenia!$M$34/SUM(OPt.w2)*OPt.w2*IF(Założenia!$M$38="tak",'zakładka techniczna'!AG$10,1),0)</f>
        <v>0</v>
      </c>
      <c r="AH176" s="11">
        <f>IFERROR(Założenia!$M$34/SUM(OPt.w2)*OPt.w2*IF(Założenia!$M$38="tak",'zakładka techniczna'!AH$10,1),0)</f>
        <v>0</v>
      </c>
      <c r="AI176" s="11">
        <f>IFERROR(Założenia!$M$34/SUM(OPt.w2)*OPt.w2*IF(Założenia!$M$38="tak",'zakładka techniczna'!AI$10,1),0)</f>
        <v>0</v>
      </c>
      <c r="AJ176" s="11">
        <f>IFERROR(Założenia!$M$34/SUM(OPt.w2)*OPt.w2*IF(Założenia!$M$38="tak",'zakładka techniczna'!AJ$10,1),0)</f>
        <v>0</v>
      </c>
      <c r="AK176" s="11">
        <f>IFERROR(Założenia!$M$34/SUM(OPt.w2)*OPt.w2*IF(Założenia!$M$38="tak",'zakładka techniczna'!AK$10,1),0)</f>
        <v>0</v>
      </c>
      <c r="AL176" s="11">
        <f>IFERROR(Założenia!$M$34/SUM(OPt.w2)*OPt.w2*IF(Założenia!$M$38="tak",'zakładka techniczna'!AL$10,1),0)</f>
        <v>0</v>
      </c>
      <c r="AM176" s="11">
        <f>IFERROR(Założenia!$M$34/SUM(OPt.w2)*OPt.w2*IF(Założenia!$M$38="tak",'zakładka techniczna'!AM$10,1),0)</f>
        <v>0</v>
      </c>
      <c r="AN176" s="11">
        <f>IFERROR(Założenia!$M$34/SUM(OPt.w2)*OPt.w2*IF(Założenia!$M$38="tak",'zakładka techniczna'!AN$10,1),0)</f>
        <v>0</v>
      </c>
      <c r="AO176" s="11">
        <f>IFERROR(Założenia!$M$34/SUM(OPt.w2)*OPt.w2*IF(Założenia!$M$38="tak",'zakładka techniczna'!AO$10,1),0)</f>
        <v>0</v>
      </c>
      <c r="AP176" s="11">
        <f>IFERROR(Założenia!$M$34/SUM(OPt.w2)*OPt.w2*IF(Założenia!$M$38="tak",'zakładka techniczna'!AP$10,1),0)</f>
        <v>0</v>
      </c>
      <c r="AQ176" s="11">
        <f>IFERROR(Założenia!$M$34/SUM(OPt.w2)*OPt.w2*IF(Założenia!$M$38="tak",'zakładka techniczna'!AQ$10,1),0)</f>
        <v>0</v>
      </c>
      <c r="AR176" s="11">
        <f>IFERROR(Założenia!$M$34/SUM(OPt.w2)*OPt.w2*IF(Założenia!$M$38="tak",'zakładka techniczna'!AR$10,1),0)</f>
        <v>0</v>
      </c>
      <c r="AS176" s="11">
        <f>IFERROR(Założenia!$M$34/SUM(OPt.w2)*OPt.w2*IF(Założenia!$M$38="tak",'zakładka techniczna'!AS$10,1),0)</f>
        <v>0</v>
      </c>
      <c r="AT176" s="11">
        <f>IFERROR(Założenia!$M$34/SUM(OPt.w2)*OPt.w2*IF(Założenia!$M$38="tak",'zakładka techniczna'!AT$10,1),0)</f>
        <v>0</v>
      </c>
      <c r="AU176" s="11">
        <f>IFERROR(Założenia!$M$34/SUM(OPt.w2)*OPt.w2*IF(Założenia!$M$38="tak",'zakładka techniczna'!AU$10,1),0)</f>
        <v>0</v>
      </c>
      <c r="AV176" s="11">
        <f>IFERROR(Założenia!$M$34/SUM(OPt.w2)*OPt.w2*IF(Założenia!$M$38="tak",'zakładka techniczna'!AV$10,1),0)</f>
        <v>0</v>
      </c>
      <c r="AW176" s="11">
        <f>IFERROR(Założenia!$M$34/SUM(OPt.w2)*OPt.w2*IF(Założenia!$M$38="tak",'zakładka techniczna'!AW$10,1),0)</f>
        <v>0</v>
      </c>
      <c r="AX176" s="11">
        <f>IFERROR(Założenia!$M$34/SUM(OPt.w2)*OPt.w2*IF(Założenia!$M$38="tak",'zakładka techniczna'!AX$10,1),0)</f>
        <v>0</v>
      </c>
      <c r="AY176" s="11">
        <f>IFERROR(Założenia!$M$34/SUM(OPt.w2)*OPt.w2*IF(Założenia!$M$38="tak",'zakładka techniczna'!AY$10,1),0)</f>
        <v>0</v>
      </c>
      <c r="AZ176" s="11">
        <f>IFERROR(Założenia!$M$34/SUM(OPt.w2)*OPt.w2*IF(Założenia!$M$38="tak",'zakładka techniczna'!AZ$10,1),0)</f>
        <v>0</v>
      </c>
      <c r="BA176" s="11">
        <f>IFERROR(Założenia!$M$34/SUM(OPt.w2)*OPt.w2*IF(Założenia!$M$38="tak",'zakładka techniczna'!BA$10,1),0)</f>
        <v>0</v>
      </c>
    </row>
    <row r="177" spans="1:54" ht="15.75" customHeight="1" x14ac:dyDescent="0.35">
      <c r="B177" s="5"/>
      <c r="C177" s="5" t="s">
        <v>100</v>
      </c>
      <c r="D177" s="5"/>
      <c r="E177" s="5"/>
      <c r="F177" s="5"/>
      <c r="G177" s="5"/>
      <c r="H177" s="5"/>
      <c r="I177" s="5"/>
      <c r="J177" s="5"/>
      <c r="K177" s="5"/>
      <c r="N177" s="1">
        <f>SUM(Q177:BA177)</f>
        <v>0</v>
      </c>
      <c r="Q177" s="1">
        <f>IFERROR(Założenia!$M$35/SUM(OBt.w2)*OBt.w2*IF(Założenia!$M$38="tak",'zakładka techniczna'!Q$10,1),0)</f>
        <v>0</v>
      </c>
      <c r="R177" s="1">
        <f>IFERROR(Założenia!$M$35/SUM(OBt.w2)*OBt.w2*IF(Założenia!$M$38="tak",'zakładka techniczna'!R$10,1),0)</f>
        <v>0</v>
      </c>
      <c r="S177" s="1">
        <f>IFERROR(Założenia!$M$35/SUM(OBt.w2)*OBt.w2*IF(Założenia!$M$38="tak",'zakładka techniczna'!S$10,1),0)</f>
        <v>0</v>
      </c>
      <c r="T177" s="1">
        <f>IFERROR(Założenia!$M$35/SUM(OBt.w2)*OBt.w2*IF(Założenia!$M$38="tak",'zakładka techniczna'!T$10,1),0)</f>
        <v>0</v>
      </c>
      <c r="U177" s="1">
        <f>IFERROR(Założenia!$M$35/SUM(OBt.w2)*OBt.w2*IF(Założenia!$M$38="tak",'zakładka techniczna'!U$10,1),0)</f>
        <v>0</v>
      </c>
      <c r="V177" s="1">
        <f>IFERROR(Założenia!$M$35/SUM(OBt.w2)*OBt.w2*IF(Założenia!$M$38="tak",'zakładka techniczna'!V$10,1),0)</f>
        <v>0</v>
      </c>
      <c r="W177" s="1">
        <f>IFERROR(Założenia!$M$35/SUM(OBt.w2)*OBt.w2*IF(Założenia!$M$38="tak",'zakładka techniczna'!W$10,1),0)</f>
        <v>0</v>
      </c>
      <c r="X177" s="1">
        <f>IFERROR(Założenia!$M$35/SUM(OBt.w2)*OBt.w2*IF(Założenia!$M$38="tak",'zakładka techniczna'!X$10,1),0)</f>
        <v>0</v>
      </c>
      <c r="Y177" s="1">
        <f>IFERROR(Założenia!$M$35/SUM(OBt.w2)*OBt.w2*IF(Założenia!$M$38="tak",'zakładka techniczna'!Y$10,1),0)</f>
        <v>0</v>
      </c>
      <c r="Z177" s="1">
        <f>IFERROR(Założenia!$M$35/SUM(OBt.w2)*OBt.w2*IF(Założenia!$M$38="tak",'zakładka techniczna'!Z$10,1),0)</f>
        <v>0</v>
      </c>
      <c r="AA177" s="1">
        <f>IFERROR(Założenia!$M$35/SUM(OBt.w2)*OBt.w2*IF(Założenia!$M$38="tak",'zakładka techniczna'!AA$10,1),0)</f>
        <v>0</v>
      </c>
      <c r="AB177" s="1">
        <f>IFERROR(Założenia!$M$35/SUM(OBt.w2)*OBt.w2*IF(Założenia!$M$38="tak",'zakładka techniczna'!AB$10,1),0)</f>
        <v>0</v>
      </c>
      <c r="AC177" s="1">
        <f>IFERROR(Założenia!$M$35/SUM(OBt.w2)*OBt.w2*IF(Założenia!$M$38="tak",'zakładka techniczna'!AC$10,1),0)</f>
        <v>0</v>
      </c>
      <c r="AD177" s="1">
        <f>IFERROR(Założenia!$M$35/SUM(OBt.w2)*OBt.w2*IF(Założenia!$M$38="tak",'zakładka techniczna'!AD$10,1),0)</f>
        <v>0</v>
      </c>
      <c r="AE177" s="1">
        <f>IFERROR(Założenia!$M$35/SUM(OBt.w2)*OBt.w2*IF(Założenia!$M$38="tak",'zakładka techniczna'!AE$10,1),0)</f>
        <v>0</v>
      </c>
      <c r="AF177" s="1">
        <f>IFERROR(Założenia!$M$35/SUM(OBt.w2)*OBt.w2*IF(Założenia!$M$38="tak",'zakładka techniczna'!AF$10,1),0)</f>
        <v>0</v>
      </c>
      <c r="AG177" s="1">
        <f>IFERROR(Założenia!$M$35/SUM(OBt.w2)*OBt.w2*IF(Założenia!$M$38="tak",'zakładka techniczna'!AG$10,1),0)</f>
        <v>0</v>
      </c>
      <c r="AH177" s="1">
        <f>IFERROR(Założenia!$M$35/SUM(OBt.w2)*OBt.w2*IF(Założenia!$M$38="tak",'zakładka techniczna'!AH$10,1),0)</f>
        <v>0</v>
      </c>
      <c r="AI177" s="1">
        <f>IFERROR(Założenia!$M$35/SUM(OBt.w2)*OBt.w2*IF(Założenia!$M$38="tak",'zakładka techniczna'!AI$10,1),0)</f>
        <v>0</v>
      </c>
      <c r="AJ177" s="1">
        <f>IFERROR(Założenia!$M$35/SUM(OBt.w2)*OBt.w2*IF(Założenia!$M$38="tak",'zakładka techniczna'!AJ$10,1),0)</f>
        <v>0</v>
      </c>
      <c r="AK177" s="1">
        <f>IFERROR(Założenia!$M$35/SUM(OBt.w2)*OBt.w2*IF(Założenia!$M$38="tak",'zakładka techniczna'!AK$10,1),0)</f>
        <v>0</v>
      </c>
      <c r="AL177" s="1">
        <f>IFERROR(Założenia!$M$35/SUM(OBt.w2)*OBt.w2*IF(Założenia!$M$38="tak",'zakładka techniczna'!AL$10,1),0)</f>
        <v>0</v>
      </c>
      <c r="AM177" s="1">
        <f>IFERROR(Założenia!$M$35/SUM(OBt.w2)*OBt.w2*IF(Założenia!$M$38="tak",'zakładka techniczna'!AM$10,1),0)</f>
        <v>0</v>
      </c>
      <c r="AN177" s="1">
        <f>IFERROR(Założenia!$M$35/SUM(OBt.w2)*OBt.w2*IF(Założenia!$M$38="tak",'zakładka techniczna'!AN$10,1),0)</f>
        <v>0</v>
      </c>
      <c r="AO177" s="1">
        <f>IFERROR(Założenia!$M$35/SUM(OBt.w2)*OBt.w2*IF(Założenia!$M$38="tak",'zakładka techniczna'!AO$10,1),0)</f>
        <v>0</v>
      </c>
      <c r="AP177" s="1">
        <f>IFERROR(Założenia!$M$35/SUM(OBt.w2)*OBt.w2*IF(Założenia!$M$38="tak",'zakładka techniczna'!AP$10,1),0)</f>
        <v>0</v>
      </c>
      <c r="AQ177" s="1">
        <f>IFERROR(Założenia!$M$35/SUM(OBt.w2)*OBt.w2*IF(Założenia!$M$38="tak",'zakładka techniczna'!AQ$10,1),0)</f>
        <v>0</v>
      </c>
      <c r="AR177" s="1">
        <f>IFERROR(Założenia!$M$35/SUM(OBt.w2)*OBt.w2*IF(Założenia!$M$38="tak",'zakładka techniczna'!AR$10,1),0)</f>
        <v>0</v>
      </c>
      <c r="AS177" s="1">
        <f>IFERROR(Założenia!$M$35/SUM(OBt.w2)*OBt.w2*IF(Założenia!$M$38="tak",'zakładka techniczna'!AS$10,1),0)</f>
        <v>0</v>
      </c>
      <c r="AT177" s="1">
        <f>IFERROR(Założenia!$M$35/SUM(OBt.w2)*OBt.w2*IF(Założenia!$M$38="tak",'zakładka techniczna'!AT$10,1),0)</f>
        <v>0</v>
      </c>
      <c r="AU177" s="1">
        <f>IFERROR(Założenia!$M$35/SUM(OBt.w2)*OBt.w2*IF(Założenia!$M$38="tak",'zakładka techniczna'!AU$10,1),0)</f>
        <v>0</v>
      </c>
      <c r="AV177" s="1">
        <f>IFERROR(Założenia!$M$35/SUM(OBt.w2)*OBt.w2*IF(Założenia!$M$38="tak",'zakładka techniczna'!AV$10,1),0)</f>
        <v>0</v>
      </c>
      <c r="AW177" s="1">
        <f>IFERROR(Założenia!$M$35/SUM(OBt.w2)*OBt.w2*IF(Założenia!$M$38="tak",'zakładka techniczna'!AW$10,1),0)</f>
        <v>0</v>
      </c>
      <c r="AX177" s="1">
        <f>IFERROR(Założenia!$M$35/SUM(OBt.w2)*OBt.w2*IF(Założenia!$M$38="tak",'zakładka techniczna'!AX$10,1),0)</f>
        <v>0</v>
      </c>
      <c r="AY177" s="1">
        <f>IFERROR(Założenia!$M$35/SUM(OBt.w2)*OBt.w2*IF(Założenia!$M$38="tak",'zakładka techniczna'!AY$10,1),0)</f>
        <v>0</v>
      </c>
      <c r="AZ177" s="1">
        <f>IFERROR(Założenia!$M$35/SUM(OBt.w2)*OBt.w2*IF(Założenia!$M$38="tak",'zakładka techniczna'!AZ$10,1),0)</f>
        <v>0</v>
      </c>
      <c r="BA177" s="1">
        <f>IFERROR(Założenia!$M$35/SUM(OBt.w2)*OBt.w2*IF(Założenia!$M$38="tak",'zakładka techniczna'!BA$10,1),0)</f>
        <v>0</v>
      </c>
    </row>
    <row r="178" spans="1:54" ht="15.75" customHeight="1" x14ac:dyDescent="0.35">
      <c r="B178" s="5"/>
      <c r="C178" s="5" t="s">
        <v>66</v>
      </c>
      <c r="D178" s="5"/>
      <c r="E178" s="5"/>
      <c r="F178" s="5"/>
      <c r="G178" s="5"/>
      <c r="H178" s="5"/>
      <c r="I178" s="5"/>
      <c r="J178" s="5"/>
      <c r="K178" s="5"/>
      <c r="N178" s="1">
        <f>SUM(Q178:BA178)</f>
        <v>0</v>
      </c>
      <c r="Q178" s="1">
        <f>IFERROR(Założenia!$M$36/SUM(OPt.w2,OBt.w2)*(OPt.w2+OBt.w2)*IF(Założenia!$M$38="tak",'zakładka techniczna'!Q$10,1),0)</f>
        <v>0</v>
      </c>
      <c r="R178" s="1">
        <f>IFERROR(Założenia!$M$36/SUM(OPt.w2,OBt.w2)*(OPt.w2+OBt.w2)*IF(Założenia!$M$38="tak",'zakładka techniczna'!R$10,1),0)</f>
        <v>0</v>
      </c>
      <c r="S178" s="1">
        <f>IFERROR(Założenia!$M$36/SUM(OPt.w2,OBt.w2)*(OPt.w2+OBt.w2)*IF(Założenia!$M$38="tak",'zakładka techniczna'!S$10,1),0)</f>
        <v>0</v>
      </c>
      <c r="T178" s="1">
        <f>IFERROR(Założenia!$M$36/SUM(OPt.w2,OBt.w2)*(OPt.w2+OBt.w2)*IF(Założenia!$M$38="tak",'zakładka techniczna'!T$10,1),0)</f>
        <v>0</v>
      </c>
      <c r="U178" s="1">
        <f>IFERROR(Założenia!$M$36/SUM(OPt.w2,OBt.w2)*(OPt.w2+OBt.w2)*IF(Założenia!$M$38="tak",'zakładka techniczna'!U$10,1),0)</f>
        <v>0</v>
      </c>
      <c r="V178" s="1">
        <f>IFERROR(Założenia!$M$36/SUM(OPt.w2,OBt.w2)*(OPt.w2+OBt.w2)*IF(Założenia!$M$38="tak",'zakładka techniczna'!V$10,1),0)</f>
        <v>0</v>
      </c>
      <c r="W178" s="1">
        <f>IFERROR(Założenia!$M$36/SUM(OPt.w2,OBt.w2)*(OPt.w2+OBt.w2)*IF(Założenia!$M$38="tak",'zakładka techniczna'!W$10,1),0)</f>
        <v>0</v>
      </c>
      <c r="X178" s="1">
        <f>IFERROR(Założenia!$M$36/SUM(OPt.w2,OBt.w2)*(OPt.w2+OBt.w2)*IF(Założenia!$M$38="tak",'zakładka techniczna'!X$10,1),0)</f>
        <v>0</v>
      </c>
      <c r="Y178" s="1">
        <f>IFERROR(Założenia!$M$36/SUM(OPt.w2,OBt.w2)*(OPt.w2+OBt.w2)*IF(Założenia!$M$38="tak",'zakładka techniczna'!Y$10,1),0)</f>
        <v>0</v>
      </c>
      <c r="Z178" s="1">
        <f>IFERROR(Założenia!$M$36/SUM(OPt.w2,OBt.w2)*(OPt.w2+OBt.w2)*IF(Założenia!$M$38="tak",'zakładka techniczna'!Z$10,1),0)</f>
        <v>0</v>
      </c>
      <c r="AA178" s="1">
        <f>IFERROR(Założenia!$M$36/SUM(OPt.w2,OBt.w2)*(OPt.w2+OBt.w2)*IF(Założenia!$M$38="tak",'zakładka techniczna'!AA$10,1),0)</f>
        <v>0</v>
      </c>
      <c r="AB178" s="1">
        <f>IFERROR(Założenia!$M$36/SUM(OPt.w2,OBt.w2)*(OPt.w2+OBt.w2)*IF(Założenia!$M$38="tak",'zakładka techniczna'!AB$10,1),0)</f>
        <v>0</v>
      </c>
      <c r="AC178" s="1">
        <f>IFERROR(Założenia!$M$36/SUM(OPt.w2,OBt.w2)*(OPt.w2+OBt.w2)*IF(Założenia!$M$38="tak",'zakładka techniczna'!AC$10,1),0)</f>
        <v>0</v>
      </c>
      <c r="AD178" s="1">
        <f>IFERROR(Założenia!$M$36/SUM(OPt.w2,OBt.w2)*(OPt.w2+OBt.w2)*IF(Założenia!$M$38="tak",'zakładka techniczna'!AD$10,1),0)</f>
        <v>0</v>
      </c>
      <c r="AE178" s="1">
        <f>IFERROR(Założenia!$M$36/SUM(OPt.w2,OBt.w2)*(OPt.w2+OBt.w2)*IF(Założenia!$M$38="tak",'zakładka techniczna'!AE$10,1),0)</f>
        <v>0</v>
      </c>
      <c r="AF178" s="1">
        <f>IFERROR(Założenia!$M$36/SUM(OPt.w2,OBt.w2)*(OPt.w2+OBt.w2)*IF(Założenia!$M$38="tak",'zakładka techniczna'!AF$10,1),0)</f>
        <v>0</v>
      </c>
      <c r="AG178" s="1">
        <f>IFERROR(Założenia!$M$36/SUM(OPt.w2,OBt.w2)*(OPt.w2+OBt.w2)*IF(Założenia!$M$38="tak",'zakładka techniczna'!AG$10,1),0)</f>
        <v>0</v>
      </c>
      <c r="AH178" s="1">
        <f>IFERROR(Założenia!$M$36/SUM(OPt.w2,OBt.w2)*(OPt.w2+OBt.w2)*IF(Założenia!$M$38="tak",'zakładka techniczna'!AH$10,1),0)</f>
        <v>0</v>
      </c>
      <c r="AI178" s="1">
        <f>IFERROR(Założenia!$M$36/SUM(OPt.w2,OBt.w2)*(OPt.w2+OBt.w2)*IF(Założenia!$M$38="tak",'zakładka techniczna'!AI$10,1),0)</f>
        <v>0</v>
      </c>
      <c r="AJ178" s="1">
        <f>IFERROR(Założenia!$M$36/SUM(OPt.w2,OBt.w2)*(OPt.w2+OBt.w2)*IF(Założenia!$M$38="tak",'zakładka techniczna'!AJ$10,1),0)</f>
        <v>0</v>
      </c>
      <c r="AK178" s="1">
        <f>IFERROR(Założenia!$M$36/SUM(OPt.w2,OBt.w2)*(OPt.w2+OBt.w2)*IF(Założenia!$M$38="tak",'zakładka techniczna'!AK$10,1),0)</f>
        <v>0</v>
      </c>
      <c r="AL178" s="1">
        <f>IFERROR(Założenia!$M$36/SUM(OPt.w2,OBt.w2)*(OPt.w2+OBt.w2)*IF(Założenia!$M$38="tak",'zakładka techniczna'!AL$10,1),0)</f>
        <v>0</v>
      </c>
      <c r="AM178" s="1">
        <f>IFERROR(Założenia!$M$36/SUM(OPt.w2,OBt.w2)*(OPt.w2+OBt.w2)*IF(Założenia!$M$38="tak",'zakładka techniczna'!AM$10,1),0)</f>
        <v>0</v>
      </c>
      <c r="AN178" s="1">
        <f>IFERROR(Założenia!$M$36/SUM(OPt.w2,OBt.w2)*(OPt.w2+OBt.w2)*IF(Założenia!$M$38="tak",'zakładka techniczna'!AN$10,1),0)</f>
        <v>0</v>
      </c>
      <c r="AO178" s="1">
        <f>IFERROR(Założenia!$M$36/SUM(OPt.w2,OBt.w2)*(OPt.w2+OBt.w2)*IF(Założenia!$M$38="tak",'zakładka techniczna'!AO$10,1),0)</f>
        <v>0</v>
      </c>
      <c r="AP178" s="1">
        <f>IFERROR(Założenia!$M$36/SUM(OPt.w2,OBt.w2)*(OPt.w2+OBt.w2)*IF(Założenia!$M$38="tak",'zakładka techniczna'!AP$10,1),0)</f>
        <v>0</v>
      </c>
      <c r="AQ178" s="1">
        <f>IFERROR(Założenia!$M$36/SUM(OPt.w2,OBt.w2)*(OPt.w2+OBt.w2)*IF(Założenia!$M$38="tak",'zakładka techniczna'!AQ$10,1),0)</f>
        <v>0</v>
      </c>
      <c r="AR178" s="1">
        <f>IFERROR(Założenia!$M$36/SUM(OPt.w2,OBt.w2)*(OPt.w2+OBt.w2)*IF(Założenia!$M$38="tak",'zakładka techniczna'!AR$10,1),0)</f>
        <v>0</v>
      </c>
      <c r="AS178" s="1">
        <f>IFERROR(Założenia!$M$36/SUM(OPt.w2,OBt.w2)*(OPt.w2+OBt.w2)*IF(Założenia!$M$38="tak",'zakładka techniczna'!AS$10,1),0)</f>
        <v>0</v>
      </c>
      <c r="AT178" s="1">
        <f>IFERROR(Założenia!$M$36/SUM(OPt.w2,OBt.w2)*(OPt.w2+OBt.w2)*IF(Założenia!$M$38="tak",'zakładka techniczna'!AT$10,1),0)</f>
        <v>0</v>
      </c>
      <c r="AU178" s="1">
        <f>IFERROR(Założenia!$M$36/SUM(OPt.w2,OBt.w2)*(OPt.w2+OBt.w2)*IF(Założenia!$M$38="tak",'zakładka techniczna'!AU$10,1),0)</f>
        <v>0</v>
      </c>
      <c r="AV178" s="1">
        <f>IFERROR(Założenia!$M$36/SUM(OPt.w2,OBt.w2)*(OPt.w2+OBt.w2)*IF(Założenia!$M$38="tak",'zakładka techniczna'!AV$10,1),0)</f>
        <v>0</v>
      </c>
      <c r="AW178" s="1">
        <f>IFERROR(Założenia!$M$36/SUM(OPt.w2,OBt.w2)*(OPt.w2+OBt.w2)*IF(Założenia!$M$38="tak",'zakładka techniczna'!AW$10,1),0)</f>
        <v>0</v>
      </c>
      <c r="AX178" s="1">
        <f>IFERROR(Założenia!$M$36/SUM(OPt.w2,OBt.w2)*(OPt.w2+OBt.w2)*IF(Założenia!$M$38="tak",'zakładka techniczna'!AX$10,1),0)</f>
        <v>0</v>
      </c>
      <c r="AY178" s="1">
        <f>IFERROR(Założenia!$M$36/SUM(OPt.w2,OBt.w2)*(OPt.w2+OBt.w2)*IF(Założenia!$M$38="tak",'zakładka techniczna'!AY$10,1),0)</f>
        <v>0</v>
      </c>
      <c r="AZ178" s="1">
        <f>IFERROR(Założenia!$M$36/SUM(OPt.w2,OBt.w2)*(OPt.w2+OBt.w2)*IF(Założenia!$M$38="tak",'zakładka techniczna'!AZ$10,1),0)</f>
        <v>0</v>
      </c>
      <c r="BA178" s="1">
        <f>IFERROR(Założenia!$M$36/SUM(OPt.w2,OBt.w2)*(OPt.w2+OBt.w2)*IF(Założenia!$M$38="tak",'zakładka techniczna'!BA$10,1),0)</f>
        <v>0</v>
      </c>
    </row>
    <row r="179" spans="1:54" ht="15.75" customHeight="1" x14ac:dyDescent="0.35">
      <c r="B179" s="5"/>
      <c r="C179" s="5"/>
      <c r="D179" s="5"/>
      <c r="E179" s="5"/>
      <c r="F179" s="5"/>
      <c r="G179" s="5"/>
      <c r="H179" s="5"/>
      <c r="I179" s="5"/>
      <c r="J179" s="5"/>
      <c r="K179" s="5"/>
    </row>
    <row r="180" spans="1:54" ht="15.75" customHeight="1" x14ac:dyDescent="0.35">
      <c r="B180" s="9" t="s">
        <v>29</v>
      </c>
      <c r="C180" s="9"/>
      <c r="D180" s="9"/>
      <c r="E180" s="9"/>
      <c r="F180" s="9"/>
      <c r="G180" s="9"/>
      <c r="H180" s="9"/>
      <c r="I180" s="9"/>
      <c r="J180" s="9"/>
      <c r="K180" s="9"/>
      <c r="L180" s="8"/>
      <c r="M180" s="8"/>
      <c r="N180" s="10">
        <f>SUM(Q180:BA180)</f>
        <v>0</v>
      </c>
      <c r="O180" s="8"/>
      <c r="P180" s="8"/>
      <c r="Q180" s="10">
        <f t="shared" ref="Q180:BA180" si="111">SUM(Q181:Q183)</f>
        <v>0</v>
      </c>
      <c r="R180" s="10">
        <f t="shared" si="111"/>
        <v>0</v>
      </c>
      <c r="S180" s="10">
        <f t="shared" si="111"/>
        <v>0</v>
      </c>
      <c r="T180" s="10">
        <f t="shared" si="111"/>
        <v>0</v>
      </c>
      <c r="U180" s="10">
        <f t="shared" si="111"/>
        <v>0</v>
      </c>
      <c r="V180" s="10">
        <f t="shared" si="111"/>
        <v>0</v>
      </c>
      <c r="W180" s="10">
        <f t="shared" si="111"/>
        <v>0</v>
      </c>
      <c r="X180" s="10">
        <f t="shared" si="111"/>
        <v>0</v>
      </c>
      <c r="Y180" s="10">
        <f t="shared" si="111"/>
        <v>0</v>
      </c>
      <c r="Z180" s="10">
        <f t="shared" si="111"/>
        <v>0</v>
      </c>
      <c r="AA180" s="10">
        <f t="shared" si="111"/>
        <v>0</v>
      </c>
      <c r="AB180" s="10">
        <f t="shared" si="111"/>
        <v>0</v>
      </c>
      <c r="AC180" s="10">
        <f t="shared" si="111"/>
        <v>0</v>
      </c>
      <c r="AD180" s="10">
        <f t="shared" si="111"/>
        <v>0</v>
      </c>
      <c r="AE180" s="10">
        <f t="shared" si="111"/>
        <v>0</v>
      </c>
      <c r="AF180" s="10">
        <f t="shared" si="111"/>
        <v>0</v>
      </c>
      <c r="AG180" s="10">
        <f t="shared" si="111"/>
        <v>0</v>
      </c>
      <c r="AH180" s="10">
        <f t="shared" si="111"/>
        <v>0</v>
      </c>
      <c r="AI180" s="10">
        <f t="shared" si="111"/>
        <v>0</v>
      </c>
      <c r="AJ180" s="10">
        <f t="shared" si="111"/>
        <v>0</v>
      </c>
      <c r="AK180" s="10">
        <f t="shared" si="111"/>
        <v>0</v>
      </c>
      <c r="AL180" s="10">
        <f t="shared" si="111"/>
        <v>0</v>
      </c>
      <c r="AM180" s="10">
        <f t="shared" si="111"/>
        <v>0</v>
      </c>
      <c r="AN180" s="10">
        <f t="shared" si="111"/>
        <v>0</v>
      </c>
      <c r="AO180" s="10">
        <f t="shared" si="111"/>
        <v>0</v>
      </c>
      <c r="AP180" s="10">
        <f t="shared" si="111"/>
        <v>0</v>
      </c>
      <c r="AQ180" s="10">
        <f t="shared" si="111"/>
        <v>0</v>
      </c>
      <c r="AR180" s="10">
        <f t="shared" si="111"/>
        <v>0</v>
      </c>
      <c r="AS180" s="10">
        <f t="shared" si="111"/>
        <v>0</v>
      </c>
      <c r="AT180" s="10">
        <f t="shared" si="111"/>
        <v>0</v>
      </c>
      <c r="AU180" s="10">
        <f t="shared" si="111"/>
        <v>0</v>
      </c>
      <c r="AV180" s="10">
        <f t="shared" si="111"/>
        <v>0</v>
      </c>
      <c r="AW180" s="10">
        <f t="shared" si="111"/>
        <v>0</v>
      </c>
      <c r="AX180" s="10">
        <f t="shared" si="111"/>
        <v>0</v>
      </c>
      <c r="AY180" s="10">
        <f t="shared" si="111"/>
        <v>0</v>
      </c>
      <c r="AZ180" s="10">
        <f t="shared" si="111"/>
        <v>0</v>
      </c>
      <c r="BA180" s="10">
        <f t="shared" si="111"/>
        <v>0</v>
      </c>
    </row>
    <row r="181" spans="1:54" ht="15.75" customHeight="1" x14ac:dyDescent="0.35">
      <c r="B181" s="5"/>
      <c r="C181" s="5" t="s">
        <v>104</v>
      </c>
      <c r="D181" s="5"/>
      <c r="E181" s="5"/>
      <c r="F181" s="5"/>
      <c r="G181" s="5"/>
      <c r="H181" s="5"/>
      <c r="I181" s="5"/>
      <c r="J181" s="5"/>
      <c r="K181" s="5"/>
      <c r="N181" s="1">
        <f>SUM(Q181:BA181)</f>
        <v>0</v>
      </c>
      <c r="Q181" s="1">
        <f>MIN(Q175,SUM($Q$175:$BA$175)*'zakładka techniczna'!$N$18-SUM($P$181:P181))</f>
        <v>0</v>
      </c>
      <c r="R181" s="1">
        <f>MIN(R175,SUM($Q$175:$BA$175)*'zakładka techniczna'!$N$18-SUM($Q$181:Q181))</f>
        <v>0</v>
      </c>
      <c r="S181" s="1">
        <f>MIN(S175,SUM($Q$175:$BA$175)*'zakładka techniczna'!$N$18-SUM($Q$181:R181))</f>
        <v>0</v>
      </c>
      <c r="T181" s="1">
        <f>MIN(T175,SUM($Q$175:$BA$175)*'zakładka techniczna'!$N$18-SUM($Q$181:S181))</f>
        <v>0</v>
      </c>
      <c r="U181" s="1">
        <f>MIN(U175,SUM($Q$175:$BA$175)*'zakładka techniczna'!$N$18-SUM($Q$181:T181))</f>
        <v>0</v>
      </c>
      <c r="V181" s="1">
        <f>MIN(V175,SUM($Q$175:$BA$175)*'zakładka techniczna'!$N$18-SUM($Q$181:U181))</f>
        <v>0</v>
      </c>
      <c r="W181" s="1">
        <f>MIN(W175,SUM($Q$175:$BA$175)*'zakładka techniczna'!$N$18-SUM($Q$181:V181))</f>
        <v>0</v>
      </c>
      <c r="X181" s="1">
        <f>MIN(X175,SUM($Q$175:$BA$175)*'zakładka techniczna'!$N$18-SUM($Q$181:W181))</f>
        <v>0</v>
      </c>
      <c r="Y181" s="1">
        <f>MIN(Y175,SUM($Q$175:$BA$175)*'zakładka techniczna'!$N$18-SUM($Q$181:X181))</f>
        <v>0</v>
      </c>
      <c r="Z181" s="1">
        <f>MIN(Z175,SUM($Q$175:$BA$175)*'zakładka techniczna'!$N$18-SUM($Q$181:Y181))</f>
        <v>0</v>
      </c>
      <c r="AA181" s="1">
        <f>MIN(AA175,SUM($Q$175:$BA$175)*'zakładka techniczna'!$N$18-SUM($Q$181:Z181))</f>
        <v>0</v>
      </c>
      <c r="AB181" s="1">
        <f>MIN(AB175,SUM($Q$175:$BA$175)*'zakładka techniczna'!$N$18-SUM($Q$181:AA181))</f>
        <v>0</v>
      </c>
      <c r="AC181" s="1">
        <f>MIN(AC175,SUM($Q$175:$BA$175)*'zakładka techniczna'!$N$18-SUM($Q$181:AB181))</f>
        <v>0</v>
      </c>
      <c r="AD181" s="1">
        <f>MIN(AD175,SUM($Q$175:$BA$175)*'zakładka techniczna'!$N$18-SUM($Q$181:AC181))</f>
        <v>0</v>
      </c>
      <c r="AE181" s="1">
        <f>MIN(AE175,SUM($Q$175:$BA$175)*'zakładka techniczna'!$N$18-SUM($Q$181:AD181))</f>
        <v>0</v>
      </c>
      <c r="AF181" s="1">
        <f>MIN(AF175,SUM($Q$175:$BA$175)*'zakładka techniczna'!$N$18-SUM($Q$181:AE181))</f>
        <v>0</v>
      </c>
      <c r="AG181" s="1">
        <f>MIN(AG175,SUM($Q$175:$BA$175)*'zakładka techniczna'!$N$18-SUM($Q$181:AF181))</f>
        <v>0</v>
      </c>
      <c r="AH181" s="1">
        <f>MIN(AH175,SUM($Q$175:$BA$175)*'zakładka techniczna'!$N$18-SUM($Q$181:AG181))</f>
        <v>0</v>
      </c>
      <c r="AI181" s="1">
        <f>MIN(AI175,SUM($Q$175:$BA$175)*'zakładka techniczna'!$N$18-SUM($Q$181:AH181))</f>
        <v>0</v>
      </c>
      <c r="AJ181" s="1">
        <f>MIN(AJ175,SUM($Q$175:$BA$175)*'zakładka techniczna'!$N$18-SUM($Q$181:AI181))</f>
        <v>0</v>
      </c>
      <c r="AK181" s="1">
        <f>MIN(AK175,SUM($Q$175:$BA$175)*'zakładka techniczna'!$N$18-SUM($Q$181:AJ181))</f>
        <v>0</v>
      </c>
      <c r="AL181" s="1">
        <f>MIN(AL175,SUM($Q$175:$BA$175)*'zakładka techniczna'!$N$18-SUM($Q$181:AK181))</f>
        <v>0</v>
      </c>
      <c r="AM181" s="1">
        <f>MIN(AM175,SUM($Q$175:$BA$175)*'zakładka techniczna'!$N$18-SUM($Q$181:AL181))</f>
        <v>0</v>
      </c>
      <c r="AN181" s="1">
        <f>MIN(AN175,SUM($Q$175:$BA$175)*'zakładka techniczna'!$N$18-SUM($Q$181:AM181))</f>
        <v>0</v>
      </c>
      <c r="AO181" s="1">
        <f>MIN(AO175,SUM($Q$175:$BA$175)*'zakładka techniczna'!$N$18-SUM($Q$181:AN181))</f>
        <v>0</v>
      </c>
      <c r="AP181" s="1">
        <f>MIN(AP175,SUM($Q$175:$BA$175)*'zakładka techniczna'!$N$18-SUM($Q$181:AO181))</f>
        <v>0</v>
      </c>
      <c r="AQ181" s="1">
        <f>MIN(AQ175,SUM($Q$175:$BA$175)*'zakładka techniczna'!$N$18-SUM($Q$181:AP181))</f>
        <v>0</v>
      </c>
      <c r="AR181" s="1">
        <f>MIN(AR175,SUM($Q$175:$BA$175)*'zakładka techniczna'!$N$18-SUM($Q$181:AQ181))</f>
        <v>0</v>
      </c>
      <c r="AS181" s="1">
        <f>MIN(AS175,SUM($Q$175:$BA$175)*'zakładka techniczna'!$N$18-SUM($Q$181:AR181))</f>
        <v>0</v>
      </c>
      <c r="AT181" s="1">
        <f>MIN(AT175,SUM($Q$175:$BA$175)*'zakładka techniczna'!$N$18-SUM($Q$181:AS181))</f>
        <v>0</v>
      </c>
      <c r="AU181" s="1">
        <f>MIN(AU175,SUM($Q$175:$BA$175)*'zakładka techniczna'!$N$18-SUM($Q$181:AT181))</f>
        <v>0</v>
      </c>
      <c r="AV181" s="1">
        <f>MIN(AV175,SUM($Q$175:$BA$175)*'zakładka techniczna'!$N$18-SUM($Q$181:AU181))</f>
        <v>0</v>
      </c>
      <c r="AW181" s="1">
        <f>MIN(AW175,SUM($Q$175:$BA$175)*'zakładka techniczna'!$N$18-SUM($Q$181:AV181))</f>
        <v>0</v>
      </c>
      <c r="AX181" s="1">
        <f>MIN(AX175,SUM($Q$175:$BA$175)*'zakładka techniczna'!$N$18-SUM($Q$181:AW181))</f>
        <v>0</v>
      </c>
      <c r="AY181" s="1">
        <f>MIN(AY175,SUM($Q$175:$BA$175)*'zakładka techniczna'!$N$18-SUM($Q$181:AX181))</f>
        <v>0</v>
      </c>
      <c r="AZ181" s="1">
        <f>MIN(AZ175,SUM($Q$175:$BA$175)*'zakładka techniczna'!$N$18-SUM($Q$181:AY181))</f>
        <v>0</v>
      </c>
      <c r="BA181" s="1">
        <f>MIN(BA175,SUM($Q$175:$BA$175)*'zakładka techniczna'!$N$18-SUM($Q$181:AZ181))</f>
        <v>0</v>
      </c>
    </row>
    <row r="182" spans="1:54" ht="15.75" customHeight="1" x14ac:dyDescent="0.35">
      <c r="B182" s="5"/>
      <c r="C182" s="5" t="s">
        <v>117</v>
      </c>
      <c r="D182" s="5"/>
      <c r="E182" s="5"/>
      <c r="F182" s="5"/>
      <c r="G182" s="5"/>
      <c r="H182" s="5"/>
      <c r="I182" s="5"/>
      <c r="J182" s="5"/>
      <c r="K182" s="5"/>
      <c r="N182" s="1">
        <f>SUM(Q182:BA182)</f>
        <v>0</v>
      </c>
      <c r="Q182" s="1">
        <f>MIN(Q175-Q181,SUM($Q$175:$BA$175)*'zakładka techniczna'!$N$19-SUM($P$182:P182))</f>
        <v>0</v>
      </c>
      <c r="R182" s="1">
        <f>MIN(R175-R181,SUM($Q$175:$BA$175)*'zakładka techniczna'!$N$19-SUM($P$182:Q182))</f>
        <v>0</v>
      </c>
      <c r="S182" s="1">
        <f>MIN(S175-S181,SUM($Q$175:$BA$175)*'zakładka techniczna'!$N$19-SUM($P$182:R182))</f>
        <v>0</v>
      </c>
      <c r="T182" s="1">
        <f>MIN(T175-T181,SUM($Q$175:$BA$175)*'zakładka techniczna'!$N$19-SUM($P$182:S182))</f>
        <v>0</v>
      </c>
      <c r="U182" s="1">
        <f>MIN(U175-U181,SUM($Q$175:$BA$175)*'zakładka techniczna'!$N$19-SUM($P$182:T182))</f>
        <v>0</v>
      </c>
      <c r="V182" s="1">
        <f>MIN(V175-V181,SUM($Q$175:$BA$175)*'zakładka techniczna'!$N$19-SUM($P$182:U182))</f>
        <v>0</v>
      </c>
      <c r="W182" s="1">
        <f>MIN(W175-W181,SUM($Q$175:$BA$175)*'zakładka techniczna'!$N$19-SUM($P$182:V182))</f>
        <v>0</v>
      </c>
      <c r="X182" s="1">
        <f>MIN(X175-X181,SUM($Q$175:$BA$175)*'zakładka techniczna'!$N$19-SUM($P$182:W182))</f>
        <v>0</v>
      </c>
      <c r="Y182" s="1">
        <f>MIN(Y175-Y181,SUM($Q$175:$BA$175)*'zakładka techniczna'!$N$19-SUM($P$182:X182))</f>
        <v>0</v>
      </c>
      <c r="Z182" s="1">
        <f>MIN(Z175-Z181,SUM($Q$175:$BA$175)*'zakładka techniczna'!$N$19-SUM($P$182:Y182))</f>
        <v>0</v>
      </c>
      <c r="AA182" s="1">
        <f>MIN(AA175-AA181,SUM($Q$175:$BA$175)*'zakładka techniczna'!$N$19-SUM($P$182:Z182))</f>
        <v>0</v>
      </c>
      <c r="AB182" s="1">
        <f>MIN(AB175-AB181,SUM($Q$175:$BA$175)*'zakładka techniczna'!$N$19-SUM($P$182:AA182))</f>
        <v>0</v>
      </c>
      <c r="AC182" s="1">
        <f>MIN(AC175-AC181,SUM($Q$175:$BA$175)*'zakładka techniczna'!$N$19-SUM($P$182:AB182))</f>
        <v>0</v>
      </c>
      <c r="AD182" s="1">
        <f>MIN(AD175-AD181,SUM($Q$175:$BA$175)*'zakładka techniczna'!$N$19-SUM($P$182:AC182))</f>
        <v>0</v>
      </c>
      <c r="AE182" s="1">
        <f>MIN(AE175-AE181,SUM($Q$175:$BA$175)*'zakładka techniczna'!$N$19-SUM($P$182:AD182))</f>
        <v>0</v>
      </c>
      <c r="AF182" s="1">
        <f>MIN(AF175-AF181,SUM($Q$175:$BA$175)*'zakładka techniczna'!$N$19-SUM($P$182:AE182))</f>
        <v>0</v>
      </c>
      <c r="AG182" s="1">
        <f>MIN(AG175-AG181,SUM($Q$175:$BA$175)*'zakładka techniczna'!$N$19-SUM($P$182:AF182))</f>
        <v>0</v>
      </c>
      <c r="AH182" s="1">
        <f>MIN(AH175-AH181,SUM($Q$175:$BA$175)*'zakładka techniczna'!$N$19-SUM($P$182:AG182))</f>
        <v>0</v>
      </c>
      <c r="AI182" s="1">
        <f>MIN(AI175-AI181,SUM($Q$175:$BA$175)*'zakładka techniczna'!$N$19-SUM($P$182:AH182))</f>
        <v>0</v>
      </c>
      <c r="AJ182" s="1">
        <f>MIN(AJ175-AJ181,SUM($Q$175:$BA$175)*'zakładka techniczna'!$N$19-SUM($P$182:AI182))</f>
        <v>0</v>
      </c>
      <c r="AK182" s="1">
        <f>MIN(AK175-AK181,SUM($Q$175:$BA$175)*'zakładka techniczna'!$N$19-SUM($P$182:AJ182))</f>
        <v>0</v>
      </c>
      <c r="AL182" s="1">
        <f>MIN(AL175-AL181,SUM($Q$175:$BA$175)*'zakładka techniczna'!$N$19-SUM($P$182:AK182))</f>
        <v>0</v>
      </c>
      <c r="AM182" s="1">
        <f>MIN(AM175-AM181,SUM($Q$175:$BA$175)*'zakładka techniczna'!$N$19-SUM($P$182:AL182))</f>
        <v>0</v>
      </c>
      <c r="AN182" s="1">
        <f>MIN(AN175-AN181,SUM($Q$175:$BA$175)*'zakładka techniczna'!$N$19-SUM($P$182:AM182))</f>
        <v>0</v>
      </c>
      <c r="AO182" s="1">
        <f>MIN(AO175-AO181,SUM($Q$175:$BA$175)*'zakładka techniczna'!$N$19-SUM($P$182:AN182))</f>
        <v>0</v>
      </c>
      <c r="AP182" s="1">
        <f>MIN(AP175-AP181,SUM($Q$175:$BA$175)*'zakładka techniczna'!$N$19-SUM($P$182:AO182))</f>
        <v>0</v>
      </c>
      <c r="AQ182" s="1">
        <f>MIN(AQ175-AQ181,SUM($Q$175:$BA$175)*'zakładka techniczna'!$N$19-SUM($P$182:AP182))</f>
        <v>0</v>
      </c>
      <c r="AR182" s="1">
        <f>MIN(AR175-AR181,SUM($Q$175:$BA$175)*'zakładka techniczna'!$N$19-SUM($P$182:AQ182))</f>
        <v>0</v>
      </c>
      <c r="AS182" s="1">
        <f>MIN(AS175-AS181,SUM($Q$175:$BA$175)*'zakładka techniczna'!$N$19-SUM($P$182:AR182))</f>
        <v>0</v>
      </c>
      <c r="AT182" s="1">
        <f>MIN(AT175-AT181,SUM($Q$175:$BA$175)*'zakładka techniczna'!$N$19-SUM($P$182:AS182))</f>
        <v>0</v>
      </c>
      <c r="AU182" s="1">
        <f>MIN(AU175-AU181,SUM($Q$175:$BA$175)*'zakładka techniczna'!$N$19-SUM($P$182:AT182))</f>
        <v>0</v>
      </c>
      <c r="AV182" s="1">
        <f>MIN(AV175-AV181,SUM($Q$175:$BA$175)*'zakładka techniczna'!$N$19-SUM($P$182:AU182))</f>
        <v>0</v>
      </c>
      <c r="AW182" s="1">
        <f>MIN(AW175-AW181,SUM($Q$175:$BA$175)*'zakładka techniczna'!$N$19-SUM($P$182:AV182))</f>
        <v>0</v>
      </c>
      <c r="AX182" s="1">
        <f>MIN(AX175-AX181,SUM($Q$175:$BA$175)*'zakładka techniczna'!$N$19-SUM($P$182:AW182))</f>
        <v>0</v>
      </c>
      <c r="AY182" s="1">
        <f>MIN(AY175-AY181,SUM($Q$175:$BA$175)*'zakładka techniczna'!$N$19-SUM($P$182:AX182))</f>
        <v>0</v>
      </c>
      <c r="AZ182" s="1">
        <f>MIN(AZ175-AZ181,SUM($Q$175:$BA$175)*'zakładka techniczna'!$N$19-SUM($P$182:AY182))</f>
        <v>0</v>
      </c>
      <c r="BA182" s="1">
        <f>MIN(BA175-BA181,SUM($Q$175:$BA$175)*'zakładka techniczna'!$N$19-SUM($P$182:AZ182))</f>
        <v>0</v>
      </c>
    </row>
    <row r="183" spans="1:54" ht="15.75" customHeight="1" x14ac:dyDescent="0.35">
      <c r="B183" s="5"/>
      <c r="C183" s="5" t="s">
        <v>118</v>
      </c>
      <c r="D183" s="5"/>
      <c r="E183" s="5"/>
      <c r="F183" s="5"/>
      <c r="G183" s="5"/>
      <c r="H183" s="5"/>
      <c r="I183" s="5"/>
      <c r="J183" s="5"/>
      <c r="K183" s="5"/>
      <c r="M183" s="19"/>
      <c r="N183" s="1">
        <f>SUM(Q183:BA183)</f>
        <v>0</v>
      </c>
      <c r="Q183" s="1">
        <f>MIN(Q175-Q181-Q182,SUM($Q$175:$BA$175)*'zakładka techniczna'!$N$20-SUM($P$183:P183))</f>
        <v>0</v>
      </c>
      <c r="R183" s="1">
        <f>MIN(R175-R181-R182,SUM($Q$175:$BA$175)*'zakładka techniczna'!$N$20-SUM($P$183:Q183))</f>
        <v>0</v>
      </c>
      <c r="S183" s="1">
        <f>MIN(S175-S181-S182,SUM($Q$175:$BA$175)*'zakładka techniczna'!$N$20-SUM($P$183:R183))</f>
        <v>0</v>
      </c>
      <c r="T183" s="1">
        <f>MIN(T175-T181-T182,SUM($Q$175:$BA$175)*'zakładka techniczna'!$N$20-SUM($P$183:S183))</f>
        <v>0</v>
      </c>
      <c r="U183" s="1">
        <f>MIN(U175-U181-U182,SUM($Q$175:$BA$175)*'zakładka techniczna'!$N$20-SUM($P$183:T183))</f>
        <v>0</v>
      </c>
      <c r="V183" s="1">
        <f>MIN(V175-V181-V182,SUM($Q$175:$BA$175)*'zakładka techniczna'!$N$20-SUM($P$183:U183))</f>
        <v>0</v>
      </c>
      <c r="W183" s="1">
        <f>MIN(W175-W181-W182,SUM($Q$175:$BA$175)*'zakładka techniczna'!$N$20-SUM($P$183:V183))</f>
        <v>0</v>
      </c>
      <c r="X183" s="1">
        <f>MIN(X175-X181-X182,SUM($Q$175:$BA$175)*'zakładka techniczna'!$N$20-SUM($P$183:W183))</f>
        <v>0</v>
      </c>
      <c r="Y183" s="1">
        <f>MIN(Y175-Y181-Y182,SUM($Q$175:$BA$175)*'zakładka techniczna'!$N$20-SUM($P$183:X183))</f>
        <v>0</v>
      </c>
      <c r="Z183" s="1">
        <f>MIN(Z175-Z181-Z182,SUM($Q$175:$BA$175)*'zakładka techniczna'!$N$20-SUM($P$183:Y183))</f>
        <v>0</v>
      </c>
      <c r="AA183" s="1">
        <f>MIN(AA175-AA181-AA182,SUM($Q$175:$BA$175)*'zakładka techniczna'!$N$20-SUM($P$183:Z183))</f>
        <v>0</v>
      </c>
      <c r="AB183" s="1">
        <f>MIN(AB175-AB181-AB182,SUM($Q$175:$BA$175)*'zakładka techniczna'!$N$20-SUM($P$183:AA183))</f>
        <v>0</v>
      </c>
      <c r="AC183" s="1">
        <f>MIN(AC175-AC181-AC182,SUM($Q$175:$BA$175)*'zakładka techniczna'!$N$20-SUM($P$183:AB183))</f>
        <v>0</v>
      </c>
      <c r="AD183" s="1">
        <f>MIN(AD175-AD181-AD182,SUM($Q$175:$BA$175)*'zakładka techniczna'!$N$20-SUM($P$183:AC183))</f>
        <v>0</v>
      </c>
      <c r="AE183" s="1">
        <f>MIN(AE175-AE181-AE182,SUM($Q$175:$BA$175)*'zakładka techniczna'!$N$20-SUM($P$183:AD183))</f>
        <v>0</v>
      </c>
      <c r="AF183" s="1">
        <f>MIN(AF175-AF181-AF182,SUM($Q$175:$BA$175)*'zakładka techniczna'!$N$20-SUM($P$183:AE183))</f>
        <v>0</v>
      </c>
      <c r="AG183" s="1">
        <f>MIN(AG175-AG181-AG182,SUM($Q$175:$BA$175)*'zakładka techniczna'!$N$20-SUM($P$183:AF183))</f>
        <v>0</v>
      </c>
      <c r="AH183" s="1">
        <f>MIN(AH175-AH181-AH182,SUM($Q$175:$BA$175)*'zakładka techniczna'!$N$20-SUM($P$183:AG183))</f>
        <v>0</v>
      </c>
      <c r="AI183" s="1">
        <f>MIN(AI175-AI181-AI182,SUM($Q$175:$BA$175)*'zakładka techniczna'!$N$20-SUM($P$183:AH183))</f>
        <v>0</v>
      </c>
      <c r="AJ183" s="1">
        <f>MIN(AJ175-AJ181-AJ182,SUM($Q$175:$BA$175)*'zakładka techniczna'!$N$20-SUM($P$183:AI183))</f>
        <v>0</v>
      </c>
      <c r="AK183" s="1">
        <f>MIN(AK175-AK181-AK182,SUM($Q$175:$BA$175)*'zakładka techniczna'!$N$20-SUM($P$183:AJ183))</f>
        <v>0</v>
      </c>
      <c r="AL183" s="1">
        <f>MIN(AL175-AL181-AL182,SUM($Q$175:$BA$175)*'zakładka techniczna'!$N$20-SUM($P$183:AK183))</f>
        <v>0</v>
      </c>
      <c r="AM183" s="1">
        <f>MIN(AM175-AM181-AM182,SUM($Q$175:$BA$175)*'zakładka techniczna'!$N$20-SUM($P$183:AL183))</f>
        <v>0</v>
      </c>
      <c r="AN183" s="1">
        <f>MIN(AN175-AN181-AN182,SUM($Q$175:$BA$175)*'zakładka techniczna'!$N$20-SUM($P$183:AM183))</f>
        <v>0</v>
      </c>
      <c r="AO183" s="1">
        <f>MIN(AO175-AO181-AO182,SUM($Q$175:$BA$175)*'zakładka techniczna'!$N$20-SUM($P$183:AN183))</f>
        <v>0</v>
      </c>
      <c r="AP183" s="1">
        <f>MIN(AP175-AP181-AP182,SUM($Q$175:$BA$175)*'zakładka techniczna'!$N$20-SUM($P$183:AO183))</f>
        <v>0</v>
      </c>
      <c r="AQ183" s="1">
        <f>MIN(AQ175-AQ181-AQ182,SUM($Q$175:$BA$175)*'zakładka techniczna'!$N$20-SUM($P$183:AP183))</f>
        <v>0</v>
      </c>
      <c r="AR183" s="1">
        <f>MIN(AR175-AR181-AR182,SUM($Q$175:$BA$175)*'zakładka techniczna'!$N$20-SUM($P$183:AQ183))</f>
        <v>0</v>
      </c>
      <c r="AS183" s="1">
        <f>MIN(AS175-AS181-AS182,SUM($Q$175:$BA$175)*'zakładka techniczna'!$N$20-SUM($P$183:AR183))</f>
        <v>0</v>
      </c>
      <c r="AT183" s="1">
        <f>MIN(AT175-AT181-AT182,SUM($Q$175:$BA$175)*'zakładka techniczna'!$N$20-SUM($P$183:AS183))</f>
        <v>0</v>
      </c>
      <c r="AU183" s="1">
        <f>MIN(AU175-AU181-AU182,SUM($Q$175:$BA$175)*'zakładka techniczna'!$N$20-SUM($P$183:AT183))</f>
        <v>0</v>
      </c>
      <c r="AV183" s="1">
        <f>MIN(AV175-AV181-AV182,SUM($Q$175:$BA$175)*'zakładka techniczna'!$N$20-SUM($P$183:AU183))</f>
        <v>0</v>
      </c>
      <c r="AW183" s="1">
        <f>MIN(AW175-AW181-AW182,SUM($Q$175:$BA$175)*'zakładka techniczna'!$N$20-SUM($P$183:AV183))</f>
        <v>0</v>
      </c>
      <c r="AX183" s="1">
        <f>MIN(AX175-AX181-AX182,SUM($Q$175:$BA$175)*'zakładka techniczna'!$N$20-SUM($P$183:AW183))</f>
        <v>0</v>
      </c>
      <c r="AY183" s="1">
        <f>MIN(AY175-AY181-AY182,SUM($Q$175:$BA$175)*'zakładka techniczna'!$N$20-SUM($P$183:AX183))</f>
        <v>0</v>
      </c>
      <c r="AZ183" s="1">
        <f>MIN(AZ175-AZ181-AZ182,SUM($Q$175:$BA$175)*'zakładka techniczna'!$N$20-SUM($P$183:AY183))</f>
        <v>0</v>
      </c>
      <c r="BA183" s="1">
        <f>MIN(BA175-BA181-BA182,SUM($Q$175:$BA$175)*'zakładka techniczna'!$N$20-SUM($P$183:AZ183))</f>
        <v>0</v>
      </c>
    </row>
    <row r="184" spans="1:54" ht="15.75" customHeight="1" x14ac:dyDescent="0.35">
      <c r="B184" s="5"/>
      <c r="C184" s="5"/>
      <c r="D184" s="5"/>
      <c r="E184" s="5"/>
      <c r="F184" s="5"/>
      <c r="G184" s="5"/>
      <c r="H184" s="5"/>
      <c r="I184" s="5"/>
      <c r="J184" s="5"/>
      <c r="K184" s="5"/>
    </row>
    <row r="185" spans="1:54" ht="15.75" customHeight="1" thickBot="1" x14ac:dyDescent="0.4">
      <c r="A185" s="44" t="s">
        <v>87</v>
      </c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5"/>
    </row>
    <row r="186" spans="1:54" ht="15" thickTop="1" x14ac:dyDescent="0.35"/>
    <row r="187" spans="1:54" ht="15.75" customHeight="1" x14ac:dyDescent="0.35">
      <c r="C187" s="5" t="s">
        <v>26</v>
      </c>
      <c r="D187" s="5"/>
      <c r="E187" s="5"/>
      <c r="F187" s="5"/>
      <c r="G187" s="5"/>
      <c r="H187" s="5"/>
      <c r="I187" s="5"/>
      <c r="J187" s="5"/>
      <c r="K187" s="5"/>
      <c r="Q187" s="13">
        <v>0</v>
      </c>
      <c r="R187" s="1">
        <f t="shared" ref="R187:BA187" si="112">Q201</f>
        <v>0</v>
      </c>
      <c r="S187" s="1">
        <f t="shared" si="112"/>
        <v>0</v>
      </c>
      <c r="T187" s="1">
        <f t="shared" si="112"/>
        <v>0</v>
      </c>
      <c r="U187" s="1">
        <f t="shared" si="112"/>
        <v>0</v>
      </c>
      <c r="V187" s="1">
        <f t="shared" si="112"/>
        <v>0</v>
      </c>
      <c r="W187" s="1">
        <f t="shared" si="112"/>
        <v>0</v>
      </c>
      <c r="X187" s="1">
        <f t="shared" si="112"/>
        <v>0</v>
      </c>
      <c r="Y187" s="1">
        <f t="shared" si="112"/>
        <v>0</v>
      </c>
      <c r="Z187" s="1">
        <f t="shared" si="112"/>
        <v>0</v>
      </c>
      <c r="AA187" s="1">
        <f t="shared" si="112"/>
        <v>0</v>
      </c>
      <c r="AB187" s="1">
        <f t="shared" si="112"/>
        <v>0</v>
      </c>
      <c r="AC187" s="1">
        <f t="shared" si="112"/>
        <v>0</v>
      </c>
      <c r="AD187" s="1">
        <f t="shared" si="112"/>
        <v>0</v>
      </c>
      <c r="AE187" s="1">
        <f t="shared" si="112"/>
        <v>0</v>
      </c>
      <c r="AF187" s="1">
        <f t="shared" si="112"/>
        <v>0</v>
      </c>
      <c r="AG187" s="1">
        <f t="shared" si="112"/>
        <v>0</v>
      </c>
      <c r="AH187" s="1">
        <f t="shared" si="112"/>
        <v>0</v>
      </c>
      <c r="AI187" s="1">
        <f t="shared" si="112"/>
        <v>0</v>
      </c>
      <c r="AJ187" s="1">
        <f t="shared" si="112"/>
        <v>0</v>
      </c>
      <c r="AK187" s="1">
        <f t="shared" si="112"/>
        <v>0</v>
      </c>
      <c r="AL187" s="1">
        <f t="shared" si="112"/>
        <v>0</v>
      </c>
      <c r="AM187" s="1">
        <f t="shared" si="112"/>
        <v>0</v>
      </c>
      <c r="AN187" s="1">
        <f t="shared" si="112"/>
        <v>0</v>
      </c>
      <c r="AO187" s="1">
        <f t="shared" si="112"/>
        <v>0</v>
      </c>
      <c r="AP187" s="1">
        <f t="shared" si="112"/>
        <v>0</v>
      </c>
      <c r="AQ187" s="1">
        <f t="shared" si="112"/>
        <v>0</v>
      </c>
      <c r="AR187" s="1">
        <f t="shared" si="112"/>
        <v>0</v>
      </c>
      <c r="AS187" s="1">
        <f t="shared" si="112"/>
        <v>0</v>
      </c>
      <c r="AT187" s="1">
        <f t="shared" si="112"/>
        <v>0</v>
      </c>
      <c r="AU187" s="1">
        <f t="shared" si="112"/>
        <v>0</v>
      </c>
      <c r="AV187" s="1">
        <f t="shared" si="112"/>
        <v>0</v>
      </c>
      <c r="AW187" s="1">
        <f t="shared" si="112"/>
        <v>0</v>
      </c>
      <c r="AX187" s="1">
        <f t="shared" si="112"/>
        <v>0</v>
      </c>
      <c r="AY187" s="1">
        <f t="shared" si="112"/>
        <v>0</v>
      </c>
      <c r="AZ187" s="1">
        <f t="shared" si="112"/>
        <v>0</v>
      </c>
      <c r="BA187" s="1">
        <f t="shared" si="112"/>
        <v>0</v>
      </c>
    </row>
    <row r="188" spans="1:54" ht="15.75" customHeight="1" x14ac:dyDescent="0.35">
      <c r="C188" s="5" t="s">
        <v>16</v>
      </c>
      <c r="D188" s="5"/>
      <c r="E188" s="5"/>
      <c r="F188" s="5"/>
      <c r="G188" s="5"/>
      <c r="H188" s="5"/>
      <c r="I188" s="5"/>
      <c r="J188" s="5"/>
      <c r="K188" s="5"/>
      <c r="N188" s="1">
        <f>SUM(Q188:BA188)</f>
        <v>0</v>
      </c>
      <c r="Q188" s="1">
        <f t="shared" ref="Q188:BA188" si="113">Q35</f>
        <v>0</v>
      </c>
      <c r="R188" s="1">
        <f t="shared" si="113"/>
        <v>0</v>
      </c>
      <c r="S188" s="1">
        <f t="shared" si="113"/>
        <v>0</v>
      </c>
      <c r="T188" s="1">
        <f t="shared" si="113"/>
        <v>0</v>
      </c>
      <c r="U188" s="1">
        <f t="shared" si="113"/>
        <v>0</v>
      </c>
      <c r="V188" s="1">
        <f t="shared" si="113"/>
        <v>0</v>
      </c>
      <c r="W188" s="1">
        <f t="shared" si="113"/>
        <v>0</v>
      </c>
      <c r="X188" s="1">
        <f t="shared" si="113"/>
        <v>0</v>
      </c>
      <c r="Y188" s="1">
        <f t="shared" si="113"/>
        <v>0</v>
      </c>
      <c r="Z188" s="1">
        <f t="shared" si="113"/>
        <v>0</v>
      </c>
      <c r="AA188" s="1">
        <f t="shared" si="113"/>
        <v>0</v>
      </c>
      <c r="AB188" s="1">
        <f t="shared" si="113"/>
        <v>0</v>
      </c>
      <c r="AC188" s="1">
        <f t="shared" si="113"/>
        <v>0</v>
      </c>
      <c r="AD188" s="1">
        <f t="shared" si="113"/>
        <v>0</v>
      </c>
      <c r="AE188" s="1">
        <f t="shared" si="113"/>
        <v>0</v>
      </c>
      <c r="AF188" s="1">
        <f t="shared" si="113"/>
        <v>0</v>
      </c>
      <c r="AG188" s="1">
        <f t="shared" si="113"/>
        <v>0</v>
      </c>
      <c r="AH188" s="1">
        <f t="shared" si="113"/>
        <v>0</v>
      </c>
      <c r="AI188" s="1">
        <f t="shared" si="113"/>
        <v>0</v>
      </c>
      <c r="AJ188" s="1">
        <f t="shared" si="113"/>
        <v>0</v>
      </c>
      <c r="AK188" s="1">
        <f t="shared" si="113"/>
        <v>0</v>
      </c>
      <c r="AL188" s="1">
        <f t="shared" si="113"/>
        <v>0</v>
      </c>
      <c r="AM188" s="1">
        <f t="shared" si="113"/>
        <v>0</v>
      </c>
      <c r="AN188" s="1">
        <f t="shared" si="113"/>
        <v>0</v>
      </c>
      <c r="AO188" s="1">
        <f t="shared" si="113"/>
        <v>0</v>
      </c>
      <c r="AP188" s="1">
        <f t="shared" si="113"/>
        <v>0</v>
      </c>
      <c r="AQ188" s="1">
        <f t="shared" si="113"/>
        <v>0</v>
      </c>
      <c r="AR188" s="1">
        <f t="shared" si="113"/>
        <v>0</v>
      </c>
      <c r="AS188" s="1">
        <f t="shared" si="113"/>
        <v>0</v>
      </c>
      <c r="AT188" s="1">
        <f t="shared" si="113"/>
        <v>0</v>
      </c>
      <c r="AU188" s="1">
        <f t="shared" si="113"/>
        <v>0</v>
      </c>
      <c r="AV188" s="1">
        <f t="shared" si="113"/>
        <v>0</v>
      </c>
      <c r="AW188" s="1">
        <f t="shared" si="113"/>
        <v>0</v>
      </c>
      <c r="AX188" s="1">
        <f t="shared" si="113"/>
        <v>0</v>
      </c>
      <c r="AY188" s="1">
        <f t="shared" si="113"/>
        <v>0</v>
      </c>
      <c r="AZ188" s="1">
        <f t="shared" si="113"/>
        <v>0</v>
      </c>
      <c r="BA188" s="1">
        <f t="shared" si="113"/>
        <v>0</v>
      </c>
    </row>
    <row r="189" spans="1:54" ht="15.75" customHeight="1" x14ac:dyDescent="0.35">
      <c r="C189" s="5" t="s">
        <v>104</v>
      </c>
      <c r="D189" s="5"/>
      <c r="E189" s="5"/>
      <c r="F189" s="5"/>
      <c r="G189" s="5"/>
      <c r="H189" s="5"/>
      <c r="I189" s="5"/>
      <c r="J189" s="5"/>
      <c r="K189" s="5"/>
      <c r="N189" s="1">
        <f>SUM(Q189:BA189)</f>
        <v>0</v>
      </c>
      <c r="Q189" s="1">
        <f t="shared" ref="Q189:BA189" si="114">Q47</f>
        <v>0</v>
      </c>
      <c r="R189" s="1">
        <f t="shared" si="114"/>
        <v>0</v>
      </c>
      <c r="S189" s="1">
        <f t="shared" si="114"/>
        <v>0</v>
      </c>
      <c r="T189" s="1">
        <f t="shared" si="114"/>
        <v>0</v>
      </c>
      <c r="U189" s="1">
        <f t="shared" si="114"/>
        <v>0</v>
      </c>
      <c r="V189" s="1">
        <f t="shared" si="114"/>
        <v>0</v>
      </c>
      <c r="W189" s="1">
        <f t="shared" si="114"/>
        <v>0</v>
      </c>
      <c r="X189" s="1">
        <f t="shared" si="114"/>
        <v>0</v>
      </c>
      <c r="Y189" s="1">
        <f t="shared" si="114"/>
        <v>0</v>
      </c>
      <c r="Z189" s="1">
        <f t="shared" si="114"/>
        <v>0</v>
      </c>
      <c r="AA189" s="1">
        <f t="shared" si="114"/>
        <v>0</v>
      </c>
      <c r="AB189" s="1">
        <f t="shared" si="114"/>
        <v>0</v>
      </c>
      <c r="AC189" s="1">
        <f t="shared" si="114"/>
        <v>0</v>
      </c>
      <c r="AD189" s="1">
        <f t="shared" si="114"/>
        <v>0</v>
      </c>
      <c r="AE189" s="1">
        <f t="shared" si="114"/>
        <v>0</v>
      </c>
      <c r="AF189" s="1">
        <f t="shared" si="114"/>
        <v>0</v>
      </c>
      <c r="AG189" s="1">
        <f t="shared" si="114"/>
        <v>0</v>
      </c>
      <c r="AH189" s="1">
        <f t="shared" si="114"/>
        <v>0</v>
      </c>
      <c r="AI189" s="1">
        <f t="shared" si="114"/>
        <v>0</v>
      </c>
      <c r="AJ189" s="1">
        <f t="shared" si="114"/>
        <v>0</v>
      </c>
      <c r="AK189" s="1">
        <f t="shared" si="114"/>
        <v>0</v>
      </c>
      <c r="AL189" s="1">
        <f t="shared" si="114"/>
        <v>0</v>
      </c>
      <c r="AM189" s="1">
        <f t="shared" si="114"/>
        <v>0</v>
      </c>
      <c r="AN189" s="1">
        <f t="shared" si="114"/>
        <v>0</v>
      </c>
      <c r="AO189" s="1">
        <f t="shared" si="114"/>
        <v>0</v>
      </c>
      <c r="AP189" s="1">
        <f t="shared" si="114"/>
        <v>0</v>
      </c>
      <c r="AQ189" s="1">
        <f t="shared" si="114"/>
        <v>0</v>
      </c>
      <c r="AR189" s="1">
        <f t="shared" si="114"/>
        <v>0</v>
      </c>
      <c r="AS189" s="1">
        <f t="shared" si="114"/>
        <v>0</v>
      </c>
      <c r="AT189" s="1">
        <f t="shared" si="114"/>
        <v>0</v>
      </c>
      <c r="AU189" s="1">
        <f t="shared" si="114"/>
        <v>0</v>
      </c>
      <c r="AV189" s="1">
        <f t="shared" si="114"/>
        <v>0</v>
      </c>
      <c r="AW189" s="1">
        <f t="shared" si="114"/>
        <v>0</v>
      </c>
      <c r="AX189" s="1">
        <f t="shared" si="114"/>
        <v>0</v>
      </c>
      <c r="AY189" s="1">
        <f t="shared" si="114"/>
        <v>0</v>
      </c>
      <c r="AZ189" s="1">
        <f t="shared" si="114"/>
        <v>0</v>
      </c>
      <c r="BA189" s="1">
        <f t="shared" si="114"/>
        <v>0</v>
      </c>
    </row>
    <row r="190" spans="1:54" ht="15.75" customHeight="1" x14ac:dyDescent="0.35">
      <c r="C190" s="5" t="s">
        <v>94</v>
      </c>
      <c r="D190" s="5"/>
      <c r="E190" s="5"/>
      <c r="F190" s="5"/>
      <c r="G190" s="5"/>
      <c r="H190" s="5"/>
      <c r="I190" s="5"/>
      <c r="J190" s="5"/>
      <c r="K190" s="5"/>
      <c r="N190" s="1">
        <f>SUM(Q190:BA190)</f>
        <v>0</v>
      </c>
      <c r="Q190" s="1">
        <f t="shared" ref="Q190:BA190" si="115">SUM(Q121,Q128,-Q123,-Q124,Q127)</f>
        <v>0</v>
      </c>
      <c r="R190" s="1">
        <f t="shared" si="115"/>
        <v>0</v>
      </c>
      <c r="S190" s="1">
        <f t="shared" si="115"/>
        <v>0</v>
      </c>
      <c r="T190" s="1">
        <f t="shared" si="115"/>
        <v>0</v>
      </c>
      <c r="U190" s="1">
        <f t="shared" si="115"/>
        <v>0</v>
      </c>
      <c r="V190" s="1">
        <f t="shared" si="115"/>
        <v>0</v>
      </c>
      <c r="W190" s="1">
        <f t="shared" si="115"/>
        <v>0</v>
      </c>
      <c r="X190" s="1">
        <f t="shared" si="115"/>
        <v>0</v>
      </c>
      <c r="Y190" s="1">
        <f t="shared" si="115"/>
        <v>0</v>
      </c>
      <c r="Z190" s="1">
        <f t="shared" si="115"/>
        <v>0</v>
      </c>
      <c r="AA190" s="1">
        <f t="shared" si="115"/>
        <v>0</v>
      </c>
      <c r="AB190" s="1">
        <f t="shared" si="115"/>
        <v>0</v>
      </c>
      <c r="AC190" s="1">
        <f t="shared" si="115"/>
        <v>0</v>
      </c>
      <c r="AD190" s="1">
        <f t="shared" si="115"/>
        <v>0</v>
      </c>
      <c r="AE190" s="1">
        <f t="shared" si="115"/>
        <v>0</v>
      </c>
      <c r="AF190" s="1">
        <f t="shared" si="115"/>
        <v>0</v>
      </c>
      <c r="AG190" s="1">
        <f t="shared" si="115"/>
        <v>0</v>
      </c>
      <c r="AH190" s="1">
        <f t="shared" si="115"/>
        <v>0</v>
      </c>
      <c r="AI190" s="1">
        <f t="shared" si="115"/>
        <v>0</v>
      </c>
      <c r="AJ190" s="1">
        <f t="shared" si="115"/>
        <v>0</v>
      </c>
      <c r="AK190" s="1">
        <f t="shared" si="115"/>
        <v>0</v>
      </c>
      <c r="AL190" s="1">
        <f t="shared" si="115"/>
        <v>0</v>
      </c>
      <c r="AM190" s="1">
        <f t="shared" si="115"/>
        <v>0</v>
      </c>
      <c r="AN190" s="1">
        <f t="shared" si="115"/>
        <v>0</v>
      </c>
      <c r="AO190" s="1">
        <f t="shared" si="115"/>
        <v>0</v>
      </c>
      <c r="AP190" s="1">
        <f t="shared" si="115"/>
        <v>0</v>
      </c>
      <c r="AQ190" s="1">
        <f t="shared" si="115"/>
        <v>0</v>
      </c>
      <c r="AR190" s="1">
        <f t="shared" si="115"/>
        <v>0</v>
      </c>
      <c r="AS190" s="1">
        <f t="shared" si="115"/>
        <v>0</v>
      </c>
      <c r="AT190" s="1">
        <f t="shared" si="115"/>
        <v>0</v>
      </c>
      <c r="AU190" s="1">
        <f t="shared" si="115"/>
        <v>0</v>
      </c>
      <c r="AV190" s="1">
        <f t="shared" si="115"/>
        <v>0</v>
      </c>
      <c r="AW190" s="1">
        <f t="shared" si="115"/>
        <v>0</v>
      </c>
      <c r="AX190" s="1">
        <f t="shared" si="115"/>
        <v>0</v>
      </c>
      <c r="AY190" s="1">
        <f t="shared" si="115"/>
        <v>0</v>
      </c>
      <c r="AZ190" s="1">
        <f t="shared" si="115"/>
        <v>0</v>
      </c>
      <c r="BA190" s="1">
        <f t="shared" si="115"/>
        <v>0</v>
      </c>
    </row>
    <row r="191" spans="1:54" ht="15.75" customHeight="1" x14ac:dyDescent="0.35">
      <c r="C191" s="5" t="s">
        <v>123</v>
      </c>
      <c r="D191" s="5"/>
      <c r="E191" s="5"/>
      <c r="F191" s="5"/>
      <c r="G191" s="5"/>
      <c r="H191" s="5"/>
      <c r="I191" s="5"/>
      <c r="J191" s="5"/>
      <c r="K191" s="5"/>
      <c r="N191" s="1">
        <f>SUM(Q191:BA191)</f>
        <v>0</v>
      </c>
      <c r="Q191" s="26">
        <f t="shared" ref="Q191:BA191" si="116">SUM(Q138,-Q140,-Q141,Q143)</f>
        <v>0</v>
      </c>
      <c r="R191" s="26">
        <f t="shared" si="116"/>
        <v>0</v>
      </c>
      <c r="S191" s="26">
        <f t="shared" si="116"/>
        <v>0</v>
      </c>
      <c r="T191" s="26">
        <f t="shared" si="116"/>
        <v>0</v>
      </c>
      <c r="U191" s="26">
        <f t="shared" si="116"/>
        <v>0</v>
      </c>
      <c r="V191" s="26">
        <f t="shared" si="116"/>
        <v>0</v>
      </c>
      <c r="W191" s="26">
        <f t="shared" si="116"/>
        <v>0</v>
      </c>
      <c r="X191" s="26">
        <f t="shared" si="116"/>
        <v>0</v>
      </c>
      <c r="Y191" s="26">
        <f t="shared" si="116"/>
        <v>0</v>
      </c>
      <c r="Z191" s="26">
        <f t="shared" si="116"/>
        <v>0</v>
      </c>
      <c r="AA191" s="26">
        <f t="shared" si="116"/>
        <v>0</v>
      </c>
      <c r="AB191" s="26">
        <f t="shared" si="116"/>
        <v>0</v>
      </c>
      <c r="AC191" s="26">
        <f t="shared" si="116"/>
        <v>0</v>
      </c>
      <c r="AD191" s="26">
        <f t="shared" si="116"/>
        <v>0</v>
      </c>
      <c r="AE191" s="26">
        <f t="shared" si="116"/>
        <v>0</v>
      </c>
      <c r="AF191" s="26">
        <f t="shared" si="116"/>
        <v>0</v>
      </c>
      <c r="AG191" s="26">
        <f t="shared" si="116"/>
        <v>0</v>
      </c>
      <c r="AH191" s="26">
        <f t="shared" si="116"/>
        <v>0</v>
      </c>
      <c r="AI191" s="26">
        <f t="shared" si="116"/>
        <v>0</v>
      </c>
      <c r="AJ191" s="26">
        <f t="shared" si="116"/>
        <v>0</v>
      </c>
      <c r="AK191" s="26">
        <f t="shared" si="116"/>
        <v>0</v>
      </c>
      <c r="AL191" s="26">
        <f t="shared" si="116"/>
        <v>0</v>
      </c>
      <c r="AM191" s="26">
        <f t="shared" si="116"/>
        <v>0</v>
      </c>
      <c r="AN191" s="26">
        <f t="shared" si="116"/>
        <v>0</v>
      </c>
      <c r="AO191" s="26">
        <f t="shared" si="116"/>
        <v>0</v>
      </c>
      <c r="AP191" s="26">
        <f t="shared" si="116"/>
        <v>0</v>
      </c>
      <c r="AQ191" s="26">
        <f t="shared" si="116"/>
        <v>0</v>
      </c>
      <c r="AR191" s="26">
        <f t="shared" si="116"/>
        <v>0</v>
      </c>
      <c r="AS191" s="26">
        <f t="shared" si="116"/>
        <v>0</v>
      </c>
      <c r="AT191" s="26">
        <f t="shared" si="116"/>
        <v>0</v>
      </c>
      <c r="AU191" s="26">
        <f t="shared" si="116"/>
        <v>0</v>
      </c>
      <c r="AV191" s="26">
        <f t="shared" si="116"/>
        <v>0</v>
      </c>
      <c r="AW191" s="26">
        <f t="shared" si="116"/>
        <v>0</v>
      </c>
      <c r="AX191" s="26">
        <f t="shared" si="116"/>
        <v>0</v>
      </c>
      <c r="AY191" s="26">
        <f t="shared" si="116"/>
        <v>0</v>
      </c>
      <c r="AZ191" s="26">
        <f t="shared" si="116"/>
        <v>0</v>
      </c>
      <c r="BA191" s="26">
        <f t="shared" si="116"/>
        <v>0</v>
      </c>
    </row>
    <row r="192" spans="1:54" ht="15.75" customHeight="1" x14ac:dyDescent="0.35">
      <c r="B192" s="8"/>
      <c r="C192" s="9" t="s">
        <v>147</v>
      </c>
      <c r="D192" s="9"/>
      <c r="E192" s="9"/>
      <c r="F192" s="9"/>
      <c r="G192" s="9"/>
      <c r="H192" s="9"/>
      <c r="I192" s="9"/>
      <c r="J192" s="9"/>
      <c r="K192" s="9"/>
      <c r="L192" s="8"/>
      <c r="M192" s="8"/>
      <c r="N192" s="10">
        <f>SUM(Q192:BA192)</f>
        <v>0</v>
      </c>
      <c r="O192" s="8"/>
      <c r="P192" s="8"/>
      <c r="Q192" s="10">
        <f t="shared" ref="Q192:BA192" si="117">Q52</f>
        <v>0</v>
      </c>
      <c r="R192" s="10">
        <f t="shared" si="117"/>
        <v>0</v>
      </c>
      <c r="S192" s="10">
        <f t="shared" si="117"/>
        <v>0</v>
      </c>
      <c r="T192" s="10">
        <f t="shared" si="117"/>
        <v>0</v>
      </c>
      <c r="U192" s="10">
        <f t="shared" si="117"/>
        <v>0</v>
      </c>
      <c r="V192" s="10">
        <f t="shared" si="117"/>
        <v>0</v>
      </c>
      <c r="W192" s="10">
        <f t="shared" si="117"/>
        <v>0</v>
      </c>
      <c r="X192" s="10">
        <f t="shared" si="117"/>
        <v>0</v>
      </c>
      <c r="Y192" s="10">
        <f t="shared" si="117"/>
        <v>0</v>
      </c>
      <c r="Z192" s="10">
        <f t="shared" si="117"/>
        <v>0</v>
      </c>
      <c r="AA192" s="10">
        <f t="shared" si="117"/>
        <v>0</v>
      </c>
      <c r="AB192" s="10">
        <f t="shared" si="117"/>
        <v>0</v>
      </c>
      <c r="AC192" s="10">
        <f t="shared" si="117"/>
        <v>0</v>
      </c>
      <c r="AD192" s="10">
        <f t="shared" si="117"/>
        <v>0</v>
      </c>
      <c r="AE192" s="10">
        <f t="shared" si="117"/>
        <v>0</v>
      </c>
      <c r="AF192" s="10">
        <f t="shared" si="117"/>
        <v>0</v>
      </c>
      <c r="AG192" s="10">
        <f t="shared" si="117"/>
        <v>0</v>
      </c>
      <c r="AH192" s="10">
        <f t="shared" si="117"/>
        <v>0</v>
      </c>
      <c r="AI192" s="10">
        <f t="shared" si="117"/>
        <v>0</v>
      </c>
      <c r="AJ192" s="10">
        <f t="shared" si="117"/>
        <v>0</v>
      </c>
      <c r="AK192" s="10">
        <f t="shared" si="117"/>
        <v>0</v>
      </c>
      <c r="AL192" s="10">
        <f t="shared" si="117"/>
        <v>0</v>
      </c>
      <c r="AM192" s="10">
        <f t="shared" si="117"/>
        <v>0</v>
      </c>
      <c r="AN192" s="10">
        <f t="shared" si="117"/>
        <v>0</v>
      </c>
      <c r="AO192" s="10">
        <f t="shared" si="117"/>
        <v>0</v>
      </c>
      <c r="AP192" s="10">
        <f t="shared" si="117"/>
        <v>0</v>
      </c>
      <c r="AQ192" s="10">
        <f t="shared" si="117"/>
        <v>0</v>
      </c>
      <c r="AR192" s="10">
        <f t="shared" si="117"/>
        <v>0</v>
      </c>
      <c r="AS192" s="10">
        <f t="shared" si="117"/>
        <v>0</v>
      </c>
      <c r="AT192" s="10">
        <f t="shared" si="117"/>
        <v>0</v>
      </c>
      <c r="AU192" s="10">
        <f t="shared" si="117"/>
        <v>0</v>
      </c>
      <c r="AV192" s="10">
        <f t="shared" si="117"/>
        <v>0</v>
      </c>
      <c r="AW192" s="10">
        <f t="shared" si="117"/>
        <v>0</v>
      </c>
      <c r="AX192" s="10">
        <f t="shared" si="117"/>
        <v>0</v>
      </c>
      <c r="AY192" s="10">
        <f t="shared" si="117"/>
        <v>0</v>
      </c>
      <c r="AZ192" s="10">
        <f t="shared" si="117"/>
        <v>0</v>
      </c>
      <c r="BA192" s="10">
        <f t="shared" si="117"/>
        <v>0</v>
      </c>
    </row>
    <row r="193" spans="1:54" ht="15.75" customHeight="1" x14ac:dyDescent="0.35">
      <c r="B193" s="2" t="s">
        <v>54</v>
      </c>
      <c r="C193" s="5"/>
      <c r="D193" s="5"/>
      <c r="E193" s="5"/>
      <c r="F193" s="5"/>
      <c r="G193" s="5"/>
      <c r="H193" s="5"/>
      <c r="I193" s="5"/>
      <c r="J193" s="5"/>
      <c r="K193" s="5"/>
      <c r="Q193" s="1">
        <f t="shared" ref="Q193:BA193" si="118">SUM(Q187:Q192)</f>
        <v>0</v>
      </c>
      <c r="R193" s="1">
        <f t="shared" si="118"/>
        <v>0</v>
      </c>
      <c r="S193" s="1">
        <f t="shared" si="118"/>
        <v>0</v>
      </c>
      <c r="T193" s="1">
        <f t="shared" si="118"/>
        <v>0</v>
      </c>
      <c r="U193" s="1">
        <f t="shared" si="118"/>
        <v>0</v>
      </c>
      <c r="V193" s="1">
        <f t="shared" si="118"/>
        <v>0</v>
      </c>
      <c r="W193" s="1">
        <f t="shared" si="118"/>
        <v>0</v>
      </c>
      <c r="X193" s="1">
        <f t="shared" si="118"/>
        <v>0</v>
      </c>
      <c r="Y193" s="1">
        <f t="shared" si="118"/>
        <v>0</v>
      </c>
      <c r="Z193" s="1">
        <f t="shared" si="118"/>
        <v>0</v>
      </c>
      <c r="AA193" s="1">
        <f t="shared" si="118"/>
        <v>0</v>
      </c>
      <c r="AB193" s="1">
        <f t="shared" si="118"/>
        <v>0</v>
      </c>
      <c r="AC193" s="1">
        <f t="shared" si="118"/>
        <v>0</v>
      </c>
      <c r="AD193" s="1">
        <f t="shared" si="118"/>
        <v>0</v>
      </c>
      <c r="AE193" s="1">
        <f t="shared" si="118"/>
        <v>0</v>
      </c>
      <c r="AF193" s="1">
        <f t="shared" si="118"/>
        <v>0</v>
      </c>
      <c r="AG193" s="1">
        <f t="shared" si="118"/>
        <v>0</v>
      </c>
      <c r="AH193" s="1">
        <f t="shared" si="118"/>
        <v>0</v>
      </c>
      <c r="AI193" s="1">
        <f t="shared" si="118"/>
        <v>0</v>
      </c>
      <c r="AJ193" s="1">
        <f t="shared" si="118"/>
        <v>0</v>
      </c>
      <c r="AK193" s="1">
        <f t="shared" si="118"/>
        <v>0</v>
      </c>
      <c r="AL193" s="1">
        <f t="shared" si="118"/>
        <v>0</v>
      </c>
      <c r="AM193" s="1">
        <f t="shared" si="118"/>
        <v>0</v>
      </c>
      <c r="AN193" s="1">
        <f t="shared" si="118"/>
        <v>0</v>
      </c>
      <c r="AO193" s="1">
        <f t="shared" si="118"/>
        <v>0</v>
      </c>
      <c r="AP193" s="1">
        <f t="shared" si="118"/>
        <v>0</v>
      </c>
      <c r="AQ193" s="1">
        <f t="shared" si="118"/>
        <v>0</v>
      </c>
      <c r="AR193" s="1">
        <f t="shared" si="118"/>
        <v>0</v>
      </c>
      <c r="AS193" s="1">
        <f t="shared" si="118"/>
        <v>0</v>
      </c>
      <c r="AT193" s="1">
        <f t="shared" si="118"/>
        <v>0</v>
      </c>
      <c r="AU193" s="1">
        <f t="shared" si="118"/>
        <v>0</v>
      </c>
      <c r="AV193" s="1">
        <f t="shared" si="118"/>
        <v>0</v>
      </c>
      <c r="AW193" s="1">
        <f t="shared" si="118"/>
        <v>0</v>
      </c>
      <c r="AX193" s="1">
        <f t="shared" si="118"/>
        <v>0</v>
      </c>
      <c r="AY193" s="1">
        <f t="shared" si="118"/>
        <v>0</v>
      </c>
      <c r="AZ193" s="1">
        <f t="shared" si="118"/>
        <v>0</v>
      </c>
      <c r="BA193" s="1">
        <f t="shared" si="118"/>
        <v>0</v>
      </c>
    </row>
    <row r="194" spans="1:54" ht="15.75" customHeight="1" x14ac:dyDescent="0.35">
      <c r="B194" s="8"/>
      <c r="C194" s="9" t="s">
        <v>21</v>
      </c>
      <c r="D194" s="9"/>
      <c r="E194" s="9"/>
      <c r="F194" s="9"/>
      <c r="G194" s="9"/>
      <c r="H194" s="9"/>
      <c r="I194" s="9"/>
      <c r="J194" s="9"/>
      <c r="K194" s="9"/>
      <c r="L194" s="8"/>
      <c r="M194" s="8"/>
      <c r="N194" s="10">
        <f>SUM(Q194:BA194)</f>
        <v>0</v>
      </c>
      <c r="O194" s="8"/>
      <c r="P194" s="8"/>
      <c r="Q194" s="10">
        <f>-MAX(MIN(SUM($P$114:P115),Q193),0)*OEt.w2</f>
        <v>0</v>
      </c>
      <c r="R194" s="10">
        <f>-MAX(MIN(SUM($P$114:Q115),R193),0)*OEt.w2</f>
        <v>0</v>
      </c>
      <c r="S194" s="10">
        <f>-MAX(MIN(SUM($P$114:R115),S193),0)*OEt.w2</f>
        <v>0</v>
      </c>
      <c r="T194" s="10">
        <f>-MAX(MIN(SUM($P$114:S115),T193),0)*OEt.w2</f>
        <v>0</v>
      </c>
      <c r="U194" s="10">
        <f>-MAX(MIN(SUM($P$114:T115),U193),0)*OEt.w2</f>
        <v>0</v>
      </c>
      <c r="V194" s="10">
        <f>-MAX(MIN(SUM($P$114:U115),V193),0)*OEt.w2</f>
        <v>0</v>
      </c>
      <c r="W194" s="10">
        <f>-MAX(MIN(SUM($P$114:V115),W193),0)*OEt.w2</f>
        <v>0</v>
      </c>
      <c r="X194" s="10">
        <f>-MAX(MIN(SUM($P$114:W115),X193),0)*OEt.w2</f>
        <v>0</v>
      </c>
      <c r="Y194" s="10">
        <f>-MAX(MIN(SUM($P$114:X115),Y193),0)*OEt.w2</f>
        <v>0</v>
      </c>
      <c r="Z194" s="10">
        <f>-MAX(MIN(SUM($P$114:Y115),Z193),0)*OEt.w2</f>
        <v>0</v>
      </c>
      <c r="AA194" s="10">
        <f>-MAX(MIN(SUM($P$114:Z115),AA193),0)*OEt.w2</f>
        <v>0</v>
      </c>
      <c r="AB194" s="10">
        <f>-MAX(MIN(SUM($P$114:AA115),AB193),0)*OEt.w2</f>
        <v>0</v>
      </c>
      <c r="AC194" s="10">
        <f>-MAX(MIN(SUM($P$114:AB115),AC193),0)*OEt.w2</f>
        <v>0</v>
      </c>
      <c r="AD194" s="10">
        <f>-MAX(MIN(SUM($P$114:AC115),AD193),0)*OEt.w2</f>
        <v>0</v>
      </c>
      <c r="AE194" s="10">
        <f>-MAX(MIN(SUM($P$114:AD115),AE193),0)*OEt.w2</f>
        <v>0</v>
      </c>
      <c r="AF194" s="10">
        <f>-MAX(MIN(SUM($P$114:AE115),AF193),0)*OEt.w2</f>
        <v>0</v>
      </c>
      <c r="AG194" s="10">
        <f>-MAX(MIN(SUM($P$114:AF115),AG193),0)*OEt.w2</f>
        <v>0</v>
      </c>
      <c r="AH194" s="10">
        <f>-MAX(MIN(SUM($P$114:AG115),AH193),0)*OEt.w2</f>
        <v>0</v>
      </c>
      <c r="AI194" s="10">
        <f>-MAX(MIN(SUM($P$114:AH115),AI193),0)*OEt.w2</f>
        <v>0</v>
      </c>
      <c r="AJ194" s="10">
        <f>-MAX(MIN(SUM($P$114:AI115),AJ193),0)*OEt.w2</f>
        <v>0</v>
      </c>
      <c r="AK194" s="10">
        <f>-MAX(MIN(SUM($P$114:AJ115),AK193),0)*OEt.w2</f>
        <v>0</v>
      </c>
      <c r="AL194" s="10">
        <f>-MAX(MIN(SUM($P$114:AK115),AL193),0)*OEt.w2</f>
        <v>0</v>
      </c>
      <c r="AM194" s="10">
        <f>-MAX(MIN(SUM($P$114:AL115),AM193),0)*OEt.w2</f>
        <v>0</v>
      </c>
      <c r="AN194" s="10">
        <f>-MAX(MIN(SUM($P$114:AM115),AN193),0)*OEt.w2</f>
        <v>0</v>
      </c>
      <c r="AO194" s="10">
        <f>-MAX(MIN(SUM($P$114:AN115),AO193),0)*OEt.w2</f>
        <v>0</v>
      </c>
      <c r="AP194" s="10">
        <f>-MAX(MIN(SUM($P$114:AO115),AP193),0)*OEt.w2</f>
        <v>0</v>
      </c>
      <c r="AQ194" s="10">
        <f>-MAX(MIN(SUM($P$114:AP115),AQ193),0)*OEt.w2</f>
        <v>0</v>
      </c>
      <c r="AR194" s="10">
        <f>-MAX(MIN(SUM($P$114:AQ115),AR193),0)*OEt.w2</f>
        <v>0</v>
      </c>
      <c r="AS194" s="10">
        <f>-MAX(MIN(SUM($P$114:AR115),AS193),0)*OEt.w2</f>
        <v>0</v>
      </c>
      <c r="AT194" s="10">
        <f>-MAX(MIN(SUM($P$114:AS115),AT193),0)*OEt.w2</f>
        <v>0</v>
      </c>
      <c r="AU194" s="10">
        <f>-MAX(MIN(SUM($P$114:AT115),AU193),0)*OEt.w2</f>
        <v>0</v>
      </c>
      <c r="AV194" s="10">
        <f>-MAX(MIN(SUM($P$114:AU115),AV193),0)*OEt.w2</f>
        <v>0</v>
      </c>
      <c r="AW194" s="10">
        <f>-MAX(MIN(SUM($P$114:AV115),AW193),0)*OEt.w2</f>
        <v>0</v>
      </c>
      <c r="AX194" s="10">
        <f>-MAX(MIN(SUM($P$114:AW115),AX193),0)*OEt.w2</f>
        <v>0</v>
      </c>
      <c r="AY194" s="10">
        <f>-MAX(MIN(SUM($P$114:AX115),AY193),0)*OEt.w2</f>
        <v>0</v>
      </c>
      <c r="AZ194" s="10">
        <f>-MAX(MIN(SUM($P$114:AY115),AZ193),0)*OEt.w2</f>
        <v>0</v>
      </c>
      <c r="BA194" s="10">
        <f>-MAX(MIN(SUM($P$114:AZ115),BA193),0)*OEt.w2</f>
        <v>0</v>
      </c>
    </row>
    <row r="195" spans="1:54" ht="15.75" customHeight="1" x14ac:dyDescent="0.35">
      <c r="B195" s="2" t="s">
        <v>121</v>
      </c>
      <c r="C195" s="5"/>
      <c r="D195" s="5"/>
      <c r="E195" s="5"/>
      <c r="F195" s="5"/>
      <c r="G195" s="5"/>
      <c r="H195" s="5"/>
      <c r="I195" s="5"/>
      <c r="J195" s="5"/>
      <c r="K195" s="5"/>
      <c r="Q195" s="1">
        <f t="shared" ref="Q195:BA195" si="119">SUM(Q193:Q194)</f>
        <v>0</v>
      </c>
      <c r="R195" s="1">
        <f t="shared" si="119"/>
        <v>0</v>
      </c>
      <c r="S195" s="1">
        <f t="shared" si="119"/>
        <v>0</v>
      </c>
      <c r="T195" s="1">
        <f t="shared" si="119"/>
        <v>0</v>
      </c>
      <c r="U195" s="1">
        <f t="shared" si="119"/>
        <v>0</v>
      </c>
      <c r="V195" s="1">
        <f t="shared" si="119"/>
        <v>0</v>
      </c>
      <c r="W195" s="1">
        <f t="shared" si="119"/>
        <v>0</v>
      </c>
      <c r="X195" s="1">
        <f t="shared" si="119"/>
        <v>0</v>
      </c>
      <c r="Y195" s="1">
        <f t="shared" si="119"/>
        <v>0</v>
      </c>
      <c r="Z195" s="1">
        <f t="shared" si="119"/>
        <v>0</v>
      </c>
      <c r="AA195" s="1">
        <f t="shared" si="119"/>
        <v>0</v>
      </c>
      <c r="AB195" s="1">
        <f t="shared" si="119"/>
        <v>0</v>
      </c>
      <c r="AC195" s="1">
        <f t="shared" si="119"/>
        <v>0</v>
      </c>
      <c r="AD195" s="1">
        <f t="shared" si="119"/>
        <v>0</v>
      </c>
      <c r="AE195" s="1">
        <f t="shared" si="119"/>
        <v>0</v>
      </c>
      <c r="AF195" s="1">
        <f t="shared" si="119"/>
        <v>0</v>
      </c>
      <c r="AG195" s="1">
        <f t="shared" si="119"/>
        <v>0</v>
      </c>
      <c r="AH195" s="1">
        <f t="shared" si="119"/>
        <v>0</v>
      </c>
      <c r="AI195" s="1">
        <f t="shared" si="119"/>
        <v>0</v>
      </c>
      <c r="AJ195" s="1">
        <f t="shared" si="119"/>
        <v>0</v>
      </c>
      <c r="AK195" s="1">
        <f t="shared" si="119"/>
        <v>0</v>
      </c>
      <c r="AL195" s="1">
        <f t="shared" si="119"/>
        <v>0</v>
      </c>
      <c r="AM195" s="1">
        <f t="shared" si="119"/>
        <v>0</v>
      </c>
      <c r="AN195" s="1">
        <f t="shared" si="119"/>
        <v>0</v>
      </c>
      <c r="AO195" s="1">
        <f t="shared" si="119"/>
        <v>0</v>
      </c>
      <c r="AP195" s="1">
        <f t="shared" si="119"/>
        <v>0</v>
      </c>
      <c r="AQ195" s="1">
        <f t="shared" si="119"/>
        <v>0</v>
      </c>
      <c r="AR195" s="1">
        <f t="shared" si="119"/>
        <v>0</v>
      </c>
      <c r="AS195" s="1">
        <f t="shared" si="119"/>
        <v>0</v>
      </c>
      <c r="AT195" s="1">
        <f t="shared" si="119"/>
        <v>0</v>
      </c>
      <c r="AU195" s="1">
        <f t="shared" si="119"/>
        <v>0</v>
      </c>
      <c r="AV195" s="1">
        <f t="shared" si="119"/>
        <v>0</v>
      </c>
      <c r="AW195" s="1">
        <f t="shared" si="119"/>
        <v>0</v>
      </c>
      <c r="AX195" s="1">
        <f t="shared" si="119"/>
        <v>0</v>
      </c>
      <c r="AY195" s="1">
        <f t="shared" si="119"/>
        <v>0</v>
      </c>
      <c r="AZ195" s="1">
        <f t="shared" si="119"/>
        <v>0</v>
      </c>
      <c r="BA195" s="1">
        <f t="shared" si="119"/>
        <v>0</v>
      </c>
    </row>
    <row r="196" spans="1:54" ht="15.75" customHeight="1" x14ac:dyDescent="0.35">
      <c r="B196" s="8"/>
      <c r="C196" s="9" t="s">
        <v>119</v>
      </c>
      <c r="D196" s="9"/>
      <c r="E196" s="9"/>
      <c r="F196" s="9"/>
      <c r="G196" s="9"/>
      <c r="H196" s="9"/>
      <c r="I196" s="9"/>
      <c r="J196" s="9"/>
      <c r="K196" s="9"/>
      <c r="L196" s="8"/>
      <c r="M196" s="8"/>
      <c r="N196" s="10">
        <f>SUM(Q196:BA196)</f>
        <v>0</v>
      </c>
      <c r="O196" s="8"/>
      <c r="P196" s="8"/>
      <c r="Q196" s="10">
        <f t="shared" ref="Q196:BA196" si="120">MIN(MAX(-SUM(Q120,Q128),-Q195),0)</f>
        <v>0</v>
      </c>
      <c r="R196" s="10">
        <f t="shared" si="120"/>
        <v>0</v>
      </c>
      <c r="S196" s="10">
        <f t="shared" si="120"/>
        <v>0</v>
      </c>
      <c r="T196" s="10">
        <f t="shared" si="120"/>
        <v>0</v>
      </c>
      <c r="U196" s="10">
        <f t="shared" si="120"/>
        <v>0</v>
      </c>
      <c r="V196" s="10">
        <f t="shared" si="120"/>
        <v>0</v>
      </c>
      <c r="W196" s="10">
        <f t="shared" si="120"/>
        <v>0</v>
      </c>
      <c r="X196" s="10">
        <f t="shared" si="120"/>
        <v>0</v>
      </c>
      <c r="Y196" s="10">
        <f t="shared" si="120"/>
        <v>0</v>
      </c>
      <c r="Z196" s="10">
        <f t="shared" si="120"/>
        <v>0</v>
      </c>
      <c r="AA196" s="10">
        <f t="shared" si="120"/>
        <v>0</v>
      </c>
      <c r="AB196" s="10">
        <f t="shared" si="120"/>
        <v>0</v>
      </c>
      <c r="AC196" s="10">
        <f t="shared" si="120"/>
        <v>0</v>
      </c>
      <c r="AD196" s="10">
        <f t="shared" si="120"/>
        <v>0</v>
      </c>
      <c r="AE196" s="10">
        <f t="shared" si="120"/>
        <v>0</v>
      </c>
      <c r="AF196" s="10">
        <f t="shared" si="120"/>
        <v>0</v>
      </c>
      <c r="AG196" s="10">
        <f t="shared" si="120"/>
        <v>0</v>
      </c>
      <c r="AH196" s="10">
        <f t="shared" si="120"/>
        <v>0</v>
      </c>
      <c r="AI196" s="10">
        <f t="shared" si="120"/>
        <v>0</v>
      </c>
      <c r="AJ196" s="10">
        <f t="shared" si="120"/>
        <v>0</v>
      </c>
      <c r="AK196" s="10">
        <f t="shared" si="120"/>
        <v>0</v>
      </c>
      <c r="AL196" s="10">
        <f t="shared" si="120"/>
        <v>0</v>
      </c>
      <c r="AM196" s="10">
        <f t="shared" si="120"/>
        <v>0</v>
      </c>
      <c r="AN196" s="10">
        <f t="shared" si="120"/>
        <v>0</v>
      </c>
      <c r="AO196" s="10">
        <f t="shared" si="120"/>
        <v>0</v>
      </c>
      <c r="AP196" s="10">
        <f t="shared" si="120"/>
        <v>0</v>
      </c>
      <c r="AQ196" s="10">
        <f t="shared" si="120"/>
        <v>0</v>
      </c>
      <c r="AR196" s="10">
        <f t="shared" si="120"/>
        <v>0</v>
      </c>
      <c r="AS196" s="10">
        <f t="shared" si="120"/>
        <v>0</v>
      </c>
      <c r="AT196" s="10">
        <f t="shared" si="120"/>
        <v>0</v>
      </c>
      <c r="AU196" s="10">
        <f t="shared" si="120"/>
        <v>0</v>
      </c>
      <c r="AV196" s="10">
        <f t="shared" si="120"/>
        <v>0</v>
      </c>
      <c r="AW196" s="10">
        <f t="shared" si="120"/>
        <v>0</v>
      </c>
      <c r="AX196" s="10">
        <f t="shared" si="120"/>
        <v>0</v>
      </c>
      <c r="AY196" s="10">
        <f t="shared" si="120"/>
        <v>0</v>
      </c>
      <c r="AZ196" s="10">
        <f t="shared" si="120"/>
        <v>0</v>
      </c>
      <c r="BA196" s="10">
        <f t="shared" si="120"/>
        <v>0</v>
      </c>
    </row>
    <row r="197" spans="1:54" ht="15.75" customHeight="1" x14ac:dyDescent="0.35">
      <c r="B197" s="2" t="s">
        <v>122</v>
      </c>
      <c r="C197" s="5"/>
      <c r="D197" s="5"/>
      <c r="E197" s="5"/>
      <c r="F197" s="5"/>
      <c r="G197" s="5"/>
      <c r="H197" s="5"/>
      <c r="I197" s="5"/>
      <c r="J197" s="5"/>
      <c r="K197" s="5"/>
      <c r="Q197" s="1">
        <f t="shared" ref="Q197:BA199" si="121">SUM(Q195:Q196)</f>
        <v>0</v>
      </c>
      <c r="R197" s="1">
        <f t="shared" si="121"/>
        <v>0</v>
      </c>
      <c r="S197" s="1">
        <f t="shared" si="121"/>
        <v>0</v>
      </c>
      <c r="T197" s="1">
        <f t="shared" si="121"/>
        <v>0</v>
      </c>
      <c r="U197" s="1">
        <f t="shared" si="121"/>
        <v>0</v>
      </c>
      <c r="V197" s="1">
        <f t="shared" si="121"/>
        <v>0</v>
      </c>
      <c r="W197" s="1">
        <f t="shared" si="121"/>
        <v>0</v>
      </c>
      <c r="X197" s="1">
        <f t="shared" si="121"/>
        <v>0</v>
      </c>
      <c r="Y197" s="1">
        <f t="shared" si="121"/>
        <v>0</v>
      </c>
      <c r="Z197" s="1">
        <f t="shared" si="121"/>
        <v>0</v>
      </c>
      <c r="AA197" s="1">
        <f t="shared" si="121"/>
        <v>0</v>
      </c>
      <c r="AB197" s="1">
        <f t="shared" si="121"/>
        <v>0</v>
      </c>
      <c r="AC197" s="1">
        <f t="shared" si="121"/>
        <v>0</v>
      </c>
      <c r="AD197" s="1">
        <f t="shared" si="121"/>
        <v>0</v>
      </c>
      <c r="AE197" s="1">
        <f t="shared" si="121"/>
        <v>0</v>
      </c>
      <c r="AF197" s="1">
        <f t="shared" si="121"/>
        <v>0</v>
      </c>
      <c r="AG197" s="1">
        <f t="shared" si="121"/>
        <v>0</v>
      </c>
      <c r="AH197" s="1">
        <f t="shared" si="121"/>
        <v>0</v>
      </c>
      <c r="AI197" s="1">
        <f t="shared" si="121"/>
        <v>0</v>
      </c>
      <c r="AJ197" s="1">
        <f t="shared" si="121"/>
        <v>0</v>
      </c>
      <c r="AK197" s="1">
        <f t="shared" si="121"/>
        <v>0</v>
      </c>
      <c r="AL197" s="1">
        <f t="shared" si="121"/>
        <v>0</v>
      </c>
      <c r="AM197" s="1">
        <f t="shared" si="121"/>
        <v>0</v>
      </c>
      <c r="AN197" s="1">
        <f t="shared" si="121"/>
        <v>0</v>
      </c>
      <c r="AO197" s="1">
        <f t="shared" si="121"/>
        <v>0</v>
      </c>
      <c r="AP197" s="1">
        <f t="shared" si="121"/>
        <v>0</v>
      </c>
      <c r="AQ197" s="1">
        <f t="shared" si="121"/>
        <v>0</v>
      </c>
      <c r="AR197" s="1">
        <f t="shared" si="121"/>
        <v>0</v>
      </c>
      <c r="AS197" s="1">
        <f t="shared" si="121"/>
        <v>0</v>
      </c>
      <c r="AT197" s="1">
        <f t="shared" si="121"/>
        <v>0</v>
      </c>
      <c r="AU197" s="1">
        <f t="shared" si="121"/>
        <v>0</v>
      </c>
      <c r="AV197" s="1">
        <f t="shared" si="121"/>
        <v>0</v>
      </c>
      <c r="AW197" s="1">
        <f t="shared" si="121"/>
        <v>0</v>
      </c>
      <c r="AX197" s="1">
        <f t="shared" si="121"/>
        <v>0</v>
      </c>
      <c r="AY197" s="1">
        <f t="shared" si="121"/>
        <v>0</v>
      </c>
      <c r="AZ197" s="1">
        <f t="shared" si="121"/>
        <v>0</v>
      </c>
      <c r="BA197" s="1">
        <f t="shared" si="121"/>
        <v>0</v>
      </c>
    </row>
    <row r="198" spans="1:54" ht="15.75" customHeight="1" x14ac:dyDescent="0.35">
      <c r="B198" s="8"/>
      <c r="C198" s="9" t="s">
        <v>120</v>
      </c>
      <c r="D198" s="9"/>
      <c r="E198" s="9"/>
      <c r="F198" s="9"/>
      <c r="G198" s="9"/>
      <c r="H198" s="9"/>
      <c r="I198" s="9"/>
      <c r="J198" s="9"/>
      <c r="K198" s="9"/>
      <c r="L198" s="8"/>
      <c r="M198" s="8"/>
      <c r="N198" s="10">
        <f>SUM(Q198:BA198)</f>
        <v>0</v>
      </c>
      <c r="O198" s="8"/>
      <c r="P198" s="8"/>
      <c r="Q198" s="10">
        <f t="shared" ref="Q198:BA198" si="122">MIN(MAX(-SUM(Q137,Q143),-Q197),0)</f>
        <v>0</v>
      </c>
      <c r="R198" s="10">
        <f t="shared" si="122"/>
        <v>0</v>
      </c>
      <c r="S198" s="10">
        <f t="shared" si="122"/>
        <v>0</v>
      </c>
      <c r="T198" s="10">
        <f t="shared" si="122"/>
        <v>0</v>
      </c>
      <c r="U198" s="10">
        <f t="shared" si="122"/>
        <v>0</v>
      </c>
      <c r="V198" s="10">
        <f t="shared" si="122"/>
        <v>0</v>
      </c>
      <c r="W198" s="10">
        <f t="shared" si="122"/>
        <v>0</v>
      </c>
      <c r="X198" s="10">
        <f t="shared" si="122"/>
        <v>0</v>
      </c>
      <c r="Y198" s="10">
        <f t="shared" si="122"/>
        <v>0</v>
      </c>
      <c r="Z198" s="10">
        <f t="shared" si="122"/>
        <v>0</v>
      </c>
      <c r="AA198" s="10">
        <f t="shared" si="122"/>
        <v>0</v>
      </c>
      <c r="AB198" s="10">
        <f t="shared" si="122"/>
        <v>0</v>
      </c>
      <c r="AC198" s="10">
        <f t="shared" si="122"/>
        <v>0</v>
      </c>
      <c r="AD198" s="10">
        <f t="shared" si="122"/>
        <v>0</v>
      </c>
      <c r="AE198" s="10">
        <f t="shared" si="122"/>
        <v>0</v>
      </c>
      <c r="AF198" s="10">
        <f t="shared" si="122"/>
        <v>0</v>
      </c>
      <c r="AG198" s="10">
        <f t="shared" si="122"/>
        <v>0</v>
      </c>
      <c r="AH198" s="10">
        <f t="shared" si="122"/>
        <v>0</v>
      </c>
      <c r="AI198" s="10">
        <f t="shared" si="122"/>
        <v>0</v>
      </c>
      <c r="AJ198" s="10">
        <f t="shared" si="122"/>
        <v>0</v>
      </c>
      <c r="AK198" s="10">
        <f t="shared" si="122"/>
        <v>0</v>
      </c>
      <c r="AL198" s="10">
        <f t="shared" si="122"/>
        <v>0</v>
      </c>
      <c r="AM198" s="10">
        <f t="shared" si="122"/>
        <v>0</v>
      </c>
      <c r="AN198" s="10">
        <f t="shared" si="122"/>
        <v>0</v>
      </c>
      <c r="AO198" s="10">
        <f t="shared" si="122"/>
        <v>0</v>
      </c>
      <c r="AP198" s="10">
        <f t="shared" si="122"/>
        <v>0</v>
      </c>
      <c r="AQ198" s="10">
        <f t="shared" si="122"/>
        <v>0</v>
      </c>
      <c r="AR198" s="10">
        <f t="shared" si="122"/>
        <v>0</v>
      </c>
      <c r="AS198" s="10">
        <f t="shared" si="122"/>
        <v>0</v>
      </c>
      <c r="AT198" s="10">
        <f t="shared" si="122"/>
        <v>0</v>
      </c>
      <c r="AU198" s="10">
        <f t="shared" si="122"/>
        <v>0</v>
      </c>
      <c r="AV198" s="10">
        <f t="shared" si="122"/>
        <v>0</v>
      </c>
      <c r="AW198" s="10">
        <f t="shared" si="122"/>
        <v>0</v>
      </c>
      <c r="AX198" s="10">
        <f t="shared" si="122"/>
        <v>0</v>
      </c>
      <c r="AY198" s="10">
        <f t="shared" si="122"/>
        <v>0</v>
      </c>
      <c r="AZ198" s="10">
        <f t="shared" si="122"/>
        <v>0</v>
      </c>
      <c r="BA198" s="10">
        <f t="shared" si="122"/>
        <v>0</v>
      </c>
    </row>
    <row r="199" spans="1:54" ht="15.75" customHeight="1" x14ac:dyDescent="0.35">
      <c r="B199" s="2" t="s">
        <v>85</v>
      </c>
      <c r="C199" s="5"/>
      <c r="D199" s="5"/>
      <c r="E199" s="5"/>
      <c r="F199" s="5"/>
      <c r="G199" s="5"/>
      <c r="H199" s="5"/>
      <c r="I199" s="5"/>
      <c r="J199" s="5"/>
      <c r="K199" s="5"/>
      <c r="Q199" s="1">
        <f t="shared" si="121"/>
        <v>0</v>
      </c>
      <c r="R199" s="1">
        <f t="shared" si="121"/>
        <v>0</v>
      </c>
      <c r="S199" s="1">
        <f t="shared" si="121"/>
        <v>0</v>
      </c>
      <c r="T199" s="1">
        <f t="shared" si="121"/>
        <v>0</v>
      </c>
      <c r="U199" s="1">
        <f t="shared" si="121"/>
        <v>0</v>
      </c>
      <c r="V199" s="1">
        <f t="shared" si="121"/>
        <v>0</v>
      </c>
      <c r="W199" s="1">
        <f t="shared" si="121"/>
        <v>0</v>
      </c>
      <c r="X199" s="1">
        <f t="shared" si="121"/>
        <v>0</v>
      </c>
      <c r="Y199" s="1">
        <f t="shared" si="121"/>
        <v>0</v>
      </c>
      <c r="Z199" s="1">
        <f t="shared" si="121"/>
        <v>0</v>
      </c>
      <c r="AA199" s="1">
        <f t="shared" si="121"/>
        <v>0</v>
      </c>
      <c r="AB199" s="1">
        <f t="shared" si="121"/>
        <v>0</v>
      </c>
      <c r="AC199" s="1">
        <f t="shared" si="121"/>
        <v>0</v>
      </c>
      <c r="AD199" s="1">
        <f t="shared" si="121"/>
        <v>0</v>
      </c>
      <c r="AE199" s="1">
        <f t="shared" si="121"/>
        <v>0</v>
      </c>
      <c r="AF199" s="1">
        <f t="shared" si="121"/>
        <v>0</v>
      </c>
      <c r="AG199" s="1">
        <f t="shared" si="121"/>
        <v>0</v>
      </c>
      <c r="AH199" s="1">
        <f t="shared" si="121"/>
        <v>0</v>
      </c>
      <c r="AI199" s="1">
        <f t="shared" si="121"/>
        <v>0</v>
      </c>
      <c r="AJ199" s="1">
        <f t="shared" si="121"/>
        <v>0</v>
      </c>
      <c r="AK199" s="1">
        <f t="shared" si="121"/>
        <v>0</v>
      </c>
      <c r="AL199" s="1">
        <f t="shared" si="121"/>
        <v>0</v>
      </c>
      <c r="AM199" s="1">
        <f t="shared" si="121"/>
        <v>0</v>
      </c>
      <c r="AN199" s="1">
        <f t="shared" si="121"/>
        <v>0</v>
      </c>
      <c r="AO199" s="1">
        <f t="shared" si="121"/>
        <v>0</v>
      </c>
      <c r="AP199" s="1">
        <f t="shared" si="121"/>
        <v>0</v>
      </c>
      <c r="AQ199" s="1">
        <f t="shared" si="121"/>
        <v>0</v>
      </c>
      <c r="AR199" s="1">
        <f t="shared" si="121"/>
        <v>0</v>
      </c>
      <c r="AS199" s="1">
        <f t="shared" si="121"/>
        <v>0</v>
      </c>
      <c r="AT199" s="1">
        <f t="shared" si="121"/>
        <v>0</v>
      </c>
      <c r="AU199" s="1">
        <f t="shared" si="121"/>
        <v>0</v>
      </c>
      <c r="AV199" s="1">
        <f t="shared" si="121"/>
        <v>0</v>
      </c>
      <c r="AW199" s="1">
        <f t="shared" si="121"/>
        <v>0</v>
      </c>
      <c r="AX199" s="1">
        <f t="shared" si="121"/>
        <v>0</v>
      </c>
      <c r="AY199" s="1">
        <f t="shared" si="121"/>
        <v>0</v>
      </c>
      <c r="AZ199" s="1">
        <f t="shared" si="121"/>
        <v>0</v>
      </c>
      <c r="BA199" s="1">
        <f t="shared" si="121"/>
        <v>0</v>
      </c>
    </row>
    <row r="200" spans="1:54" ht="15.75" customHeight="1" x14ac:dyDescent="0.35">
      <c r="B200" s="8"/>
      <c r="C200" s="9" t="s">
        <v>57</v>
      </c>
      <c r="D200" s="9"/>
      <c r="E200" s="9"/>
      <c r="F200" s="9"/>
      <c r="G200" s="9"/>
      <c r="H200" s="9"/>
      <c r="I200" s="9"/>
      <c r="J200" s="9"/>
      <c r="K200" s="9"/>
      <c r="L200" s="8"/>
      <c r="M200" s="8"/>
      <c r="N200" s="10">
        <f>SUM(Q200:BA200)</f>
        <v>0</v>
      </c>
      <c r="O200" s="8"/>
      <c r="P200" s="8"/>
      <c r="Q200" s="10">
        <f t="shared" ref="Q200:AX200" si="123">MIN(-Q199,0)</f>
        <v>0</v>
      </c>
      <c r="R200" s="10">
        <f t="shared" si="123"/>
        <v>0</v>
      </c>
      <c r="S200" s="10">
        <f t="shared" si="123"/>
        <v>0</v>
      </c>
      <c r="T200" s="10">
        <f t="shared" si="123"/>
        <v>0</v>
      </c>
      <c r="U200" s="10">
        <f t="shared" si="123"/>
        <v>0</v>
      </c>
      <c r="V200" s="10">
        <f t="shared" si="123"/>
        <v>0</v>
      </c>
      <c r="W200" s="10">
        <f t="shared" si="123"/>
        <v>0</v>
      </c>
      <c r="X200" s="10">
        <f t="shared" si="123"/>
        <v>0</v>
      </c>
      <c r="Y200" s="10">
        <f t="shared" si="123"/>
        <v>0</v>
      </c>
      <c r="Z200" s="10">
        <f t="shared" si="123"/>
        <v>0</v>
      </c>
      <c r="AA200" s="10">
        <f t="shared" si="123"/>
        <v>0</v>
      </c>
      <c r="AB200" s="10">
        <f t="shared" si="123"/>
        <v>0</v>
      </c>
      <c r="AC200" s="10">
        <f t="shared" si="123"/>
        <v>0</v>
      </c>
      <c r="AD200" s="10">
        <f t="shared" si="123"/>
        <v>0</v>
      </c>
      <c r="AE200" s="10">
        <f t="shared" si="123"/>
        <v>0</v>
      </c>
      <c r="AF200" s="10">
        <f t="shared" si="123"/>
        <v>0</v>
      </c>
      <c r="AG200" s="10">
        <f t="shared" si="123"/>
        <v>0</v>
      </c>
      <c r="AH200" s="10">
        <f t="shared" si="123"/>
        <v>0</v>
      </c>
      <c r="AI200" s="10">
        <f t="shared" si="123"/>
        <v>0</v>
      </c>
      <c r="AJ200" s="10">
        <f t="shared" si="123"/>
        <v>0</v>
      </c>
      <c r="AK200" s="10">
        <f t="shared" si="123"/>
        <v>0</v>
      </c>
      <c r="AL200" s="10">
        <f t="shared" si="123"/>
        <v>0</v>
      </c>
      <c r="AM200" s="10">
        <f t="shared" si="123"/>
        <v>0</v>
      </c>
      <c r="AN200" s="10">
        <f t="shared" si="123"/>
        <v>0</v>
      </c>
      <c r="AO200" s="10">
        <f t="shared" si="123"/>
        <v>0</v>
      </c>
      <c r="AP200" s="10">
        <f t="shared" si="123"/>
        <v>0</v>
      </c>
      <c r="AQ200" s="10">
        <f t="shared" si="123"/>
        <v>0</v>
      </c>
      <c r="AR200" s="10">
        <f t="shared" si="123"/>
        <v>0</v>
      </c>
      <c r="AS200" s="10">
        <f t="shared" si="123"/>
        <v>0</v>
      </c>
      <c r="AT200" s="10">
        <f t="shared" si="123"/>
        <v>0</v>
      </c>
      <c r="AU200" s="10">
        <f t="shared" si="123"/>
        <v>0</v>
      </c>
      <c r="AV200" s="10">
        <f t="shared" si="123"/>
        <v>0</v>
      </c>
      <c r="AW200" s="10">
        <f t="shared" si="123"/>
        <v>0</v>
      </c>
      <c r="AX200" s="10">
        <f t="shared" si="123"/>
        <v>0</v>
      </c>
      <c r="AY200" s="10">
        <f>MIN(-AY199,0)</f>
        <v>0</v>
      </c>
      <c r="AZ200" s="10">
        <f t="shared" ref="AZ200:BA200" si="124">MIN(-AZ199,0)</f>
        <v>0</v>
      </c>
      <c r="BA200" s="10">
        <f t="shared" si="124"/>
        <v>0</v>
      </c>
    </row>
    <row r="201" spans="1:54" ht="15.75" customHeight="1" x14ac:dyDescent="0.35">
      <c r="B201" s="2" t="s">
        <v>60</v>
      </c>
      <c r="C201" s="5"/>
      <c r="D201" s="5"/>
      <c r="E201" s="5"/>
      <c r="F201" s="5"/>
      <c r="G201" s="5"/>
      <c r="H201" s="5"/>
      <c r="I201" s="5"/>
      <c r="J201" s="5"/>
      <c r="K201" s="5"/>
      <c r="Q201" s="1">
        <f t="shared" ref="Q201" si="125">SUM(Q199:Q200)</f>
        <v>0</v>
      </c>
      <c r="R201" s="1">
        <f>SUM(R199:R200)</f>
        <v>0</v>
      </c>
      <c r="S201" s="1">
        <f t="shared" ref="S201:BA201" si="126">SUM(S199:S200)</f>
        <v>0</v>
      </c>
      <c r="T201" s="1">
        <f t="shared" si="126"/>
        <v>0</v>
      </c>
      <c r="U201" s="1">
        <f t="shared" si="126"/>
        <v>0</v>
      </c>
      <c r="V201" s="1">
        <f t="shared" si="126"/>
        <v>0</v>
      </c>
      <c r="W201" s="1">
        <f t="shared" si="126"/>
        <v>0</v>
      </c>
      <c r="X201" s="1">
        <f t="shared" si="126"/>
        <v>0</v>
      </c>
      <c r="Y201" s="1">
        <f t="shared" si="126"/>
        <v>0</v>
      </c>
      <c r="Z201" s="1">
        <f t="shared" si="126"/>
        <v>0</v>
      </c>
      <c r="AA201" s="1">
        <f t="shared" si="126"/>
        <v>0</v>
      </c>
      <c r="AB201" s="1">
        <f t="shared" si="126"/>
        <v>0</v>
      </c>
      <c r="AC201" s="1">
        <f t="shared" si="126"/>
        <v>0</v>
      </c>
      <c r="AD201" s="1">
        <f t="shared" si="126"/>
        <v>0</v>
      </c>
      <c r="AE201" s="1">
        <f t="shared" si="126"/>
        <v>0</v>
      </c>
      <c r="AF201" s="1">
        <f t="shared" si="126"/>
        <v>0</v>
      </c>
      <c r="AG201" s="1">
        <f t="shared" si="126"/>
        <v>0</v>
      </c>
      <c r="AH201" s="1">
        <f t="shared" si="126"/>
        <v>0</v>
      </c>
      <c r="AI201" s="1">
        <f t="shared" si="126"/>
        <v>0</v>
      </c>
      <c r="AJ201" s="1">
        <f t="shared" si="126"/>
        <v>0</v>
      </c>
      <c r="AK201" s="1">
        <f t="shared" si="126"/>
        <v>0</v>
      </c>
      <c r="AL201" s="1">
        <f t="shared" si="126"/>
        <v>0</v>
      </c>
      <c r="AM201" s="1">
        <f t="shared" si="126"/>
        <v>0</v>
      </c>
      <c r="AN201" s="1">
        <f t="shared" si="126"/>
        <v>0</v>
      </c>
      <c r="AO201" s="1">
        <f t="shared" si="126"/>
        <v>0</v>
      </c>
      <c r="AP201" s="1">
        <f t="shared" si="126"/>
        <v>0</v>
      </c>
      <c r="AQ201" s="1">
        <f t="shared" si="126"/>
        <v>0</v>
      </c>
      <c r="AR201" s="1">
        <f t="shared" si="126"/>
        <v>0</v>
      </c>
      <c r="AS201" s="1">
        <f t="shared" si="126"/>
        <v>0</v>
      </c>
      <c r="AT201" s="1">
        <f t="shared" si="126"/>
        <v>0</v>
      </c>
      <c r="AU201" s="1">
        <f t="shared" si="126"/>
        <v>0</v>
      </c>
      <c r="AV201" s="1">
        <f t="shared" si="126"/>
        <v>0</v>
      </c>
      <c r="AW201" s="1">
        <f t="shared" si="126"/>
        <v>0</v>
      </c>
      <c r="AX201" s="1">
        <f t="shared" si="126"/>
        <v>0</v>
      </c>
      <c r="AY201" s="1">
        <f t="shared" si="126"/>
        <v>0</v>
      </c>
      <c r="AZ201" s="1">
        <f t="shared" si="126"/>
        <v>0</v>
      </c>
      <c r="BA201" s="1">
        <f t="shared" si="126"/>
        <v>0</v>
      </c>
    </row>
    <row r="202" spans="1:54" x14ac:dyDescent="0.35"/>
    <row r="203" spans="1:54" ht="15.75" customHeight="1" thickBot="1" x14ac:dyDescent="0.4">
      <c r="A203" s="44" t="s">
        <v>59</v>
      </c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5"/>
    </row>
    <row r="204" spans="1:54" ht="15" thickTop="1" x14ac:dyDescent="0.35"/>
    <row r="205" spans="1:54" ht="15.75" customHeight="1" x14ac:dyDescent="0.35">
      <c r="C205" s="2" t="s">
        <v>104</v>
      </c>
      <c r="D205" s="5"/>
      <c r="E205" s="5"/>
      <c r="F205" s="5"/>
      <c r="G205" s="5"/>
      <c r="H205" s="5"/>
      <c r="I205" s="5"/>
      <c r="J205" s="5"/>
      <c r="K205" s="5"/>
      <c r="L205" s="5"/>
      <c r="N205" s="1">
        <f>SUM(Q205:BA205)</f>
        <v>0</v>
      </c>
      <c r="Q205" s="1">
        <f t="shared" ref="Q205:BA205" si="127">-Q113</f>
        <v>0</v>
      </c>
      <c r="R205" s="1">
        <f t="shared" si="127"/>
        <v>0</v>
      </c>
      <c r="S205" s="1">
        <f t="shared" si="127"/>
        <v>0</v>
      </c>
      <c r="T205" s="1">
        <f t="shared" si="127"/>
        <v>0</v>
      </c>
      <c r="U205" s="1">
        <f t="shared" si="127"/>
        <v>0</v>
      </c>
      <c r="V205" s="1">
        <f t="shared" si="127"/>
        <v>0</v>
      </c>
      <c r="W205" s="1">
        <f t="shared" si="127"/>
        <v>0</v>
      </c>
      <c r="X205" s="1">
        <f t="shared" si="127"/>
        <v>0</v>
      </c>
      <c r="Y205" s="1">
        <f t="shared" si="127"/>
        <v>0</v>
      </c>
      <c r="Z205" s="1">
        <f t="shared" si="127"/>
        <v>0</v>
      </c>
      <c r="AA205" s="1">
        <f t="shared" si="127"/>
        <v>0</v>
      </c>
      <c r="AB205" s="1">
        <f t="shared" si="127"/>
        <v>0</v>
      </c>
      <c r="AC205" s="1">
        <f t="shared" si="127"/>
        <v>0</v>
      </c>
      <c r="AD205" s="1">
        <f t="shared" si="127"/>
        <v>0</v>
      </c>
      <c r="AE205" s="1">
        <f t="shared" si="127"/>
        <v>0</v>
      </c>
      <c r="AF205" s="1">
        <f t="shared" si="127"/>
        <v>0</v>
      </c>
      <c r="AG205" s="1">
        <f t="shared" si="127"/>
        <v>0</v>
      </c>
      <c r="AH205" s="1">
        <f t="shared" si="127"/>
        <v>0</v>
      </c>
      <c r="AI205" s="1">
        <f t="shared" si="127"/>
        <v>0</v>
      </c>
      <c r="AJ205" s="1">
        <f t="shared" si="127"/>
        <v>0</v>
      </c>
      <c r="AK205" s="1">
        <f t="shared" si="127"/>
        <v>0</v>
      </c>
      <c r="AL205" s="1">
        <f t="shared" si="127"/>
        <v>0</v>
      </c>
      <c r="AM205" s="1">
        <f t="shared" si="127"/>
        <v>0</v>
      </c>
      <c r="AN205" s="1">
        <f t="shared" si="127"/>
        <v>0</v>
      </c>
      <c r="AO205" s="1">
        <f t="shared" si="127"/>
        <v>0</v>
      </c>
      <c r="AP205" s="1">
        <f t="shared" si="127"/>
        <v>0</v>
      </c>
      <c r="AQ205" s="1">
        <f t="shared" si="127"/>
        <v>0</v>
      </c>
      <c r="AR205" s="1">
        <f t="shared" si="127"/>
        <v>0</v>
      </c>
      <c r="AS205" s="1">
        <f t="shared" si="127"/>
        <v>0</v>
      </c>
      <c r="AT205" s="1">
        <f t="shared" si="127"/>
        <v>0</v>
      </c>
      <c r="AU205" s="1">
        <f t="shared" si="127"/>
        <v>0</v>
      </c>
      <c r="AV205" s="1">
        <f t="shared" si="127"/>
        <v>0</v>
      </c>
      <c r="AW205" s="1">
        <f t="shared" si="127"/>
        <v>0</v>
      </c>
      <c r="AX205" s="1">
        <f t="shared" si="127"/>
        <v>0</v>
      </c>
      <c r="AY205" s="1">
        <f t="shared" si="127"/>
        <v>0</v>
      </c>
      <c r="AZ205" s="1">
        <f t="shared" si="127"/>
        <v>0</v>
      </c>
      <c r="BA205" s="1">
        <f t="shared" si="127"/>
        <v>0</v>
      </c>
    </row>
    <row r="206" spans="1:54" ht="15.75" customHeight="1" x14ac:dyDescent="0.35">
      <c r="C206" s="2" t="s">
        <v>21</v>
      </c>
      <c r="D206" s="5"/>
      <c r="E206" s="5"/>
      <c r="F206" s="5"/>
      <c r="G206" s="5"/>
      <c r="H206" s="5"/>
      <c r="I206" s="5"/>
      <c r="J206" s="5"/>
      <c r="K206" s="5"/>
      <c r="L206" s="5"/>
      <c r="N206" s="1">
        <f>SUM(Q206:BA206)</f>
        <v>0</v>
      </c>
      <c r="Q206" s="1">
        <f t="shared" ref="Q206:BA206" si="128">-Q194</f>
        <v>0</v>
      </c>
      <c r="R206" s="1">
        <f t="shared" si="128"/>
        <v>0</v>
      </c>
      <c r="S206" s="1">
        <f t="shared" si="128"/>
        <v>0</v>
      </c>
      <c r="T206" s="1">
        <f t="shared" si="128"/>
        <v>0</v>
      </c>
      <c r="U206" s="1">
        <f t="shared" si="128"/>
        <v>0</v>
      </c>
      <c r="V206" s="1">
        <f t="shared" si="128"/>
        <v>0</v>
      </c>
      <c r="W206" s="1">
        <f t="shared" si="128"/>
        <v>0</v>
      </c>
      <c r="X206" s="1">
        <f t="shared" si="128"/>
        <v>0</v>
      </c>
      <c r="Y206" s="1">
        <f t="shared" si="128"/>
        <v>0</v>
      </c>
      <c r="Z206" s="1">
        <f t="shared" si="128"/>
        <v>0</v>
      </c>
      <c r="AA206" s="1">
        <f t="shared" si="128"/>
        <v>0</v>
      </c>
      <c r="AB206" s="1">
        <f t="shared" si="128"/>
        <v>0</v>
      </c>
      <c r="AC206" s="1">
        <f t="shared" si="128"/>
        <v>0</v>
      </c>
      <c r="AD206" s="1">
        <f t="shared" si="128"/>
        <v>0</v>
      </c>
      <c r="AE206" s="1">
        <f t="shared" si="128"/>
        <v>0</v>
      </c>
      <c r="AF206" s="1">
        <f t="shared" si="128"/>
        <v>0</v>
      </c>
      <c r="AG206" s="1">
        <f t="shared" si="128"/>
        <v>0</v>
      </c>
      <c r="AH206" s="1">
        <f t="shared" si="128"/>
        <v>0</v>
      </c>
      <c r="AI206" s="1">
        <f t="shared" si="128"/>
        <v>0</v>
      </c>
      <c r="AJ206" s="1">
        <f t="shared" si="128"/>
        <v>0</v>
      </c>
      <c r="AK206" s="1">
        <f t="shared" si="128"/>
        <v>0</v>
      </c>
      <c r="AL206" s="1">
        <f t="shared" si="128"/>
        <v>0</v>
      </c>
      <c r="AM206" s="1">
        <f t="shared" si="128"/>
        <v>0</v>
      </c>
      <c r="AN206" s="1">
        <f t="shared" si="128"/>
        <v>0</v>
      </c>
      <c r="AO206" s="1">
        <f t="shared" si="128"/>
        <v>0</v>
      </c>
      <c r="AP206" s="1">
        <f t="shared" si="128"/>
        <v>0</v>
      </c>
      <c r="AQ206" s="1">
        <f t="shared" si="128"/>
        <v>0</v>
      </c>
      <c r="AR206" s="1">
        <f t="shared" si="128"/>
        <v>0</v>
      </c>
      <c r="AS206" s="1">
        <f t="shared" si="128"/>
        <v>0</v>
      </c>
      <c r="AT206" s="1">
        <f t="shared" si="128"/>
        <v>0</v>
      </c>
      <c r="AU206" s="1">
        <f t="shared" si="128"/>
        <v>0</v>
      </c>
      <c r="AV206" s="1">
        <f t="shared" si="128"/>
        <v>0</v>
      </c>
      <c r="AW206" s="1">
        <f t="shared" si="128"/>
        <v>0</v>
      </c>
      <c r="AX206" s="1">
        <f t="shared" si="128"/>
        <v>0</v>
      </c>
      <c r="AY206" s="1">
        <f t="shared" si="128"/>
        <v>0</v>
      </c>
      <c r="AZ206" s="1">
        <f t="shared" si="128"/>
        <v>0</v>
      </c>
      <c r="BA206" s="1">
        <f t="shared" si="128"/>
        <v>0</v>
      </c>
    </row>
    <row r="207" spans="1:54" ht="15.75" customHeight="1" x14ac:dyDescent="0.35">
      <c r="B207" s="8"/>
      <c r="C207" s="8" t="s">
        <v>57</v>
      </c>
      <c r="D207" s="9"/>
      <c r="E207" s="9"/>
      <c r="F207" s="9"/>
      <c r="G207" s="9"/>
      <c r="H207" s="9"/>
      <c r="I207" s="9"/>
      <c r="J207" s="9"/>
      <c r="K207" s="9"/>
      <c r="L207" s="9"/>
      <c r="M207" s="8"/>
      <c r="N207" s="10">
        <f>SUM(Q207:BA207)</f>
        <v>0</v>
      </c>
      <c r="O207" s="8"/>
      <c r="P207" s="8"/>
      <c r="Q207" s="10">
        <f t="shared" ref="Q207:BA207" si="129">-Q116</f>
        <v>0</v>
      </c>
      <c r="R207" s="10">
        <f t="shared" si="129"/>
        <v>0</v>
      </c>
      <c r="S207" s="10">
        <f t="shared" si="129"/>
        <v>0</v>
      </c>
      <c r="T207" s="10">
        <f t="shared" si="129"/>
        <v>0</v>
      </c>
      <c r="U207" s="10">
        <f t="shared" si="129"/>
        <v>0</v>
      </c>
      <c r="V207" s="10">
        <f t="shared" si="129"/>
        <v>0</v>
      </c>
      <c r="W207" s="10">
        <f t="shared" si="129"/>
        <v>0</v>
      </c>
      <c r="X207" s="10">
        <f t="shared" si="129"/>
        <v>0</v>
      </c>
      <c r="Y207" s="10">
        <f t="shared" si="129"/>
        <v>0</v>
      </c>
      <c r="Z207" s="10">
        <f t="shared" si="129"/>
        <v>0</v>
      </c>
      <c r="AA207" s="10">
        <f t="shared" si="129"/>
        <v>0</v>
      </c>
      <c r="AB207" s="10">
        <f t="shared" si="129"/>
        <v>0</v>
      </c>
      <c r="AC207" s="10">
        <f t="shared" si="129"/>
        <v>0</v>
      </c>
      <c r="AD207" s="10">
        <f t="shared" si="129"/>
        <v>0</v>
      </c>
      <c r="AE207" s="10">
        <f t="shared" si="129"/>
        <v>0</v>
      </c>
      <c r="AF207" s="10">
        <f t="shared" si="129"/>
        <v>0</v>
      </c>
      <c r="AG207" s="10">
        <f t="shared" si="129"/>
        <v>0</v>
      </c>
      <c r="AH207" s="10">
        <f t="shared" si="129"/>
        <v>0</v>
      </c>
      <c r="AI207" s="10">
        <f t="shared" si="129"/>
        <v>0</v>
      </c>
      <c r="AJ207" s="10">
        <f t="shared" si="129"/>
        <v>0</v>
      </c>
      <c r="AK207" s="10">
        <f t="shared" si="129"/>
        <v>0</v>
      </c>
      <c r="AL207" s="10">
        <f t="shared" si="129"/>
        <v>0</v>
      </c>
      <c r="AM207" s="10">
        <f t="shared" si="129"/>
        <v>0</v>
      </c>
      <c r="AN207" s="10">
        <f t="shared" si="129"/>
        <v>0</v>
      </c>
      <c r="AO207" s="10">
        <f t="shared" si="129"/>
        <v>0</v>
      </c>
      <c r="AP207" s="10">
        <f t="shared" si="129"/>
        <v>0</v>
      </c>
      <c r="AQ207" s="10">
        <f t="shared" si="129"/>
        <v>0</v>
      </c>
      <c r="AR207" s="10">
        <f t="shared" si="129"/>
        <v>0</v>
      </c>
      <c r="AS207" s="10">
        <f t="shared" si="129"/>
        <v>0</v>
      </c>
      <c r="AT207" s="10">
        <f t="shared" si="129"/>
        <v>0</v>
      </c>
      <c r="AU207" s="10">
        <f t="shared" si="129"/>
        <v>0</v>
      </c>
      <c r="AV207" s="10">
        <f t="shared" si="129"/>
        <v>0</v>
      </c>
      <c r="AW207" s="10">
        <f t="shared" si="129"/>
        <v>0</v>
      </c>
      <c r="AX207" s="10">
        <f t="shared" si="129"/>
        <v>0</v>
      </c>
      <c r="AY207" s="10">
        <f t="shared" si="129"/>
        <v>0</v>
      </c>
      <c r="AZ207" s="10">
        <f t="shared" si="129"/>
        <v>0</v>
      </c>
      <c r="BA207" s="10">
        <f t="shared" si="129"/>
        <v>0</v>
      </c>
    </row>
    <row r="208" spans="1:54" ht="15.75" customHeight="1" x14ac:dyDescent="0.35">
      <c r="B208" s="2" t="s">
        <v>22</v>
      </c>
      <c r="D208" s="5"/>
      <c r="E208" s="5"/>
      <c r="F208" s="5"/>
      <c r="G208" s="5"/>
      <c r="H208" s="5"/>
      <c r="I208" s="5"/>
      <c r="J208" s="5"/>
      <c r="K208" s="5"/>
      <c r="L208" s="5"/>
      <c r="N208" s="11">
        <f>SUM(Q208:BA208)</f>
        <v>0</v>
      </c>
      <c r="Q208" s="11">
        <f t="shared" ref="Q208:BA208" si="130">SUM(Q205:Q207)</f>
        <v>0</v>
      </c>
      <c r="R208" s="11">
        <f t="shared" si="130"/>
        <v>0</v>
      </c>
      <c r="S208" s="11">
        <f t="shared" si="130"/>
        <v>0</v>
      </c>
      <c r="T208" s="11">
        <f t="shared" si="130"/>
        <v>0</v>
      </c>
      <c r="U208" s="11">
        <f t="shared" si="130"/>
        <v>0</v>
      </c>
      <c r="V208" s="11">
        <f t="shared" si="130"/>
        <v>0</v>
      </c>
      <c r="W208" s="11">
        <f t="shared" si="130"/>
        <v>0</v>
      </c>
      <c r="X208" s="11">
        <f t="shared" si="130"/>
        <v>0</v>
      </c>
      <c r="Y208" s="11">
        <f t="shared" si="130"/>
        <v>0</v>
      </c>
      <c r="Z208" s="11">
        <f t="shared" si="130"/>
        <v>0</v>
      </c>
      <c r="AA208" s="11">
        <f t="shared" si="130"/>
        <v>0</v>
      </c>
      <c r="AB208" s="11">
        <f t="shared" si="130"/>
        <v>0</v>
      </c>
      <c r="AC208" s="11">
        <f t="shared" si="130"/>
        <v>0</v>
      </c>
      <c r="AD208" s="11">
        <f t="shared" si="130"/>
        <v>0</v>
      </c>
      <c r="AE208" s="11">
        <f t="shared" si="130"/>
        <v>0</v>
      </c>
      <c r="AF208" s="11">
        <f t="shared" si="130"/>
        <v>0</v>
      </c>
      <c r="AG208" s="11">
        <f t="shared" si="130"/>
        <v>0</v>
      </c>
      <c r="AH208" s="11">
        <f t="shared" si="130"/>
        <v>0</v>
      </c>
      <c r="AI208" s="11">
        <f t="shared" si="130"/>
        <v>0</v>
      </c>
      <c r="AJ208" s="11">
        <f t="shared" si="130"/>
        <v>0</v>
      </c>
      <c r="AK208" s="11">
        <f t="shared" si="130"/>
        <v>0</v>
      </c>
      <c r="AL208" s="11">
        <f t="shared" si="130"/>
        <v>0</v>
      </c>
      <c r="AM208" s="11">
        <f t="shared" si="130"/>
        <v>0</v>
      </c>
      <c r="AN208" s="11">
        <f t="shared" si="130"/>
        <v>0</v>
      </c>
      <c r="AO208" s="11">
        <f t="shared" si="130"/>
        <v>0</v>
      </c>
      <c r="AP208" s="11">
        <f t="shared" si="130"/>
        <v>0</v>
      </c>
      <c r="AQ208" s="11">
        <f t="shared" si="130"/>
        <v>0</v>
      </c>
      <c r="AR208" s="11">
        <f t="shared" si="130"/>
        <v>0</v>
      </c>
      <c r="AS208" s="11">
        <f t="shared" si="130"/>
        <v>0</v>
      </c>
      <c r="AT208" s="11">
        <f t="shared" si="130"/>
        <v>0</v>
      </c>
      <c r="AU208" s="11">
        <f t="shared" si="130"/>
        <v>0</v>
      </c>
      <c r="AV208" s="11">
        <f t="shared" si="130"/>
        <v>0</v>
      </c>
      <c r="AW208" s="11">
        <f t="shared" si="130"/>
        <v>0</v>
      </c>
      <c r="AX208" s="11">
        <f t="shared" si="130"/>
        <v>0</v>
      </c>
      <c r="AY208" s="11">
        <f t="shared" si="130"/>
        <v>0</v>
      </c>
      <c r="AZ208" s="11">
        <f t="shared" si="130"/>
        <v>0</v>
      </c>
      <c r="BA208" s="11">
        <f t="shared" si="130"/>
        <v>0</v>
      </c>
    </row>
    <row r="209" spans="2:14" x14ac:dyDescent="0.35"/>
    <row r="210" spans="2:14" ht="15.75" customHeight="1" x14ac:dyDescent="0.35">
      <c r="B210" s="2" t="s">
        <v>58</v>
      </c>
      <c r="D210" s="5"/>
      <c r="E210" s="5"/>
      <c r="F210" s="5"/>
      <c r="G210" s="5"/>
      <c r="H210" s="5"/>
      <c r="I210" s="5"/>
      <c r="J210" s="5"/>
      <c r="K210" s="5"/>
      <c r="L210" s="5"/>
      <c r="N210" s="12">
        <f>IFERROR(IRR(Q208:BA208),0)</f>
        <v>0</v>
      </c>
    </row>
    <row r="211" spans="2:14" x14ac:dyDescent="0.35"/>
  </sheetData>
  <sheetProtection algorithmName="SHA-512" hashValue="w7N9kyTgFLLFAVFB8+C+cXswNJSveItulgcNQmqTStkJzNTuL/82ynjWlyxSs39FGxkOegv3ayuTwdjYLZdW/Q==" saltValue="m8vUArjwo6TgPnUfDh2iL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D219-A72E-4AF3-B39D-B04B0DDA7647}">
  <sheetPr codeName="Sheet7">
    <tabColor rgb="FF475493"/>
  </sheetPr>
  <dimension ref="A1:BB211"/>
  <sheetViews>
    <sheetView zoomScale="70" zoomScaleNormal="70" workbookViewId="0">
      <pane xSplit="15" ySplit="2" topLeftCell="P3" activePane="bottomRight" state="frozen"/>
      <selection activeCell="L41" sqref="L41"/>
      <selection pane="topRight" activeCell="L41" sqref="L41"/>
      <selection pane="bottomLeft" activeCell="L41" sqref="L41"/>
      <selection pane="bottomRight" activeCell="J34" sqref="J34"/>
    </sheetView>
  </sheetViews>
  <sheetFormatPr defaultColWidth="0" defaultRowHeight="14.5" zeroHeight="1" outlineLevelRow="1" x14ac:dyDescent="0.35"/>
  <cols>
    <col min="1" max="1" width="2.81640625" style="2" customWidth="1"/>
    <col min="2" max="2" width="1.81640625" style="2" customWidth="1"/>
    <col min="3" max="5" width="3.453125" style="2" customWidth="1"/>
    <col min="6" max="11" width="9.1796875" style="2" customWidth="1"/>
    <col min="12" max="12" width="15.1796875" style="2" customWidth="1"/>
    <col min="13" max="13" width="12.81640625" style="2" bestFit="1" customWidth="1"/>
    <col min="14" max="14" width="16" style="2" customWidth="1"/>
    <col min="15" max="15" width="3.26953125" style="2" customWidth="1"/>
    <col min="16" max="16" width="9.1796875" style="2" customWidth="1"/>
    <col min="17" max="53" width="14.7265625" style="2" customWidth="1"/>
    <col min="54" max="54" width="0" hidden="1" customWidth="1"/>
    <col min="55" max="16384" width="9.1796875" hidden="1"/>
  </cols>
  <sheetData>
    <row r="1" spans="1:54" ht="15.75" customHeight="1" x14ac:dyDescent="0.35">
      <c r="A1" s="32" t="s">
        <v>192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 t="s">
        <v>0</v>
      </c>
      <c r="N1" s="35"/>
      <c r="O1" s="35"/>
      <c r="P1" s="35"/>
      <c r="Q1" s="35">
        <f>'zakładka techniczna'!Q1</f>
        <v>2024</v>
      </c>
      <c r="R1" s="35">
        <f>'zakładka techniczna'!R1</f>
        <v>2025</v>
      </c>
      <c r="S1" s="35">
        <f>'zakładka techniczna'!S1</f>
        <v>2026</v>
      </c>
      <c r="T1" s="35">
        <f>'zakładka techniczna'!T1</f>
        <v>2027</v>
      </c>
      <c r="U1" s="35">
        <f>'zakładka techniczna'!U1</f>
        <v>2028</v>
      </c>
      <c r="V1" s="35">
        <f>'zakładka techniczna'!V1</f>
        <v>2029</v>
      </c>
      <c r="W1" s="35">
        <f>'zakładka techniczna'!W1</f>
        <v>2030</v>
      </c>
      <c r="X1" s="35">
        <f>'zakładka techniczna'!X1</f>
        <v>2031</v>
      </c>
      <c r="Y1" s="35">
        <f>'zakładka techniczna'!Y1</f>
        <v>2032</v>
      </c>
      <c r="Z1" s="35">
        <f>'zakładka techniczna'!Z1</f>
        <v>2033</v>
      </c>
      <c r="AA1" s="35">
        <f>'zakładka techniczna'!AA1</f>
        <v>2034</v>
      </c>
      <c r="AB1" s="35">
        <f>'zakładka techniczna'!AB1</f>
        <v>2035</v>
      </c>
      <c r="AC1" s="35">
        <f>'zakładka techniczna'!AC1</f>
        <v>2036</v>
      </c>
      <c r="AD1" s="35">
        <f>'zakładka techniczna'!AD1</f>
        <v>2037</v>
      </c>
      <c r="AE1" s="35">
        <f>'zakładka techniczna'!AE1</f>
        <v>2038</v>
      </c>
      <c r="AF1" s="35">
        <f>'zakładka techniczna'!AF1</f>
        <v>2039</v>
      </c>
      <c r="AG1" s="35">
        <f>'zakładka techniczna'!AG1</f>
        <v>2040</v>
      </c>
      <c r="AH1" s="35">
        <f>'zakładka techniczna'!AH1</f>
        <v>2041</v>
      </c>
      <c r="AI1" s="35">
        <f>'zakładka techniczna'!AI1</f>
        <v>2042</v>
      </c>
      <c r="AJ1" s="35">
        <f>'zakładka techniczna'!AJ1</f>
        <v>2043</v>
      </c>
      <c r="AK1" s="35">
        <f>'zakładka techniczna'!AK1</f>
        <v>2044</v>
      </c>
      <c r="AL1" s="35">
        <f>'zakładka techniczna'!AL1</f>
        <v>2045</v>
      </c>
      <c r="AM1" s="35">
        <f>'zakładka techniczna'!AM1</f>
        <v>2046</v>
      </c>
      <c r="AN1" s="35">
        <f>'zakładka techniczna'!AN1</f>
        <v>2047</v>
      </c>
      <c r="AO1" s="35">
        <f>'zakładka techniczna'!AO1</f>
        <v>2048</v>
      </c>
      <c r="AP1" s="35">
        <f>'zakładka techniczna'!AP1</f>
        <v>2049</v>
      </c>
      <c r="AQ1" s="35">
        <f>'zakładka techniczna'!AQ1</f>
        <v>2050</v>
      </c>
      <c r="AR1" s="35">
        <f>'zakładka techniczna'!AR1</f>
        <v>2051</v>
      </c>
      <c r="AS1" s="35">
        <f>'zakładka techniczna'!AS1</f>
        <v>2052</v>
      </c>
      <c r="AT1" s="35">
        <f>'zakładka techniczna'!AT1</f>
        <v>2053</v>
      </c>
      <c r="AU1" s="35">
        <f>'zakładka techniczna'!AU1</f>
        <v>2054</v>
      </c>
      <c r="AV1" s="35">
        <f>'zakładka techniczna'!AV1</f>
        <v>2055</v>
      </c>
      <c r="AW1" s="35">
        <f>'zakładka techniczna'!AW1</f>
        <v>2056</v>
      </c>
      <c r="AX1" s="35">
        <f>'zakładka techniczna'!AX1</f>
        <v>2057</v>
      </c>
      <c r="AY1" s="35">
        <f>'zakładka techniczna'!AY1</f>
        <v>2058</v>
      </c>
      <c r="AZ1" s="35">
        <f>'zakładka techniczna'!AZ1</f>
        <v>2059</v>
      </c>
      <c r="BA1" s="35">
        <f>'zakładka techniczna'!BA1</f>
        <v>2060</v>
      </c>
      <c r="BB1" s="42"/>
    </row>
    <row r="2" spans="1:54" ht="15.75" customHeight="1" collapsed="1" x14ac:dyDescent="0.35">
      <c r="A2" s="32" t="s">
        <v>129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 t="s">
        <v>112</v>
      </c>
      <c r="N2" s="66" t="str">
        <f>Założenia!$I$7</f>
        <v>PLN</v>
      </c>
      <c r="O2" s="33"/>
      <c r="P2" s="35"/>
      <c r="Q2" s="41" t="str">
        <f>'zakładka techniczna'!Q88</f>
        <v/>
      </c>
      <c r="R2" s="41" t="str">
        <f>'zakładka techniczna'!R88</f>
        <v>Projektowanie</v>
      </c>
      <c r="S2" s="41" t="str">
        <f>'zakładka techniczna'!S88</f>
        <v>Budowa</v>
      </c>
      <c r="T2" s="41" t="str">
        <f>'zakładka techniczna'!T88</f>
        <v>Eksploatacja</v>
      </c>
      <c r="U2" s="41" t="str">
        <f>'zakładka techniczna'!U88</f>
        <v/>
      </c>
      <c r="V2" s="41" t="str">
        <f>'zakładka techniczna'!V88</f>
        <v/>
      </c>
      <c r="W2" s="41" t="str">
        <f>'zakładka techniczna'!W88</f>
        <v/>
      </c>
      <c r="X2" s="41" t="str">
        <f>'zakładka techniczna'!X88</f>
        <v/>
      </c>
      <c r="Y2" s="41" t="str">
        <f>'zakładka techniczna'!Y88</f>
        <v/>
      </c>
      <c r="Z2" s="41" t="str">
        <f>'zakładka techniczna'!Z88</f>
        <v/>
      </c>
      <c r="AA2" s="41" t="str">
        <f>'zakładka techniczna'!AA88</f>
        <v/>
      </c>
      <c r="AB2" s="41" t="str">
        <f>'zakładka techniczna'!AB88</f>
        <v/>
      </c>
      <c r="AC2" s="41" t="str">
        <f>'zakładka techniczna'!AC88</f>
        <v/>
      </c>
      <c r="AD2" s="41" t="str">
        <f>'zakładka techniczna'!AD88</f>
        <v/>
      </c>
      <c r="AE2" s="41" t="str">
        <f>'zakładka techniczna'!AE88</f>
        <v/>
      </c>
      <c r="AF2" s="41" t="str">
        <f>'zakładka techniczna'!AF88</f>
        <v/>
      </c>
      <c r="AG2" s="41" t="str">
        <f>'zakładka techniczna'!AG88</f>
        <v/>
      </c>
      <c r="AH2" s="41" t="str">
        <f>'zakładka techniczna'!AH88</f>
        <v/>
      </c>
      <c r="AI2" s="41" t="str">
        <f>'zakładka techniczna'!AI88</f>
        <v/>
      </c>
      <c r="AJ2" s="41" t="str">
        <f>'zakładka techniczna'!AJ88</f>
        <v/>
      </c>
      <c r="AK2" s="41" t="str">
        <f>'zakładka techniczna'!AK88</f>
        <v/>
      </c>
      <c r="AL2" s="41" t="str">
        <f>'zakładka techniczna'!AL88</f>
        <v/>
      </c>
      <c r="AM2" s="41" t="str">
        <f>'zakładka techniczna'!AM88</f>
        <v/>
      </c>
      <c r="AN2" s="41" t="str">
        <f>'zakładka techniczna'!AN88</f>
        <v/>
      </c>
      <c r="AO2" s="41" t="str">
        <f>'zakładka techniczna'!AO88</f>
        <v/>
      </c>
      <c r="AP2" s="41" t="str">
        <f>'zakładka techniczna'!AP88</f>
        <v/>
      </c>
      <c r="AQ2" s="41" t="str">
        <f>'zakładka techniczna'!AQ88</f>
        <v/>
      </c>
      <c r="AR2" s="41" t="str">
        <f>'zakładka techniczna'!AR88</f>
        <v/>
      </c>
      <c r="AS2" s="41" t="str">
        <f>'zakładka techniczna'!AS88</f>
        <v/>
      </c>
      <c r="AT2" s="41" t="str">
        <f>'zakładka techniczna'!AT88</f>
        <v/>
      </c>
      <c r="AU2" s="41" t="str">
        <f>'zakładka techniczna'!AU88</f>
        <v/>
      </c>
      <c r="AV2" s="41" t="str">
        <f>'zakładka techniczna'!AV88</f>
        <v/>
      </c>
      <c r="AW2" s="41" t="str">
        <f>'zakładka techniczna'!AW88</f>
        <v/>
      </c>
      <c r="AX2" s="41" t="str">
        <f>'zakładka techniczna'!AX88</f>
        <v/>
      </c>
      <c r="AY2" s="41" t="str">
        <f>'zakładka techniczna'!AY88</f>
        <v/>
      </c>
      <c r="AZ2" s="41" t="str">
        <f>'zakładka techniczna'!AZ88</f>
        <v/>
      </c>
      <c r="BA2" s="41" t="str">
        <f>'zakładka techniczna'!BA88</f>
        <v/>
      </c>
      <c r="BB2" s="43"/>
    </row>
    <row r="3" spans="1:54" x14ac:dyDescent="0.35"/>
    <row r="4" spans="1:54" ht="15" thickBot="1" x14ac:dyDescent="0.4">
      <c r="A4" s="44" t="s">
        <v>62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5"/>
    </row>
    <row r="5" spans="1:54" ht="15" thickTop="1" x14ac:dyDescent="0.35"/>
    <row r="6" spans="1:54" ht="15.75" customHeight="1" x14ac:dyDescent="0.35">
      <c r="A6" s="3" t="s">
        <v>4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4">
        <f>SUM(Q6:BA6)</f>
        <v>0</v>
      </c>
      <c r="O6" s="3"/>
      <c r="P6" s="3"/>
      <c r="Q6" s="4">
        <f t="shared" ref="Q6:BA6" si="0">SUM(Q7:Q9)</f>
        <v>0</v>
      </c>
      <c r="R6" s="4">
        <f t="shared" si="0"/>
        <v>0</v>
      </c>
      <c r="S6" s="4">
        <f t="shared" si="0"/>
        <v>0</v>
      </c>
      <c r="T6" s="4">
        <f t="shared" si="0"/>
        <v>0</v>
      </c>
      <c r="U6" s="4">
        <f t="shared" si="0"/>
        <v>0</v>
      </c>
      <c r="V6" s="4">
        <f t="shared" si="0"/>
        <v>0</v>
      </c>
      <c r="W6" s="4">
        <f t="shared" si="0"/>
        <v>0</v>
      </c>
      <c r="X6" s="4">
        <f t="shared" si="0"/>
        <v>0</v>
      </c>
      <c r="Y6" s="4">
        <f t="shared" si="0"/>
        <v>0</v>
      </c>
      <c r="Z6" s="4">
        <f t="shared" si="0"/>
        <v>0</v>
      </c>
      <c r="AA6" s="4">
        <f t="shared" si="0"/>
        <v>0</v>
      </c>
      <c r="AB6" s="4">
        <f t="shared" si="0"/>
        <v>0</v>
      </c>
      <c r="AC6" s="4">
        <f t="shared" si="0"/>
        <v>0</v>
      </c>
      <c r="AD6" s="4">
        <f t="shared" si="0"/>
        <v>0</v>
      </c>
      <c r="AE6" s="4">
        <f t="shared" si="0"/>
        <v>0</v>
      </c>
      <c r="AF6" s="4">
        <f t="shared" si="0"/>
        <v>0</v>
      </c>
      <c r="AG6" s="4">
        <f t="shared" si="0"/>
        <v>0</v>
      </c>
      <c r="AH6" s="4">
        <f t="shared" si="0"/>
        <v>0</v>
      </c>
      <c r="AI6" s="4">
        <f t="shared" si="0"/>
        <v>0</v>
      </c>
      <c r="AJ6" s="4">
        <f t="shared" si="0"/>
        <v>0</v>
      </c>
      <c r="AK6" s="4">
        <f t="shared" si="0"/>
        <v>0</v>
      </c>
      <c r="AL6" s="4">
        <f t="shared" si="0"/>
        <v>0</v>
      </c>
      <c r="AM6" s="4">
        <f t="shared" si="0"/>
        <v>0</v>
      </c>
      <c r="AN6" s="4">
        <f t="shared" si="0"/>
        <v>0</v>
      </c>
      <c r="AO6" s="4">
        <f t="shared" si="0"/>
        <v>0</v>
      </c>
      <c r="AP6" s="4">
        <f t="shared" si="0"/>
        <v>0</v>
      </c>
      <c r="AQ6" s="4">
        <f t="shared" si="0"/>
        <v>0</v>
      </c>
      <c r="AR6" s="4">
        <f t="shared" si="0"/>
        <v>0</v>
      </c>
      <c r="AS6" s="4">
        <f t="shared" si="0"/>
        <v>0</v>
      </c>
      <c r="AT6" s="4">
        <f t="shared" si="0"/>
        <v>0</v>
      </c>
      <c r="AU6" s="4">
        <f t="shared" si="0"/>
        <v>0</v>
      </c>
      <c r="AV6" s="4">
        <f t="shared" si="0"/>
        <v>0</v>
      </c>
      <c r="AW6" s="4">
        <f t="shared" si="0"/>
        <v>0</v>
      </c>
      <c r="AX6" s="4">
        <f t="shared" si="0"/>
        <v>0</v>
      </c>
      <c r="AY6" s="4">
        <f t="shared" si="0"/>
        <v>0</v>
      </c>
      <c r="AZ6" s="4">
        <f t="shared" si="0"/>
        <v>0</v>
      </c>
      <c r="BA6" s="4">
        <f t="shared" si="0"/>
        <v>0</v>
      </c>
    </row>
    <row r="7" spans="1:54" ht="15.75" customHeight="1" x14ac:dyDescent="0.35">
      <c r="A7" s="5"/>
      <c r="B7" s="5" t="s">
        <v>1</v>
      </c>
      <c r="C7" s="5"/>
      <c r="D7" s="5"/>
      <c r="E7" s="5"/>
      <c r="F7" s="5"/>
      <c r="G7" s="5"/>
      <c r="H7" s="5"/>
      <c r="I7" s="5"/>
      <c r="J7" s="5"/>
      <c r="K7" s="5"/>
      <c r="L7" s="5"/>
      <c r="N7" s="1">
        <f>SUM(Q7:BA7)</f>
        <v>0</v>
      </c>
      <c r="O7" s="5"/>
      <c r="Q7" s="1">
        <f>SUM($Q$66:Q66)*OBk.w3</f>
        <v>0</v>
      </c>
      <c r="R7" s="1">
        <f>SUM($Q$66:R66)*OBk.w3</f>
        <v>0</v>
      </c>
      <c r="S7" s="1">
        <f>SUM($Q$66:S66)*OBk.w3</f>
        <v>0</v>
      </c>
      <c r="T7" s="1">
        <f>SUM($Q$66:T66)*OBk.w3</f>
        <v>0</v>
      </c>
      <c r="U7" s="1">
        <f>SUM($Q$66:U66)*OBk.w3</f>
        <v>0</v>
      </c>
      <c r="V7" s="1">
        <f>SUM($Q$66:V66)*OBk.w3</f>
        <v>0</v>
      </c>
      <c r="W7" s="1">
        <f>SUM($Q$66:W66)*OBk.w3</f>
        <v>0</v>
      </c>
      <c r="X7" s="1">
        <f>SUM($Q$66:X66)*OBk.w3</f>
        <v>0</v>
      </c>
      <c r="Y7" s="1">
        <f>SUM($Q$66:Y66)*OBk.w3</f>
        <v>0</v>
      </c>
      <c r="Z7" s="1">
        <f>SUM($Q$66:Z66)*OBk.w3</f>
        <v>0</v>
      </c>
      <c r="AA7" s="1">
        <f>SUM($Q$66:AA66)*OBk.w3</f>
        <v>0</v>
      </c>
      <c r="AB7" s="1">
        <f>SUM($Q$66:AB66)*OBk.w3</f>
        <v>0</v>
      </c>
      <c r="AC7" s="1">
        <f>SUM($Q$66:AC66)*OBk.w3</f>
        <v>0</v>
      </c>
      <c r="AD7" s="1">
        <f>SUM($Q$66:AD66)*OBk.w3</f>
        <v>0</v>
      </c>
      <c r="AE7" s="1">
        <f>SUM($Q$66:AE66)*OBk.w3</f>
        <v>0</v>
      </c>
      <c r="AF7" s="1">
        <f>SUM($Q$66:AF66)*OBk.w3</f>
        <v>0</v>
      </c>
      <c r="AG7" s="1">
        <f>SUM($Q$66:AG66)*OBk.w3</f>
        <v>0</v>
      </c>
      <c r="AH7" s="1">
        <f>SUM($Q$66:AH66)*OBk.w3</f>
        <v>0</v>
      </c>
      <c r="AI7" s="1">
        <f>SUM($Q$66:AI66)*OBk.w3</f>
        <v>0</v>
      </c>
      <c r="AJ7" s="1">
        <f>SUM($Q$66:AJ66)*OBk.w3</f>
        <v>0</v>
      </c>
      <c r="AK7" s="1">
        <f>SUM($Q$66:AK66)*OBk.w3</f>
        <v>0</v>
      </c>
      <c r="AL7" s="1">
        <f>SUM($Q$66:AL66)*OBk.w3</f>
        <v>0</v>
      </c>
      <c r="AM7" s="1">
        <f>SUM($Q$66:AM66)*OBk.w3</f>
        <v>0</v>
      </c>
      <c r="AN7" s="1">
        <f>SUM($Q$66:AN66)*OBk.w3</f>
        <v>0</v>
      </c>
      <c r="AO7" s="1">
        <f>SUM($Q$66:AO66)*OBk.w3</f>
        <v>0</v>
      </c>
      <c r="AP7" s="1">
        <f>SUM($Q$66:AP66)*OBk.w3</f>
        <v>0</v>
      </c>
      <c r="AQ7" s="1">
        <f>SUM($Q$66:AQ66)*OBk.w3</f>
        <v>0</v>
      </c>
      <c r="AR7" s="1">
        <f>SUM($Q$66:AR66)*OBk.w3</f>
        <v>0</v>
      </c>
      <c r="AS7" s="1">
        <f>SUM($Q$66:AS66)*OBk.w3</f>
        <v>0</v>
      </c>
      <c r="AT7" s="1">
        <f>SUM($Q$66:AT66)*OBk.w3</f>
        <v>0</v>
      </c>
      <c r="AU7" s="1">
        <f>SUM($Q$66:AU66)*OBk.w3</f>
        <v>0</v>
      </c>
      <c r="AV7" s="1">
        <f>SUM($Q$66:AV66)*OBk.w3</f>
        <v>0</v>
      </c>
      <c r="AW7" s="1">
        <f>SUM($Q$66:AW66)*OBk.w3</f>
        <v>0</v>
      </c>
      <c r="AX7" s="1">
        <f>SUM($Q$66:AX66)*OBk.w3</f>
        <v>0</v>
      </c>
      <c r="AY7" s="1">
        <f>SUM($Q$66:AY66)*OBk.w3</f>
        <v>0</v>
      </c>
      <c r="AZ7" s="1">
        <f>SUM($Q$66:AZ66)*OBk.w3</f>
        <v>0</v>
      </c>
      <c r="BA7" s="1">
        <f>SUM($Q$66:BA66)*OBk.w3</f>
        <v>0</v>
      </c>
    </row>
    <row r="8" spans="1:54" ht="15.75" customHeight="1" x14ac:dyDescent="0.35">
      <c r="A8" s="5"/>
      <c r="B8" s="5" t="s">
        <v>3</v>
      </c>
      <c r="C8" s="5"/>
      <c r="D8" s="5"/>
      <c r="E8" s="5"/>
      <c r="F8" s="5"/>
      <c r="G8" s="5"/>
      <c r="H8" s="5"/>
      <c r="I8" s="5"/>
      <c r="J8" s="5"/>
      <c r="K8" s="5"/>
      <c r="L8" s="5"/>
      <c r="N8" s="1">
        <f>SUM(Q8:BA8)</f>
        <v>0</v>
      </c>
      <c r="O8" s="5"/>
      <c r="Q8" s="1">
        <f t="shared" ref="Q8:BA8" si="1">Q95</f>
        <v>0</v>
      </c>
      <c r="R8" s="1">
        <f t="shared" si="1"/>
        <v>0</v>
      </c>
      <c r="S8" s="1">
        <f t="shared" si="1"/>
        <v>0</v>
      </c>
      <c r="T8" s="1">
        <f t="shared" si="1"/>
        <v>0</v>
      </c>
      <c r="U8" s="1">
        <f t="shared" si="1"/>
        <v>0</v>
      </c>
      <c r="V8" s="1">
        <f t="shared" si="1"/>
        <v>0</v>
      </c>
      <c r="W8" s="1">
        <f t="shared" si="1"/>
        <v>0</v>
      </c>
      <c r="X8" s="1">
        <f t="shared" si="1"/>
        <v>0</v>
      </c>
      <c r="Y8" s="1">
        <f t="shared" si="1"/>
        <v>0</v>
      </c>
      <c r="Z8" s="1">
        <f t="shared" si="1"/>
        <v>0</v>
      </c>
      <c r="AA8" s="1">
        <f t="shared" si="1"/>
        <v>0</v>
      </c>
      <c r="AB8" s="1">
        <f t="shared" si="1"/>
        <v>0</v>
      </c>
      <c r="AC8" s="1">
        <f t="shared" si="1"/>
        <v>0</v>
      </c>
      <c r="AD8" s="1">
        <f t="shared" si="1"/>
        <v>0</v>
      </c>
      <c r="AE8" s="1">
        <f t="shared" si="1"/>
        <v>0</v>
      </c>
      <c r="AF8" s="1">
        <f t="shared" si="1"/>
        <v>0</v>
      </c>
      <c r="AG8" s="1">
        <f t="shared" si="1"/>
        <v>0</v>
      </c>
      <c r="AH8" s="1">
        <f t="shared" si="1"/>
        <v>0</v>
      </c>
      <c r="AI8" s="1">
        <f t="shared" si="1"/>
        <v>0</v>
      </c>
      <c r="AJ8" s="1">
        <f t="shared" si="1"/>
        <v>0</v>
      </c>
      <c r="AK8" s="1">
        <f t="shared" si="1"/>
        <v>0</v>
      </c>
      <c r="AL8" s="1">
        <f t="shared" si="1"/>
        <v>0</v>
      </c>
      <c r="AM8" s="1">
        <f t="shared" si="1"/>
        <v>0</v>
      </c>
      <c r="AN8" s="1">
        <f t="shared" si="1"/>
        <v>0</v>
      </c>
      <c r="AO8" s="1">
        <f t="shared" si="1"/>
        <v>0</v>
      </c>
      <c r="AP8" s="1">
        <f t="shared" si="1"/>
        <v>0</v>
      </c>
      <c r="AQ8" s="1">
        <f t="shared" si="1"/>
        <v>0</v>
      </c>
      <c r="AR8" s="1">
        <f t="shared" si="1"/>
        <v>0</v>
      </c>
      <c r="AS8" s="1">
        <f t="shared" si="1"/>
        <v>0</v>
      </c>
      <c r="AT8" s="1">
        <f t="shared" si="1"/>
        <v>0</v>
      </c>
      <c r="AU8" s="1">
        <f t="shared" si="1"/>
        <v>0</v>
      </c>
      <c r="AV8" s="1">
        <f t="shared" si="1"/>
        <v>0</v>
      </c>
      <c r="AW8" s="1">
        <f t="shared" si="1"/>
        <v>0</v>
      </c>
      <c r="AX8" s="1">
        <f t="shared" si="1"/>
        <v>0</v>
      </c>
      <c r="AY8" s="1">
        <f t="shared" si="1"/>
        <v>0</v>
      </c>
      <c r="AZ8" s="1">
        <f t="shared" si="1"/>
        <v>0</v>
      </c>
      <c r="BA8" s="1">
        <f t="shared" si="1"/>
        <v>0</v>
      </c>
    </row>
    <row r="9" spans="1:54" ht="15.75" customHeight="1" x14ac:dyDescent="0.35">
      <c r="A9" s="5"/>
      <c r="B9" s="5" t="s">
        <v>2</v>
      </c>
      <c r="C9" s="5"/>
      <c r="D9" s="5"/>
      <c r="E9" s="5"/>
      <c r="F9" s="5"/>
      <c r="G9" s="5"/>
      <c r="H9" s="5"/>
      <c r="I9" s="5"/>
      <c r="J9" s="5"/>
      <c r="K9" s="5"/>
      <c r="L9" s="5"/>
      <c r="N9" s="1">
        <f>SUM(Q9:BA9)</f>
        <v>0</v>
      </c>
      <c r="O9" s="5"/>
      <c r="Q9" s="1">
        <f t="shared" ref="Q9:BA9" si="2">Q98</f>
        <v>0</v>
      </c>
      <c r="R9" s="1">
        <f t="shared" si="2"/>
        <v>0</v>
      </c>
      <c r="S9" s="1">
        <f t="shared" si="2"/>
        <v>0</v>
      </c>
      <c r="T9" s="1">
        <f t="shared" si="2"/>
        <v>0</v>
      </c>
      <c r="U9" s="1">
        <f t="shared" si="2"/>
        <v>0</v>
      </c>
      <c r="V9" s="1">
        <f t="shared" si="2"/>
        <v>0</v>
      </c>
      <c r="W9" s="1">
        <f t="shared" si="2"/>
        <v>0</v>
      </c>
      <c r="X9" s="1">
        <f t="shared" si="2"/>
        <v>0</v>
      </c>
      <c r="Y9" s="1">
        <f t="shared" si="2"/>
        <v>0</v>
      </c>
      <c r="Z9" s="1">
        <f t="shared" si="2"/>
        <v>0</v>
      </c>
      <c r="AA9" s="1">
        <f t="shared" si="2"/>
        <v>0</v>
      </c>
      <c r="AB9" s="1">
        <f t="shared" si="2"/>
        <v>0</v>
      </c>
      <c r="AC9" s="1">
        <f t="shared" si="2"/>
        <v>0</v>
      </c>
      <c r="AD9" s="1">
        <f t="shared" si="2"/>
        <v>0</v>
      </c>
      <c r="AE9" s="1">
        <f t="shared" si="2"/>
        <v>0</v>
      </c>
      <c r="AF9" s="1">
        <f t="shared" si="2"/>
        <v>0</v>
      </c>
      <c r="AG9" s="1">
        <f t="shared" si="2"/>
        <v>0</v>
      </c>
      <c r="AH9" s="1">
        <f t="shared" si="2"/>
        <v>0</v>
      </c>
      <c r="AI9" s="1">
        <f t="shared" si="2"/>
        <v>0</v>
      </c>
      <c r="AJ9" s="1">
        <f t="shared" si="2"/>
        <v>0</v>
      </c>
      <c r="AK9" s="1">
        <f t="shared" si="2"/>
        <v>0</v>
      </c>
      <c r="AL9" s="1">
        <f t="shared" si="2"/>
        <v>0</v>
      </c>
      <c r="AM9" s="1">
        <f t="shared" si="2"/>
        <v>0</v>
      </c>
      <c r="AN9" s="1">
        <f t="shared" si="2"/>
        <v>0</v>
      </c>
      <c r="AO9" s="1">
        <f t="shared" si="2"/>
        <v>0</v>
      </c>
      <c r="AP9" s="1">
        <f t="shared" si="2"/>
        <v>0</v>
      </c>
      <c r="AQ9" s="1">
        <f t="shared" si="2"/>
        <v>0</v>
      </c>
      <c r="AR9" s="1">
        <f t="shared" si="2"/>
        <v>0</v>
      </c>
      <c r="AS9" s="1">
        <f t="shared" si="2"/>
        <v>0</v>
      </c>
      <c r="AT9" s="1">
        <f t="shared" si="2"/>
        <v>0</v>
      </c>
      <c r="AU9" s="1">
        <f t="shared" si="2"/>
        <v>0</v>
      </c>
      <c r="AV9" s="1">
        <f t="shared" si="2"/>
        <v>0</v>
      </c>
      <c r="AW9" s="1">
        <f t="shared" si="2"/>
        <v>0</v>
      </c>
      <c r="AX9" s="1">
        <f t="shared" si="2"/>
        <v>0</v>
      </c>
      <c r="AY9" s="1">
        <f t="shared" si="2"/>
        <v>0</v>
      </c>
      <c r="AZ9" s="1">
        <f t="shared" si="2"/>
        <v>0</v>
      </c>
      <c r="BA9" s="1">
        <f t="shared" si="2"/>
        <v>0</v>
      </c>
    </row>
    <row r="10" spans="1:54" x14ac:dyDescent="0.35"/>
    <row r="11" spans="1:54" ht="15.75" customHeight="1" x14ac:dyDescent="0.35">
      <c r="A11" s="3" t="s">
        <v>5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4">
        <f>SUM(Q11:BA11)</f>
        <v>0</v>
      </c>
      <c r="O11" s="3"/>
      <c r="P11" s="3"/>
      <c r="Q11" s="4">
        <f t="shared" ref="Q11:BA11" si="3">SUM(Q12:Q15)</f>
        <v>0</v>
      </c>
      <c r="R11" s="4">
        <f t="shared" si="3"/>
        <v>0</v>
      </c>
      <c r="S11" s="4">
        <f t="shared" si="3"/>
        <v>0</v>
      </c>
      <c r="T11" s="4">
        <f t="shared" si="3"/>
        <v>0</v>
      </c>
      <c r="U11" s="4">
        <f t="shared" si="3"/>
        <v>0</v>
      </c>
      <c r="V11" s="4">
        <f t="shared" si="3"/>
        <v>0</v>
      </c>
      <c r="W11" s="4">
        <f t="shared" si="3"/>
        <v>0</v>
      </c>
      <c r="X11" s="4">
        <f t="shared" si="3"/>
        <v>0</v>
      </c>
      <c r="Y11" s="4">
        <f t="shared" si="3"/>
        <v>0</v>
      </c>
      <c r="Z11" s="4">
        <f t="shared" si="3"/>
        <v>0</v>
      </c>
      <c r="AA11" s="4">
        <f t="shared" si="3"/>
        <v>0</v>
      </c>
      <c r="AB11" s="4">
        <f t="shared" si="3"/>
        <v>0</v>
      </c>
      <c r="AC11" s="4">
        <f t="shared" si="3"/>
        <v>0</v>
      </c>
      <c r="AD11" s="4">
        <f t="shared" si="3"/>
        <v>0</v>
      </c>
      <c r="AE11" s="4">
        <f t="shared" si="3"/>
        <v>0</v>
      </c>
      <c r="AF11" s="4">
        <f t="shared" si="3"/>
        <v>0</v>
      </c>
      <c r="AG11" s="4">
        <f t="shared" si="3"/>
        <v>0</v>
      </c>
      <c r="AH11" s="4">
        <f t="shared" si="3"/>
        <v>0</v>
      </c>
      <c r="AI11" s="4">
        <f t="shared" si="3"/>
        <v>0</v>
      </c>
      <c r="AJ11" s="4">
        <f t="shared" si="3"/>
        <v>0</v>
      </c>
      <c r="AK11" s="4">
        <f t="shared" si="3"/>
        <v>0</v>
      </c>
      <c r="AL11" s="4">
        <f t="shared" si="3"/>
        <v>0</v>
      </c>
      <c r="AM11" s="4">
        <f t="shared" si="3"/>
        <v>0</v>
      </c>
      <c r="AN11" s="4">
        <f t="shared" si="3"/>
        <v>0</v>
      </c>
      <c r="AO11" s="4">
        <f t="shared" si="3"/>
        <v>0</v>
      </c>
      <c r="AP11" s="4">
        <f t="shared" si="3"/>
        <v>0</v>
      </c>
      <c r="AQ11" s="4">
        <f t="shared" si="3"/>
        <v>0</v>
      </c>
      <c r="AR11" s="4">
        <f t="shared" si="3"/>
        <v>0</v>
      </c>
      <c r="AS11" s="4">
        <f t="shared" si="3"/>
        <v>0</v>
      </c>
      <c r="AT11" s="4">
        <f t="shared" si="3"/>
        <v>0</v>
      </c>
      <c r="AU11" s="4">
        <f t="shared" si="3"/>
        <v>0</v>
      </c>
      <c r="AV11" s="4">
        <f t="shared" si="3"/>
        <v>0</v>
      </c>
      <c r="AW11" s="4">
        <f t="shared" si="3"/>
        <v>0</v>
      </c>
      <c r="AX11" s="4">
        <f t="shared" si="3"/>
        <v>0</v>
      </c>
      <c r="AY11" s="4">
        <f t="shared" si="3"/>
        <v>0</v>
      </c>
      <c r="AZ11" s="4">
        <f t="shared" si="3"/>
        <v>0</v>
      </c>
      <c r="BA11" s="4">
        <f t="shared" si="3"/>
        <v>0</v>
      </c>
    </row>
    <row r="12" spans="1:54" ht="15.75" customHeight="1" x14ac:dyDescent="0.35">
      <c r="A12" s="5"/>
      <c r="B12" s="5" t="s">
        <v>81</v>
      </c>
      <c r="C12" s="5"/>
      <c r="D12" s="5"/>
      <c r="E12" s="5"/>
      <c r="F12" s="5"/>
      <c r="G12" s="5"/>
      <c r="H12" s="5"/>
      <c r="I12" s="5"/>
      <c r="J12" s="5"/>
      <c r="K12" s="5"/>
      <c r="L12" s="5"/>
      <c r="N12" s="1">
        <f>SUM(Q12:BA12)</f>
        <v>0</v>
      </c>
      <c r="O12" s="5"/>
      <c r="Q12" s="1">
        <f>SUM($Q$66:Q66)*OBk.w3</f>
        <v>0</v>
      </c>
      <c r="R12" s="1">
        <f>SUM($Q$66:R66)*OBk.w3</f>
        <v>0</v>
      </c>
      <c r="S12" s="1">
        <f>SUM($Q$66:S66)*OBk.w3</f>
        <v>0</v>
      </c>
      <c r="T12" s="1">
        <f>SUM($Q$66:T66)*OBk.w3</f>
        <v>0</v>
      </c>
      <c r="U12" s="1">
        <f>SUM($Q$66:U66)*OBk.w3</f>
        <v>0</v>
      </c>
      <c r="V12" s="1">
        <f>SUM($Q$66:V66)*OBk.w3</f>
        <v>0</v>
      </c>
      <c r="W12" s="1">
        <f>SUM($Q$66:W66)*OBk.w3</f>
        <v>0</v>
      </c>
      <c r="X12" s="1">
        <f>SUM($Q$66:X66)*OBk.w3</f>
        <v>0</v>
      </c>
      <c r="Y12" s="1">
        <f>SUM($Q$66:Y66)*OBk.w3</f>
        <v>0</v>
      </c>
      <c r="Z12" s="1">
        <f>SUM($Q$66:Z66)*OBk.w3</f>
        <v>0</v>
      </c>
      <c r="AA12" s="1">
        <f>SUM($Q$66:AA66)*OBk.w3</f>
        <v>0</v>
      </c>
      <c r="AB12" s="1">
        <f>SUM($Q$66:AB66)*OBk.w3</f>
        <v>0</v>
      </c>
      <c r="AC12" s="1">
        <f>SUM($Q$66:AC66)*OBk.w3</f>
        <v>0</v>
      </c>
      <c r="AD12" s="1">
        <f>SUM($Q$66:AD66)*OBk.w3</f>
        <v>0</v>
      </c>
      <c r="AE12" s="1">
        <f>SUM($Q$66:AE66)*OBk.w3</f>
        <v>0</v>
      </c>
      <c r="AF12" s="1">
        <f>SUM($Q$66:AF66)*OBk.w3</f>
        <v>0</v>
      </c>
      <c r="AG12" s="1">
        <f>SUM($Q$66:AG66)*OBk.w3</f>
        <v>0</v>
      </c>
      <c r="AH12" s="1">
        <f>SUM($Q$66:AH66)*OBk.w3</f>
        <v>0</v>
      </c>
      <c r="AI12" s="1">
        <f>SUM($Q$66:AI66)*OBk.w3</f>
        <v>0</v>
      </c>
      <c r="AJ12" s="1">
        <f>SUM($Q$66:AJ66)*OBk.w3</f>
        <v>0</v>
      </c>
      <c r="AK12" s="1">
        <f>SUM($Q$66:AK66)*OBk.w3</f>
        <v>0</v>
      </c>
      <c r="AL12" s="1">
        <f>SUM($Q$66:AL66)*OBk.w3</f>
        <v>0</v>
      </c>
      <c r="AM12" s="1">
        <f>SUM($Q$66:AM66)*OBk.w3</f>
        <v>0</v>
      </c>
      <c r="AN12" s="1">
        <f>SUM($Q$66:AN66)*OBk.w3</f>
        <v>0</v>
      </c>
      <c r="AO12" s="1">
        <f>SUM($Q$66:AO66)*OBk.w3</f>
        <v>0</v>
      </c>
      <c r="AP12" s="1">
        <f>SUM($Q$66:AP66)*OBk.w3</f>
        <v>0</v>
      </c>
      <c r="AQ12" s="1">
        <f>SUM($Q$66:AQ66)*OBk.w3</f>
        <v>0</v>
      </c>
      <c r="AR12" s="1">
        <f>SUM($Q$66:AR66)*OBk.w3</f>
        <v>0</v>
      </c>
      <c r="AS12" s="1">
        <f>SUM($Q$66:AS66)*OBk.w3</f>
        <v>0</v>
      </c>
      <c r="AT12" s="1">
        <f>SUM($Q$66:AT66)*OBk.w3</f>
        <v>0</v>
      </c>
      <c r="AU12" s="1">
        <f>SUM($Q$66:AU66)*OBk.w3</f>
        <v>0</v>
      </c>
      <c r="AV12" s="1">
        <f>SUM($Q$66:AV66)*OBk.w3</f>
        <v>0</v>
      </c>
      <c r="AW12" s="1">
        <f>SUM($Q$66:AW66)*OBk.w3</f>
        <v>0</v>
      </c>
      <c r="AX12" s="1">
        <f>SUM($Q$66:AX66)*OBk.w3</f>
        <v>0</v>
      </c>
      <c r="AY12" s="1">
        <f>SUM($Q$66:AY66)*OBk.w3</f>
        <v>0</v>
      </c>
      <c r="AZ12" s="1">
        <f>SUM($Q$66:AZ66)*OBk.w3</f>
        <v>0</v>
      </c>
      <c r="BA12" s="1">
        <f>SUM($Q$66:BA66)*OBk.w3</f>
        <v>0</v>
      </c>
    </row>
    <row r="13" spans="1:54" ht="15.75" customHeight="1" x14ac:dyDescent="0.35">
      <c r="A13" s="5"/>
      <c r="B13" s="5" t="s">
        <v>82</v>
      </c>
      <c r="C13" s="5"/>
      <c r="D13" s="5"/>
      <c r="E13" s="5"/>
      <c r="F13" s="5"/>
      <c r="G13" s="5"/>
      <c r="H13" s="5"/>
      <c r="I13" s="5"/>
      <c r="J13" s="5"/>
      <c r="K13" s="5"/>
      <c r="L13" s="5"/>
      <c r="N13" s="1">
        <f>SUM(Q13:BA13)</f>
        <v>0</v>
      </c>
      <c r="O13" s="5"/>
      <c r="Q13" s="1">
        <f t="shared" ref="Q13:BA13" si="4">Q74</f>
        <v>0</v>
      </c>
      <c r="R13" s="1">
        <f t="shared" si="4"/>
        <v>0</v>
      </c>
      <c r="S13" s="1">
        <f t="shared" si="4"/>
        <v>0</v>
      </c>
      <c r="T13" s="1">
        <f t="shared" si="4"/>
        <v>0</v>
      </c>
      <c r="U13" s="1">
        <f t="shared" si="4"/>
        <v>0</v>
      </c>
      <c r="V13" s="1">
        <f t="shared" si="4"/>
        <v>0</v>
      </c>
      <c r="W13" s="1">
        <f t="shared" si="4"/>
        <v>0</v>
      </c>
      <c r="X13" s="1">
        <f t="shared" si="4"/>
        <v>0</v>
      </c>
      <c r="Y13" s="1">
        <f t="shared" si="4"/>
        <v>0</v>
      </c>
      <c r="Z13" s="1">
        <f t="shared" si="4"/>
        <v>0</v>
      </c>
      <c r="AA13" s="1">
        <f t="shared" si="4"/>
        <v>0</v>
      </c>
      <c r="AB13" s="1">
        <f t="shared" si="4"/>
        <v>0</v>
      </c>
      <c r="AC13" s="1">
        <f t="shared" si="4"/>
        <v>0</v>
      </c>
      <c r="AD13" s="1">
        <f t="shared" si="4"/>
        <v>0</v>
      </c>
      <c r="AE13" s="1">
        <f t="shared" si="4"/>
        <v>0</v>
      </c>
      <c r="AF13" s="1">
        <f t="shared" si="4"/>
        <v>0</v>
      </c>
      <c r="AG13" s="1">
        <f t="shared" si="4"/>
        <v>0</v>
      </c>
      <c r="AH13" s="1">
        <f t="shared" si="4"/>
        <v>0</v>
      </c>
      <c r="AI13" s="1">
        <f t="shared" si="4"/>
        <v>0</v>
      </c>
      <c r="AJ13" s="1">
        <f t="shared" si="4"/>
        <v>0</v>
      </c>
      <c r="AK13" s="1">
        <f t="shared" si="4"/>
        <v>0</v>
      </c>
      <c r="AL13" s="1">
        <f t="shared" si="4"/>
        <v>0</v>
      </c>
      <c r="AM13" s="1">
        <f t="shared" si="4"/>
        <v>0</v>
      </c>
      <c r="AN13" s="1">
        <f t="shared" si="4"/>
        <v>0</v>
      </c>
      <c r="AO13" s="1">
        <f t="shared" si="4"/>
        <v>0</v>
      </c>
      <c r="AP13" s="1">
        <f t="shared" si="4"/>
        <v>0</v>
      </c>
      <c r="AQ13" s="1">
        <f t="shared" si="4"/>
        <v>0</v>
      </c>
      <c r="AR13" s="1">
        <f t="shared" si="4"/>
        <v>0</v>
      </c>
      <c r="AS13" s="1">
        <f t="shared" si="4"/>
        <v>0</v>
      </c>
      <c r="AT13" s="1">
        <f t="shared" si="4"/>
        <v>0</v>
      </c>
      <c r="AU13" s="1">
        <f t="shared" si="4"/>
        <v>0</v>
      </c>
      <c r="AV13" s="1">
        <f t="shared" si="4"/>
        <v>0</v>
      </c>
      <c r="AW13" s="1">
        <f t="shared" si="4"/>
        <v>0</v>
      </c>
      <c r="AX13" s="1">
        <f t="shared" si="4"/>
        <v>0</v>
      </c>
      <c r="AY13" s="1">
        <f t="shared" si="4"/>
        <v>0</v>
      </c>
      <c r="AZ13" s="1">
        <f t="shared" si="4"/>
        <v>0</v>
      </c>
      <c r="BA13" s="1">
        <f t="shared" si="4"/>
        <v>0</v>
      </c>
    </row>
    <row r="14" spans="1:54" ht="15.75" customHeight="1" x14ac:dyDescent="0.35">
      <c r="A14" s="5"/>
      <c r="B14" s="5" t="s">
        <v>6</v>
      </c>
      <c r="C14" s="5"/>
      <c r="D14" s="5"/>
      <c r="E14" s="5"/>
      <c r="F14" s="5"/>
      <c r="G14" s="5"/>
      <c r="H14" s="5"/>
      <c r="I14" s="5"/>
      <c r="J14" s="5"/>
      <c r="K14" s="5"/>
      <c r="L14" s="5"/>
      <c r="N14" s="1">
        <f>SUM(Q14:BA14)</f>
        <v>0</v>
      </c>
      <c r="O14" s="5"/>
      <c r="Q14" s="1">
        <f t="shared" ref="Q14:BA14" si="5">Q73</f>
        <v>0</v>
      </c>
      <c r="R14" s="1">
        <f t="shared" si="5"/>
        <v>0</v>
      </c>
      <c r="S14" s="1">
        <f t="shared" si="5"/>
        <v>0</v>
      </c>
      <c r="T14" s="1">
        <f t="shared" si="5"/>
        <v>0</v>
      </c>
      <c r="U14" s="1">
        <f t="shared" si="5"/>
        <v>0</v>
      </c>
      <c r="V14" s="1">
        <f t="shared" si="5"/>
        <v>0</v>
      </c>
      <c r="W14" s="1">
        <f t="shared" si="5"/>
        <v>0</v>
      </c>
      <c r="X14" s="1">
        <f t="shared" si="5"/>
        <v>0</v>
      </c>
      <c r="Y14" s="1">
        <f t="shared" si="5"/>
        <v>0</v>
      </c>
      <c r="Z14" s="1">
        <f t="shared" si="5"/>
        <v>0</v>
      </c>
      <c r="AA14" s="1">
        <f t="shared" si="5"/>
        <v>0</v>
      </c>
      <c r="AB14" s="1">
        <f t="shared" si="5"/>
        <v>0</v>
      </c>
      <c r="AC14" s="1">
        <f t="shared" si="5"/>
        <v>0</v>
      </c>
      <c r="AD14" s="1">
        <f t="shared" si="5"/>
        <v>0</v>
      </c>
      <c r="AE14" s="1">
        <f t="shared" si="5"/>
        <v>0</v>
      </c>
      <c r="AF14" s="1">
        <f t="shared" si="5"/>
        <v>0</v>
      </c>
      <c r="AG14" s="1">
        <f t="shared" si="5"/>
        <v>0</v>
      </c>
      <c r="AH14" s="1">
        <f t="shared" si="5"/>
        <v>0</v>
      </c>
      <c r="AI14" s="1">
        <f t="shared" si="5"/>
        <v>0</v>
      </c>
      <c r="AJ14" s="1">
        <f t="shared" si="5"/>
        <v>0</v>
      </c>
      <c r="AK14" s="1">
        <f t="shared" si="5"/>
        <v>0</v>
      </c>
      <c r="AL14" s="1">
        <f t="shared" si="5"/>
        <v>0</v>
      </c>
      <c r="AM14" s="1">
        <f t="shared" si="5"/>
        <v>0</v>
      </c>
      <c r="AN14" s="1">
        <f t="shared" si="5"/>
        <v>0</v>
      </c>
      <c r="AO14" s="1">
        <f t="shared" si="5"/>
        <v>0</v>
      </c>
      <c r="AP14" s="1">
        <f t="shared" si="5"/>
        <v>0</v>
      </c>
      <c r="AQ14" s="1">
        <f t="shared" si="5"/>
        <v>0</v>
      </c>
      <c r="AR14" s="1">
        <f t="shared" si="5"/>
        <v>0</v>
      </c>
      <c r="AS14" s="1">
        <f t="shared" si="5"/>
        <v>0</v>
      </c>
      <c r="AT14" s="1">
        <f t="shared" si="5"/>
        <v>0</v>
      </c>
      <c r="AU14" s="1">
        <f t="shared" si="5"/>
        <v>0</v>
      </c>
      <c r="AV14" s="1">
        <f t="shared" si="5"/>
        <v>0</v>
      </c>
      <c r="AW14" s="1">
        <f t="shared" si="5"/>
        <v>0</v>
      </c>
      <c r="AX14" s="1">
        <f t="shared" si="5"/>
        <v>0</v>
      </c>
      <c r="AY14" s="1">
        <f t="shared" si="5"/>
        <v>0</v>
      </c>
      <c r="AZ14" s="1">
        <f t="shared" si="5"/>
        <v>0</v>
      </c>
      <c r="BA14" s="1">
        <f t="shared" si="5"/>
        <v>0</v>
      </c>
    </row>
    <row r="15" spans="1:54" ht="15.75" customHeight="1" x14ac:dyDescent="0.35">
      <c r="A15" s="5"/>
      <c r="B15" s="5" t="s">
        <v>7</v>
      </c>
      <c r="C15" s="5"/>
      <c r="D15" s="5"/>
      <c r="E15" s="5"/>
      <c r="F15" s="5"/>
      <c r="G15" s="5"/>
      <c r="H15" s="5"/>
      <c r="I15" s="5"/>
      <c r="J15" s="5"/>
      <c r="K15" s="5"/>
      <c r="L15" s="5"/>
      <c r="N15" s="1">
        <f>SUM(Q15:BA15)</f>
        <v>0</v>
      </c>
      <c r="O15" s="5"/>
      <c r="Q15" s="1">
        <f t="shared" ref="Q15:BA15" si="6">Q76</f>
        <v>0</v>
      </c>
      <c r="R15" s="1">
        <f t="shared" si="6"/>
        <v>0</v>
      </c>
      <c r="S15" s="1">
        <f t="shared" si="6"/>
        <v>0</v>
      </c>
      <c r="T15" s="1">
        <f t="shared" si="6"/>
        <v>0</v>
      </c>
      <c r="U15" s="1">
        <f t="shared" si="6"/>
        <v>0</v>
      </c>
      <c r="V15" s="1">
        <f t="shared" si="6"/>
        <v>0</v>
      </c>
      <c r="W15" s="1">
        <f t="shared" si="6"/>
        <v>0</v>
      </c>
      <c r="X15" s="1">
        <f t="shared" si="6"/>
        <v>0</v>
      </c>
      <c r="Y15" s="1">
        <f t="shared" si="6"/>
        <v>0</v>
      </c>
      <c r="Z15" s="1">
        <f t="shared" si="6"/>
        <v>0</v>
      </c>
      <c r="AA15" s="1">
        <f t="shared" si="6"/>
        <v>0</v>
      </c>
      <c r="AB15" s="1">
        <f t="shared" si="6"/>
        <v>0</v>
      </c>
      <c r="AC15" s="1">
        <f t="shared" si="6"/>
        <v>0</v>
      </c>
      <c r="AD15" s="1">
        <f t="shared" si="6"/>
        <v>0</v>
      </c>
      <c r="AE15" s="1">
        <f t="shared" si="6"/>
        <v>0</v>
      </c>
      <c r="AF15" s="1">
        <f t="shared" si="6"/>
        <v>0</v>
      </c>
      <c r="AG15" s="1">
        <f t="shared" si="6"/>
        <v>0</v>
      </c>
      <c r="AH15" s="1">
        <f t="shared" si="6"/>
        <v>0</v>
      </c>
      <c r="AI15" s="1">
        <f t="shared" si="6"/>
        <v>0</v>
      </c>
      <c r="AJ15" s="1">
        <f t="shared" si="6"/>
        <v>0</v>
      </c>
      <c r="AK15" s="1">
        <f t="shared" si="6"/>
        <v>0</v>
      </c>
      <c r="AL15" s="1">
        <f t="shared" si="6"/>
        <v>0</v>
      </c>
      <c r="AM15" s="1">
        <f t="shared" si="6"/>
        <v>0</v>
      </c>
      <c r="AN15" s="1">
        <f t="shared" si="6"/>
        <v>0</v>
      </c>
      <c r="AO15" s="1">
        <f t="shared" si="6"/>
        <v>0</v>
      </c>
      <c r="AP15" s="1">
        <f t="shared" si="6"/>
        <v>0</v>
      </c>
      <c r="AQ15" s="1">
        <f t="shared" si="6"/>
        <v>0</v>
      </c>
      <c r="AR15" s="1">
        <f t="shared" si="6"/>
        <v>0</v>
      </c>
      <c r="AS15" s="1">
        <f t="shared" si="6"/>
        <v>0</v>
      </c>
      <c r="AT15" s="1">
        <f t="shared" si="6"/>
        <v>0</v>
      </c>
      <c r="AU15" s="1">
        <f t="shared" si="6"/>
        <v>0</v>
      </c>
      <c r="AV15" s="1">
        <f t="shared" si="6"/>
        <v>0</v>
      </c>
      <c r="AW15" s="1">
        <f t="shared" si="6"/>
        <v>0</v>
      </c>
      <c r="AX15" s="1">
        <f t="shared" si="6"/>
        <v>0</v>
      </c>
      <c r="AY15" s="1">
        <f t="shared" si="6"/>
        <v>0</v>
      </c>
      <c r="AZ15" s="1">
        <f t="shared" si="6"/>
        <v>0</v>
      </c>
      <c r="BA15" s="1">
        <f t="shared" si="6"/>
        <v>0</v>
      </c>
    </row>
    <row r="16" spans="1:54" x14ac:dyDescent="0.35"/>
    <row r="17" spans="1:54" ht="15" customHeight="1" x14ac:dyDescent="0.35">
      <c r="A17" s="3" t="s">
        <v>8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4">
        <f>SUM(Q17:BA17)</f>
        <v>0</v>
      </c>
      <c r="O17" s="3"/>
      <c r="P17" s="3"/>
      <c r="Q17" s="4">
        <f t="shared" ref="Q17:BA17" si="7">Q6-Q11</f>
        <v>0</v>
      </c>
      <c r="R17" s="4">
        <f t="shared" si="7"/>
        <v>0</v>
      </c>
      <c r="S17" s="4">
        <f t="shared" si="7"/>
        <v>0</v>
      </c>
      <c r="T17" s="4">
        <f t="shared" si="7"/>
        <v>0</v>
      </c>
      <c r="U17" s="4">
        <f t="shared" si="7"/>
        <v>0</v>
      </c>
      <c r="V17" s="4">
        <f t="shared" si="7"/>
        <v>0</v>
      </c>
      <c r="W17" s="4">
        <f t="shared" si="7"/>
        <v>0</v>
      </c>
      <c r="X17" s="4">
        <f t="shared" si="7"/>
        <v>0</v>
      </c>
      <c r="Y17" s="4">
        <f t="shared" si="7"/>
        <v>0</v>
      </c>
      <c r="Z17" s="4">
        <f t="shared" si="7"/>
        <v>0</v>
      </c>
      <c r="AA17" s="4">
        <f t="shared" si="7"/>
        <v>0</v>
      </c>
      <c r="AB17" s="4">
        <f t="shared" si="7"/>
        <v>0</v>
      </c>
      <c r="AC17" s="4">
        <f t="shared" si="7"/>
        <v>0</v>
      </c>
      <c r="AD17" s="4">
        <f t="shared" si="7"/>
        <v>0</v>
      </c>
      <c r="AE17" s="4">
        <f t="shared" si="7"/>
        <v>0</v>
      </c>
      <c r="AF17" s="4">
        <f t="shared" si="7"/>
        <v>0</v>
      </c>
      <c r="AG17" s="4">
        <f t="shared" si="7"/>
        <v>0</v>
      </c>
      <c r="AH17" s="4">
        <f t="shared" si="7"/>
        <v>0</v>
      </c>
      <c r="AI17" s="4">
        <f t="shared" si="7"/>
        <v>0</v>
      </c>
      <c r="AJ17" s="4">
        <f t="shared" si="7"/>
        <v>0</v>
      </c>
      <c r="AK17" s="4">
        <f t="shared" si="7"/>
        <v>0</v>
      </c>
      <c r="AL17" s="4">
        <f t="shared" si="7"/>
        <v>0</v>
      </c>
      <c r="AM17" s="4">
        <f t="shared" si="7"/>
        <v>0</v>
      </c>
      <c r="AN17" s="4">
        <f t="shared" si="7"/>
        <v>0</v>
      </c>
      <c r="AO17" s="4">
        <f t="shared" si="7"/>
        <v>0</v>
      </c>
      <c r="AP17" s="4">
        <f t="shared" si="7"/>
        <v>0</v>
      </c>
      <c r="AQ17" s="4">
        <f t="shared" si="7"/>
        <v>0</v>
      </c>
      <c r="AR17" s="4">
        <f t="shared" si="7"/>
        <v>0</v>
      </c>
      <c r="AS17" s="4">
        <f t="shared" si="7"/>
        <v>0</v>
      </c>
      <c r="AT17" s="4">
        <f t="shared" si="7"/>
        <v>0</v>
      </c>
      <c r="AU17" s="4">
        <f t="shared" si="7"/>
        <v>0</v>
      </c>
      <c r="AV17" s="4">
        <f t="shared" si="7"/>
        <v>0</v>
      </c>
      <c r="AW17" s="4">
        <f t="shared" si="7"/>
        <v>0</v>
      </c>
      <c r="AX17" s="4">
        <f t="shared" si="7"/>
        <v>0</v>
      </c>
      <c r="AY17" s="4">
        <f t="shared" si="7"/>
        <v>0</v>
      </c>
      <c r="AZ17" s="4">
        <f t="shared" si="7"/>
        <v>0</v>
      </c>
      <c r="BA17" s="4">
        <f t="shared" si="7"/>
        <v>0</v>
      </c>
    </row>
    <row r="18" spans="1:54" x14ac:dyDescent="0.35"/>
    <row r="19" spans="1:54" ht="15.75" customHeight="1" x14ac:dyDescent="0.35">
      <c r="A19" s="5"/>
      <c r="B19" s="5" t="s">
        <v>9</v>
      </c>
      <c r="C19" s="5"/>
      <c r="D19" s="5"/>
      <c r="E19" s="5"/>
      <c r="F19" s="5"/>
      <c r="G19" s="5"/>
      <c r="H19" s="5"/>
      <c r="I19" s="5"/>
      <c r="J19" s="5"/>
      <c r="K19" s="5"/>
      <c r="L19" s="5"/>
      <c r="N19" s="1">
        <f>SUM(Q19:BA19)</f>
        <v>0</v>
      </c>
      <c r="O19" s="5"/>
      <c r="Q19" s="1">
        <f t="shared" ref="Q19:BA19" si="8">(Q17&gt;0)*Q17*CIT</f>
        <v>0</v>
      </c>
      <c r="R19" s="1">
        <f t="shared" si="8"/>
        <v>0</v>
      </c>
      <c r="S19" s="1">
        <f t="shared" si="8"/>
        <v>0</v>
      </c>
      <c r="T19" s="1">
        <f t="shared" si="8"/>
        <v>0</v>
      </c>
      <c r="U19" s="1">
        <f t="shared" si="8"/>
        <v>0</v>
      </c>
      <c r="V19" s="1">
        <f t="shared" si="8"/>
        <v>0</v>
      </c>
      <c r="W19" s="1">
        <f t="shared" si="8"/>
        <v>0</v>
      </c>
      <c r="X19" s="1">
        <f t="shared" si="8"/>
        <v>0</v>
      </c>
      <c r="Y19" s="1">
        <f t="shared" si="8"/>
        <v>0</v>
      </c>
      <c r="Z19" s="1">
        <f t="shared" si="8"/>
        <v>0</v>
      </c>
      <c r="AA19" s="1">
        <f t="shared" si="8"/>
        <v>0</v>
      </c>
      <c r="AB19" s="1">
        <f t="shared" si="8"/>
        <v>0</v>
      </c>
      <c r="AC19" s="1">
        <f t="shared" si="8"/>
        <v>0</v>
      </c>
      <c r="AD19" s="1">
        <f t="shared" si="8"/>
        <v>0</v>
      </c>
      <c r="AE19" s="1">
        <f t="shared" si="8"/>
        <v>0</v>
      </c>
      <c r="AF19" s="1">
        <f t="shared" si="8"/>
        <v>0</v>
      </c>
      <c r="AG19" s="1">
        <f t="shared" si="8"/>
        <v>0</v>
      </c>
      <c r="AH19" s="1">
        <f t="shared" si="8"/>
        <v>0</v>
      </c>
      <c r="AI19" s="1">
        <f t="shared" si="8"/>
        <v>0</v>
      </c>
      <c r="AJ19" s="1">
        <f t="shared" si="8"/>
        <v>0</v>
      </c>
      <c r="AK19" s="1">
        <f t="shared" si="8"/>
        <v>0</v>
      </c>
      <c r="AL19" s="1">
        <f t="shared" si="8"/>
        <v>0</v>
      </c>
      <c r="AM19" s="1">
        <f t="shared" si="8"/>
        <v>0</v>
      </c>
      <c r="AN19" s="1">
        <f t="shared" si="8"/>
        <v>0</v>
      </c>
      <c r="AO19" s="1">
        <f t="shared" si="8"/>
        <v>0</v>
      </c>
      <c r="AP19" s="1">
        <f t="shared" si="8"/>
        <v>0</v>
      </c>
      <c r="AQ19" s="1">
        <f t="shared" si="8"/>
        <v>0</v>
      </c>
      <c r="AR19" s="1">
        <f t="shared" si="8"/>
        <v>0</v>
      </c>
      <c r="AS19" s="1">
        <f t="shared" si="8"/>
        <v>0</v>
      </c>
      <c r="AT19" s="1">
        <f t="shared" si="8"/>
        <v>0</v>
      </c>
      <c r="AU19" s="1">
        <f t="shared" si="8"/>
        <v>0</v>
      </c>
      <c r="AV19" s="1">
        <f t="shared" si="8"/>
        <v>0</v>
      </c>
      <c r="AW19" s="1">
        <f t="shared" si="8"/>
        <v>0</v>
      </c>
      <c r="AX19" s="1">
        <f t="shared" si="8"/>
        <v>0</v>
      </c>
      <c r="AY19" s="1">
        <f t="shared" si="8"/>
        <v>0</v>
      </c>
      <c r="AZ19" s="1">
        <f t="shared" si="8"/>
        <v>0</v>
      </c>
      <c r="BA19" s="1">
        <f t="shared" si="8"/>
        <v>0</v>
      </c>
    </row>
    <row r="20" spans="1:54" x14ac:dyDescent="0.35"/>
    <row r="21" spans="1:54" ht="15.75" customHeight="1" x14ac:dyDescent="0.35">
      <c r="A21" s="3" t="s">
        <v>10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4">
        <f>SUM(Q21:BA21)</f>
        <v>0</v>
      </c>
      <c r="O21" s="3"/>
      <c r="P21" s="3"/>
      <c r="Q21" s="4">
        <f t="shared" ref="Q21:BA21" si="9">Q17-Q19</f>
        <v>0</v>
      </c>
      <c r="R21" s="4">
        <f t="shared" si="9"/>
        <v>0</v>
      </c>
      <c r="S21" s="4">
        <f t="shared" si="9"/>
        <v>0</v>
      </c>
      <c r="T21" s="4">
        <f t="shared" si="9"/>
        <v>0</v>
      </c>
      <c r="U21" s="4">
        <f t="shared" si="9"/>
        <v>0</v>
      </c>
      <c r="V21" s="4">
        <f t="shared" si="9"/>
        <v>0</v>
      </c>
      <c r="W21" s="4">
        <f t="shared" si="9"/>
        <v>0</v>
      </c>
      <c r="X21" s="4">
        <f t="shared" si="9"/>
        <v>0</v>
      </c>
      <c r="Y21" s="4">
        <f t="shared" si="9"/>
        <v>0</v>
      </c>
      <c r="Z21" s="4">
        <f t="shared" si="9"/>
        <v>0</v>
      </c>
      <c r="AA21" s="4">
        <f t="shared" si="9"/>
        <v>0</v>
      </c>
      <c r="AB21" s="4">
        <f t="shared" si="9"/>
        <v>0</v>
      </c>
      <c r="AC21" s="4">
        <f t="shared" si="9"/>
        <v>0</v>
      </c>
      <c r="AD21" s="4">
        <f t="shared" si="9"/>
        <v>0</v>
      </c>
      <c r="AE21" s="4">
        <f t="shared" si="9"/>
        <v>0</v>
      </c>
      <c r="AF21" s="4">
        <f t="shared" si="9"/>
        <v>0</v>
      </c>
      <c r="AG21" s="4">
        <f t="shared" si="9"/>
        <v>0</v>
      </c>
      <c r="AH21" s="4">
        <f t="shared" si="9"/>
        <v>0</v>
      </c>
      <c r="AI21" s="4">
        <f t="shared" si="9"/>
        <v>0</v>
      </c>
      <c r="AJ21" s="4">
        <f t="shared" si="9"/>
        <v>0</v>
      </c>
      <c r="AK21" s="4">
        <f t="shared" si="9"/>
        <v>0</v>
      </c>
      <c r="AL21" s="4">
        <f t="shared" si="9"/>
        <v>0</v>
      </c>
      <c r="AM21" s="4">
        <f t="shared" si="9"/>
        <v>0</v>
      </c>
      <c r="AN21" s="4">
        <f t="shared" si="9"/>
        <v>0</v>
      </c>
      <c r="AO21" s="4">
        <f t="shared" si="9"/>
        <v>0</v>
      </c>
      <c r="AP21" s="4">
        <f t="shared" si="9"/>
        <v>0</v>
      </c>
      <c r="AQ21" s="4">
        <f t="shared" si="9"/>
        <v>0</v>
      </c>
      <c r="AR21" s="4">
        <f t="shared" si="9"/>
        <v>0</v>
      </c>
      <c r="AS21" s="4">
        <f t="shared" si="9"/>
        <v>0</v>
      </c>
      <c r="AT21" s="4">
        <f t="shared" si="9"/>
        <v>0</v>
      </c>
      <c r="AU21" s="4">
        <f t="shared" si="9"/>
        <v>0</v>
      </c>
      <c r="AV21" s="4">
        <f t="shared" si="9"/>
        <v>0</v>
      </c>
      <c r="AW21" s="4">
        <f t="shared" si="9"/>
        <v>0</v>
      </c>
      <c r="AX21" s="4">
        <f t="shared" si="9"/>
        <v>0</v>
      </c>
      <c r="AY21" s="4">
        <f t="shared" si="9"/>
        <v>0</v>
      </c>
      <c r="AZ21" s="4">
        <f t="shared" si="9"/>
        <v>0</v>
      </c>
      <c r="BA21" s="4">
        <f t="shared" si="9"/>
        <v>0</v>
      </c>
    </row>
    <row r="22" spans="1:54" x14ac:dyDescent="0.35"/>
    <row r="23" spans="1:54" ht="15.75" customHeight="1" thickBot="1" x14ac:dyDescent="0.4">
      <c r="A23" s="44" t="s">
        <v>63</v>
      </c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5"/>
    </row>
    <row r="24" spans="1:54" ht="15" thickTop="1" x14ac:dyDescent="0.35"/>
    <row r="25" spans="1:54" ht="15.75" customHeight="1" x14ac:dyDescent="0.35">
      <c r="A25" s="3" t="s">
        <v>12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4">
        <f t="shared" ref="Q25:BA25" si="10">SUM(Q26:Q27)</f>
        <v>0</v>
      </c>
      <c r="R25" s="4">
        <f t="shared" si="10"/>
        <v>0</v>
      </c>
      <c r="S25" s="4">
        <f t="shared" si="10"/>
        <v>0</v>
      </c>
      <c r="T25" s="4">
        <f t="shared" si="10"/>
        <v>0</v>
      </c>
      <c r="U25" s="4">
        <f t="shared" si="10"/>
        <v>0</v>
      </c>
      <c r="V25" s="4">
        <f t="shared" si="10"/>
        <v>0</v>
      </c>
      <c r="W25" s="4">
        <f t="shared" si="10"/>
        <v>0</v>
      </c>
      <c r="X25" s="4">
        <f t="shared" si="10"/>
        <v>0</v>
      </c>
      <c r="Y25" s="4">
        <f t="shared" si="10"/>
        <v>0</v>
      </c>
      <c r="Z25" s="4">
        <f t="shared" si="10"/>
        <v>0</v>
      </c>
      <c r="AA25" s="4">
        <f t="shared" si="10"/>
        <v>0</v>
      </c>
      <c r="AB25" s="4">
        <f t="shared" si="10"/>
        <v>0</v>
      </c>
      <c r="AC25" s="4">
        <f t="shared" si="10"/>
        <v>0</v>
      </c>
      <c r="AD25" s="4">
        <f t="shared" si="10"/>
        <v>0</v>
      </c>
      <c r="AE25" s="4">
        <f t="shared" si="10"/>
        <v>0</v>
      </c>
      <c r="AF25" s="4">
        <f t="shared" si="10"/>
        <v>0</v>
      </c>
      <c r="AG25" s="4">
        <f t="shared" si="10"/>
        <v>0</v>
      </c>
      <c r="AH25" s="4">
        <f t="shared" si="10"/>
        <v>0</v>
      </c>
      <c r="AI25" s="4">
        <f t="shared" si="10"/>
        <v>0</v>
      </c>
      <c r="AJ25" s="4">
        <f t="shared" si="10"/>
        <v>0</v>
      </c>
      <c r="AK25" s="4">
        <f t="shared" si="10"/>
        <v>0</v>
      </c>
      <c r="AL25" s="4">
        <f t="shared" si="10"/>
        <v>0</v>
      </c>
      <c r="AM25" s="4">
        <f t="shared" si="10"/>
        <v>0</v>
      </c>
      <c r="AN25" s="4">
        <f t="shared" si="10"/>
        <v>0</v>
      </c>
      <c r="AO25" s="4">
        <f t="shared" si="10"/>
        <v>0</v>
      </c>
      <c r="AP25" s="4">
        <f t="shared" si="10"/>
        <v>0</v>
      </c>
      <c r="AQ25" s="4">
        <f t="shared" si="10"/>
        <v>0</v>
      </c>
      <c r="AR25" s="4">
        <f t="shared" si="10"/>
        <v>0</v>
      </c>
      <c r="AS25" s="4">
        <f t="shared" si="10"/>
        <v>0</v>
      </c>
      <c r="AT25" s="4">
        <f t="shared" si="10"/>
        <v>0</v>
      </c>
      <c r="AU25" s="4">
        <f t="shared" si="10"/>
        <v>0</v>
      </c>
      <c r="AV25" s="4">
        <f t="shared" si="10"/>
        <v>0</v>
      </c>
      <c r="AW25" s="4">
        <f t="shared" si="10"/>
        <v>0</v>
      </c>
      <c r="AX25" s="4">
        <f t="shared" si="10"/>
        <v>0</v>
      </c>
      <c r="AY25" s="4">
        <f t="shared" si="10"/>
        <v>0</v>
      </c>
      <c r="AZ25" s="4">
        <f t="shared" si="10"/>
        <v>0</v>
      </c>
      <c r="BA25" s="4">
        <f t="shared" si="10"/>
        <v>0</v>
      </c>
    </row>
    <row r="26" spans="1:54" ht="15.75" customHeight="1" x14ac:dyDescent="0.35">
      <c r="A26" s="5"/>
      <c r="B26" s="5" t="s">
        <v>11</v>
      </c>
      <c r="C26" s="5"/>
      <c r="D26" s="5"/>
      <c r="E26" s="5"/>
      <c r="F26" s="5"/>
      <c r="G26" s="5"/>
      <c r="H26" s="5"/>
      <c r="I26" s="5"/>
      <c r="J26" s="5"/>
      <c r="K26" s="5"/>
      <c r="Q26" s="1">
        <f t="shared" ref="Q26:BA26" si="11">Q84</f>
        <v>0</v>
      </c>
      <c r="R26" s="1">
        <f t="shared" si="11"/>
        <v>0</v>
      </c>
      <c r="S26" s="1">
        <f t="shared" si="11"/>
        <v>0</v>
      </c>
      <c r="T26" s="1">
        <f t="shared" si="11"/>
        <v>0</v>
      </c>
      <c r="U26" s="1">
        <f t="shared" si="11"/>
        <v>0</v>
      </c>
      <c r="V26" s="1">
        <f t="shared" si="11"/>
        <v>0</v>
      </c>
      <c r="W26" s="1">
        <f t="shared" si="11"/>
        <v>0</v>
      </c>
      <c r="X26" s="1">
        <f t="shared" si="11"/>
        <v>0</v>
      </c>
      <c r="Y26" s="1">
        <f t="shared" si="11"/>
        <v>0</v>
      </c>
      <c r="Z26" s="1">
        <f t="shared" si="11"/>
        <v>0</v>
      </c>
      <c r="AA26" s="1">
        <f t="shared" si="11"/>
        <v>0</v>
      </c>
      <c r="AB26" s="1">
        <f t="shared" si="11"/>
        <v>0</v>
      </c>
      <c r="AC26" s="1">
        <f t="shared" si="11"/>
        <v>0</v>
      </c>
      <c r="AD26" s="1">
        <f t="shared" si="11"/>
        <v>0</v>
      </c>
      <c r="AE26" s="1">
        <f t="shared" si="11"/>
        <v>0</v>
      </c>
      <c r="AF26" s="1">
        <f t="shared" si="11"/>
        <v>0</v>
      </c>
      <c r="AG26" s="1">
        <f t="shared" si="11"/>
        <v>0</v>
      </c>
      <c r="AH26" s="1">
        <f t="shared" si="11"/>
        <v>0</v>
      </c>
      <c r="AI26" s="1">
        <f t="shared" si="11"/>
        <v>0</v>
      </c>
      <c r="AJ26" s="1">
        <f t="shared" si="11"/>
        <v>0</v>
      </c>
      <c r="AK26" s="1">
        <f t="shared" si="11"/>
        <v>0</v>
      </c>
      <c r="AL26" s="1">
        <f t="shared" si="11"/>
        <v>0</v>
      </c>
      <c r="AM26" s="1">
        <f t="shared" si="11"/>
        <v>0</v>
      </c>
      <c r="AN26" s="1">
        <f t="shared" si="11"/>
        <v>0</v>
      </c>
      <c r="AO26" s="1">
        <f t="shared" si="11"/>
        <v>0</v>
      </c>
      <c r="AP26" s="1">
        <f t="shared" si="11"/>
        <v>0</v>
      </c>
      <c r="AQ26" s="1">
        <f t="shared" si="11"/>
        <v>0</v>
      </c>
      <c r="AR26" s="1">
        <f t="shared" si="11"/>
        <v>0</v>
      </c>
      <c r="AS26" s="1">
        <f t="shared" si="11"/>
        <v>0</v>
      </c>
      <c r="AT26" s="1">
        <f t="shared" si="11"/>
        <v>0</v>
      </c>
      <c r="AU26" s="1">
        <f t="shared" si="11"/>
        <v>0</v>
      </c>
      <c r="AV26" s="1">
        <f t="shared" si="11"/>
        <v>0</v>
      </c>
      <c r="AW26" s="1">
        <f t="shared" si="11"/>
        <v>0</v>
      </c>
      <c r="AX26" s="1">
        <f t="shared" si="11"/>
        <v>0</v>
      </c>
      <c r="AY26" s="1">
        <f t="shared" si="11"/>
        <v>0</v>
      </c>
      <c r="AZ26" s="1">
        <f t="shared" si="11"/>
        <v>0</v>
      </c>
      <c r="BA26" s="1">
        <f t="shared" si="11"/>
        <v>0</v>
      </c>
    </row>
    <row r="27" spans="1:54" ht="15.75" customHeight="1" x14ac:dyDescent="0.35">
      <c r="A27" s="5"/>
      <c r="B27" s="5" t="s">
        <v>51</v>
      </c>
      <c r="C27" s="5"/>
      <c r="D27" s="5"/>
      <c r="E27" s="5"/>
      <c r="F27" s="5"/>
      <c r="G27" s="5"/>
      <c r="H27" s="5"/>
      <c r="I27" s="5"/>
      <c r="J27" s="5"/>
      <c r="K27" s="5"/>
      <c r="Q27" s="1">
        <f t="shared" ref="Q27:T27" si="12">SUM(Q29,-Q26)</f>
        <v>0</v>
      </c>
      <c r="R27" s="1">
        <f t="shared" si="12"/>
        <v>0</v>
      </c>
      <c r="S27" s="1">
        <f t="shared" si="12"/>
        <v>0</v>
      </c>
      <c r="T27" s="1">
        <f t="shared" si="12"/>
        <v>0</v>
      </c>
      <c r="U27" s="1">
        <f>SUM(U29,-U26)</f>
        <v>0</v>
      </c>
      <c r="V27" s="1">
        <f t="shared" ref="V27:BA27" si="13">SUM(V29,-V26)</f>
        <v>0</v>
      </c>
      <c r="W27" s="1">
        <f t="shared" si="13"/>
        <v>0</v>
      </c>
      <c r="X27" s="1">
        <f t="shared" si="13"/>
        <v>0</v>
      </c>
      <c r="Y27" s="1">
        <f t="shared" si="13"/>
        <v>0</v>
      </c>
      <c r="Z27" s="1">
        <f t="shared" si="13"/>
        <v>0</v>
      </c>
      <c r="AA27" s="1">
        <f t="shared" si="13"/>
        <v>0</v>
      </c>
      <c r="AB27" s="1">
        <f t="shared" si="13"/>
        <v>0</v>
      </c>
      <c r="AC27" s="1">
        <f t="shared" si="13"/>
        <v>0</v>
      </c>
      <c r="AD27" s="1">
        <f t="shared" si="13"/>
        <v>0</v>
      </c>
      <c r="AE27" s="1">
        <f t="shared" si="13"/>
        <v>0</v>
      </c>
      <c r="AF27" s="1">
        <f t="shared" si="13"/>
        <v>0</v>
      </c>
      <c r="AG27" s="1">
        <f t="shared" si="13"/>
        <v>0</v>
      </c>
      <c r="AH27" s="1">
        <f t="shared" si="13"/>
        <v>0</v>
      </c>
      <c r="AI27" s="1">
        <f t="shared" si="13"/>
        <v>0</v>
      </c>
      <c r="AJ27" s="1">
        <f t="shared" si="13"/>
        <v>0</v>
      </c>
      <c r="AK27" s="1">
        <f t="shared" si="13"/>
        <v>0</v>
      </c>
      <c r="AL27" s="1">
        <f t="shared" si="13"/>
        <v>0</v>
      </c>
      <c r="AM27" s="1">
        <f t="shared" si="13"/>
        <v>0</v>
      </c>
      <c r="AN27" s="1">
        <f t="shared" si="13"/>
        <v>0</v>
      </c>
      <c r="AO27" s="1">
        <f t="shared" si="13"/>
        <v>0</v>
      </c>
      <c r="AP27" s="1">
        <f t="shared" si="13"/>
        <v>0</v>
      </c>
      <c r="AQ27" s="1">
        <f t="shared" si="13"/>
        <v>0</v>
      </c>
      <c r="AR27" s="1">
        <f t="shared" si="13"/>
        <v>0</v>
      </c>
      <c r="AS27" s="1">
        <f t="shared" si="13"/>
        <v>0</v>
      </c>
      <c r="AT27" s="1">
        <f t="shared" si="13"/>
        <v>0</v>
      </c>
      <c r="AU27" s="1">
        <f t="shared" si="13"/>
        <v>0</v>
      </c>
      <c r="AV27" s="1">
        <f t="shared" si="13"/>
        <v>0</v>
      </c>
      <c r="AW27" s="1">
        <f t="shared" si="13"/>
        <v>0</v>
      </c>
      <c r="AX27" s="1">
        <f t="shared" si="13"/>
        <v>0</v>
      </c>
      <c r="AY27" s="1">
        <f t="shared" si="13"/>
        <v>0</v>
      </c>
      <c r="AZ27" s="1">
        <f t="shared" si="13"/>
        <v>0</v>
      </c>
      <c r="BA27" s="1">
        <f t="shared" si="13"/>
        <v>0</v>
      </c>
    </row>
    <row r="28" spans="1:54" x14ac:dyDescent="0.35"/>
    <row r="29" spans="1:54" ht="15.75" customHeight="1" x14ac:dyDescent="0.35">
      <c r="A29" s="3" t="s">
        <v>13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4">
        <f t="shared" ref="Q29:BA29" si="14">SUM(Q30:Q31)</f>
        <v>0</v>
      </c>
      <c r="R29" s="4">
        <f t="shared" si="14"/>
        <v>0</v>
      </c>
      <c r="S29" s="4">
        <f t="shared" si="14"/>
        <v>0</v>
      </c>
      <c r="T29" s="4">
        <f t="shared" si="14"/>
        <v>0</v>
      </c>
      <c r="U29" s="4">
        <f t="shared" si="14"/>
        <v>0</v>
      </c>
      <c r="V29" s="4">
        <f t="shared" si="14"/>
        <v>0</v>
      </c>
      <c r="W29" s="4">
        <f t="shared" si="14"/>
        <v>0</v>
      </c>
      <c r="X29" s="4">
        <f t="shared" si="14"/>
        <v>0</v>
      </c>
      <c r="Y29" s="4">
        <f t="shared" si="14"/>
        <v>0</v>
      </c>
      <c r="Z29" s="4">
        <f t="shared" si="14"/>
        <v>0</v>
      </c>
      <c r="AA29" s="4">
        <f t="shared" si="14"/>
        <v>0</v>
      </c>
      <c r="AB29" s="4">
        <f t="shared" si="14"/>
        <v>0</v>
      </c>
      <c r="AC29" s="4">
        <f t="shared" si="14"/>
        <v>0</v>
      </c>
      <c r="AD29" s="4">
        <f t="shared" si="14"/>
        <v>0</v>
      </c>
      <c r="AE29" s="4">
        <f t="shared" si="14"/>
        <v>0</v>
      </c>
      <c r="AF29" s="4">
        <f t="shared" si="14"/>
        <v>0</v>
      </c>
      <c r="AG29" s="4">
        <f t="shared" si="14"/>
        <v>0</v>
      </c>
      <c r="AH29" s="4">
        <f t="shared" si="14"/>
        <v>0</v>
      </c>
      <c r="AI29" s="4">
        <f t="shared" si="14"/>
        <v>0</v>
      </c>
      <c r="AJ29" s="4">
        <f t="shared" si="14"/>
        <v>0</v>
      </c>
      <c r="AK29" s="4">
        <f t="shared" si="14"/>
        <v>0</v>
      </c>
      <c r="AL29" s="4">
        <f t="shared" si="14"/>
        <v>0</v>
      </c>
      <c r="AM29" s="4">
        <f t="shared" si="14"/>
        <v>0</v>
      </c>
      <c r="AN29" s="4">
        <f t="shared" si="14"/>
        <v>0</v>
      </c>
      <c r="AO29" s="4">
        <f t="shared" si="14"/>
        <v>0</v>
      </c>
      <c r="AP29" s="4">
        <f t="shared" si="14"/>
        <v>0</v>
      </c>
      <c r="AQ29" s="4">
        <f t="shared" si="14"/>
        <v>0</v>
      </c>
      <c r="AR29" s="4">
        <f t="shared" si="14"/>
        <v>0</v>
      </c>
      <c r="AS29" s="4">
        <f t="shared" si="14"/>
        <v>0</v>
      </c>
      <c r="AT29" s="4">
        <f t="shared" si="14"/>
        <v>0</v>
      </c>
      <c r="AU29" s="4">
        <f t="shared" si="14"/>
        <v>0</v>
      </c>
      <c r="AV29" s="4">
        <f t="shared" si="14"/>
        <v>0</v>
      </c>
      <c r="AW29" s="4">
        <f t="shared" si="14"/>
        <v>0</v>
      </c>
      <c r="AX29" s="4">
        <f t="shared" si="14"/>
        <v>0</v>
      </c>
      <c r="AY29" s="4">
        <f t="shared" si="14"/>
        <v>0</v>
      </c>
      <c r="AZ29" s="4">
        <f t="shared" si="14"/>
        <v>0</v>
      </c>
      <c r="BA29" s="4">
        <f t="shared" si="14"/>
        <v>0</v>
      </c>
    </row>
    <row r="30" spans="1:54" ht="15.75" customHeight="1" x14ac:dyDescent="0.35">
      <c r="A30" s="5"/>
      <c r="B30" s="5" t="s">
        <v>14</v>
      </c>
      <c r="C30" s="5"/>
      <c r="D30" s="5"/>
      <c r="E30" s="5"/>
      <c r="F30" s="5"/>
      <c r="G30" s="5"/>
      <c r="H30" s="5"/>
      <c r="I30" s="5"/>
      <c r="J30" s="5"/>
      <c r="K30" s="5"/>
      <c r="Q30" s="1">
        <f t="shared" ref="Q30:BA30" si="15">Q117</f>
        <v>0</v>
      </c>
      <c r="R30" s="1">
        <f t="shared" si="15"/>
        <v>0</v>
      </c>
      <c r="S30" s="1">
        <f t="shared" si="15"/>
        <v>0</v>
      </c>
      <c r="T30" s="1">
        <f t="shared" si="15"/>
        <v>0</v>
      </c>
      <c r="U30" s="1">
        <f t="shared" si="15"/>
        <v>0</v>
      </c>
      <c r="V30" s="1">
        <f t="shared" si="15"/>
        <v>0</v>
      </c>
      <c r="W30" s="1">
        <f t="shared" si="15"/>
        <v>0</v>
      </c>
      <c r="X30" s="1">
        <f t="shared" si="15"/>
        <v>0</v>
      </c>
      <c r="Y30" s="1">
        <f t="shared" si="15"/>
        <v>0</v>
      </c>
      <c r="Z30" s="1">
        <f t="shared" si="15"/>
        <v>0</v>
      </c>
      <c r="AA30" s="1">
        <f t="shared" si="15"/>
        <v>0</v>
      </c>
      <c r="AB30" s="1">
        <f t="shared" si="15"/>
        <v>0</v>
      </c>
      <c r="AC30" s="1">
        <f t="shared" si="15"/>
        <v>0</v>
      </c>
      <c r="AD30" s="1">
        <f t="shared" si="15"/>
        <v>0</v>
      </c>
      <c r="AE30" s="1">
        <f t="shared" si="15"/>
        <v>0</v>
      </c>
      <c r="AF30" s="1">
        <f t="shared" si="15"/>
        <v>0</v>
      </c>
      <c r="AG30" s="1">
        <f t="shared" si="15"/>
        <v>0</v>
      </c>
      <c r="AH30" s="1">
        <f t="shared" si="15"/>
        <v>0</v>
      </c>
      <c r="AI30" s="1">
        <f t="shared" si="15"/>
        <v>0</v>
      </c>
      <c r="AJ30" s="1">
        <f t="shared" si="15"/>
        <v>0</v>
      </c>
      <c r="AK30" s="1">
        <f t="shared" si="15"/>
        <v>0</v>
      </c>
      <c r="AL30" s="1">
        <f t="shared" si="15"/>
        <v>0</v>
      </c>
      <c r="AM30" s="1">
        <f t="shared" si="15"/>
        <v>0</v>
      </c>
      <c r="AN30" s="1">
        <f t="shared" si="15"/>
        <v>0</v>
      </c>
      <c r="AO30" s="1">
        <f t="shared" si="15"/>
        <v>0</v>
      </c>
      <c r="AP30" s="1">
        <f t="shared" si="15"/>
        <v>0</v>
      </c>
      <c r="AQ30" s="1">
        <f t="shared" si="15"/>
        <v>0</v>
      </c>
      <c r="AR30" s="1">
        <f t="shared" si="15"/>
        <v>0</v>
      </c>
      <c r="AS30" s="1">
        <f t="shared" si="15"/>
        <v>0</v>
      </c>
      <c r="AT30" s="1">
        <f t="shared" si="15"/>
        <v>0</v>
      </c>
      <c r="AU30" s="1">
        <f t="shared" si="15"/>
        <v>0</v>
      </c>
      <c r="AV30" s="1">
        <f t="shared" si="15"/>
        <v>0</v>
      </c>
      <c r="AW30" s="1">
        <f t="shared" si="15"/>
        <v>0</v>
      </c>
      <c r="AX30" s="1">
        <f t="shared" si="15"/>
        <v>0</v>
      </c>
      <c r="AY30" s="1">
        <f t="shared" si="15"/>
        <v>0</v>
      </c>
      <c r="AZ30" s="1">
        <f t="shared" si="15"/>
        <v>0</v>
      </c>
      <c r="BA30" s="1">
        <f t="shared" si="15"/>
        <v>0</v>
      </c>
    </row>
    <row r="31" spans="1:54" ht="15.75" customHeight="1" x14ac:dyDescent="0.35">
      <c r="A31" s="5"/>
      <c r="B31" s="5" t="s">
        <v>15</v>
      </c>
      <c r="C31" s="5"/>
      <c r="D31" s="5"/>
      <c r="E31" s="5"/>
      <c r="F31" s="5"/>
      <c r="G31" s="5"/>
      <c r="H31" s="5"/>
      <c r="I31" s="5"/>
      <c r="J31" s="5"/>
      <c r="K31" s="5"/>
      <c r="Q31" s="1">
        <f t="shared" ref="Q31:AQ31" si="16">SUM(Q130,Q145)</f>
        <v>0</v>
      </c>
      <c r="R31" s="1">
        <f t="shared" si="16"/>
        <v>0</v>
      </c>
      <c r="S31" s="1">
        <f t="shared" si="16"/>
        <v>0</v>
      </c>
      <c r="T31" s="1">
        <f t="shared" si="16"/>
        <v>0</v>
      </c>
      <c r="U31" s="1">
        <f t="shared" si="16"/>
        <v>0</v>
      </c>
      <c r="V31" s="1">
        <f t="shared" si="16"/>
        <v>0</v>
      </c>
      <c r="W31" s="1">
        <f t="shared" si="16"/>
        <v>0</v>
      </c>
      <c r="X31" s="1">
        <f t="shared" si="16"/>
        <v>0</v>
      </c>
      <c r="Y31" s="1">
        <f t="shared" si="16"/>
        <v>0</v>
      </c>
      <c r="Z31" s="1">
        <f t="shared" si="16"/>
        <v>0</v>
      </c>
      <c r="AA31" s="1">
        <f t="shared" si="16"/>
        <v>0</v>
      </c>
      <c r="AB31" s="1">
        <f t="shared" si="16"/>
        <v>0</v>
      </c>
      <c r="AC31" s="1">
        <f t="shared" si="16"/>
        <v>0</v>
      </c>
      <c r="AD31" s="1">
        <f t="shared" si="16"/>
        <v>0</v>
      </c>
      <c r="AE31" s="1">
        <f t="shared" si="16"/>
        <v>0</v>
      </c>
      <c r="AF31" s="1">
        <f t="shared" si="16"/>
        <v>0</v>
      </c>
      <c r="AG31" s="1">
        <f t="shared" si="16"/>
        <v>0</v>
      </c>
      <c r="AH31" s="1">
        <f t="shared" si="16"/>
        <v>0</v>
      </c>
      <c r="AI31" s="1">
        <f t="shared" si="16"/>
        <v>0</v>
      </c>
      <c r="AJ31" s="1">
        <f t="shared" si="16"/>
        <v>0</v>
      </c>
      <c r="AK31" s="1">
        <f t="shared" si="16"/>
        <v>0</v>
      </c>
      <c r="AL31" s="1">
        <f t="shared" si="16"/>
        <v>0</v>
      </c>
      <c r="AM31" s="1">
        <f t="shared" si="16"/>
        <v>0</v>
      </c>
      <c r="AN31" s="1">
        <f t="shared" si="16"/>
        <v>0</v>
      </c>
      <c r="AO31" s="1">
        <f t="shared" si="16"/>
        <v>0</v>
      </c>
      <c r="AP31" s="1">
        <f t="shared" si="16"/>
        <v>0</v>
      </c>
      <c r="AQ31" s="1">
        <f t="shared" si="16"/>
        <v>0</v>
      </c>
      <c r="AR31" s="1">
        <f>SUM(AR130,AR145)</f>
        <v>0</v>
      </c>
      <c r="AS31" s="1">
        <f t="shared" ref="AS31:BA31" si="17">SUM(AS130,AS145)</f>
        <v>0</v>
      </c>
      <c r="AT31" s="1">
        <f t="shared" si="17"/>
        <v>0</v>
      </c>
      <c r="AU31" s="1">
        <f t="shared" si="17"/>
        <v>0</v>
      </c>
      <c r="AV31" s="1">
        <f t="shared" si="17"/>
        <v>0</v>
      </c>
      <c r="AW31" s="1">
        <f t="shared" si="17"/>
        <v>0</v>
      </c>
      <c r="AX31" s="1">
        <f t="shared" si="17"/>
        <v>0</v>
      </c>
      <c r="AY31" s="1">
        <f t="shared" si="17"/>
        <v>0</v>
      </c>
      <c r="AZ31" s="1">
        <f t="shared" si="17"/>
        <v>0</v>
      </c>
      <c r="BA31" s="1">
        <f t="shared" si="17"/>
        <v>0</v>
      </c>
    </row>
    <row r="32" spans="1:54" x14ac:dyDescent="0.35"/>
    <row r="33" spans="1:54" ht="15.75" customHeight="1" thickBot="1" x14ac:dyDescent="0.4">
      <c r="A33" s="44" t="s">
        <v>64</v>
      </c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5"/>
    </row>
    <row r="34" spans="1:54" ht="15" thickTop="1" x14ac:dyDescent="0.35"/>
    <row r="35" spans="1:54" ht="15.75" customHeight="1" x14ac:dyDescent="0.35">
      <c r="A35" s="3" t="s">
        <v>16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4">
        <f t="shared" ref="N35:N43" si="18">SUM(Q35:BA35)</f>
        <v>0</v>
      </c>
      <c r="O35" s="3"/>
      <c r="P35" s="3"/>
      <c r="Q35" s="4">
        <f t="shared" ref="Q35:BA35" si="19">SUM(Q36:Q43)</f>
        <v>0</v>
      </c>
      <c r="R35" s="4">
        <f t="shared" si="19"/>
        <v>0</v>
      </c>
      <c r="S35" s="4">
        <f t="shared" si="19"/>
        <v>0</v>
      </c>
      <c r="T35" s="4">
        <f t="shared" si="19"/>
        <v>0</v>
      </c>
      <c r="U35" s="4">
        <f t="shared" si="19"/>
        <v>0</v>
      </c>
      <c r="V35" s="4">
        <f t="shared" si="19"/>
        <v>0</v>
      </c>
      <c r="W35" s="4">
        <f t="shared" si="19"/>
        <v>0</v>
      </c>
      <c r="X35" s="4">
        <f t="shared" si="19"/>
        <v>0</v>
      </c>
      <c r="Y35" s="4">
        <f t="shared" si="19"/>
        <v>0</v>
      </c>
      <c r="Z35" s="4">
        <f t="shared" si="19"/>
        <v>0</v>
      </c>
      <c r="AA35" s="4">
        <f t="shared" si="19"/>
        <v>0</v>
      </c>
      <c r="AB35" s="4">
        <f t="shared" si="19"/>
        <v>0</v>
      </c>
      <c r="AC35" s="4">
        <f t="shared" si="19"/>
        <v>0</v>
      </c>
      <c r="AD35" s="4">
        <f t="shared" si="19"/>
        <v>0</v>
      </c>
      <c r="AE35" s="4">
        <f t="shared" si="19"/>
        <v>0</v>
      </c>
      <c r="AF35" s="4">
        <f t="shared" si="19"/>
        <v>0</v>
      </c>
      <c r="AG35" s="4">
        <f t="shared" si="19"/>
        <v>0</v>
      </c>
      <c r="AH35" s="4">
        <f t="shared" si="19"/>
        <v>0</v>
      </c>
      <c r="AI35" s="4">
        <f t="shared" si="19"/>
        <v>0</v>
      </c>
      <c r="AJ35" s="4">
        <f t="shared" si="19"/>
        <v>0</v>
      </c>
      <c r="AK35" s="4">
        <f t="shared" si="19"/>
        <v>0</v>
      </c>
      <c r="AL35" s="4">
        <f t="shared" si="19"/>
        <v>0</v>
      </c>
      <c r="AM35" s="4">
        <f t="shared" si="19"/>
        <v>0</v>
      </c>
      <c r="AN35" s="4">
        <f t="shared" si="19"/>
        <v>0</v>
      </c>
      <c r="AO35" s="4">
        <f t="shared" si="19"/>
        <v>0</v>
      </c>
      <c r="AP35" s="4">
        <f t="shared" si="19"/>
        <v>0</v>
      </c>
      <c r="AQ35" s="4">
        <f t="shared" si="19"/>
        <v>0</v>
      </c>
      <c r="AR35" s="4">
        <f t="shared" si="19"/>
        <v>0</v>
      </c>
      <c r="AS35" s="4">
        <f t="shared" si="19"/>
        <v>0</v>
      </c>
      <c r="AT35" s="4">
        <f t="shared" si="19"/>
        <v>0</v>
      </c>
      <c r="AU35" s="4">
        <f t="shared" si="19"/>
        <v>0</v>
      </c>
      <c r="AV35" s="4">
        <f t="shared" si="19"/>
        <v>0</v>
      </c>
      <c r="AW35" s="4">
        <f t="shared" si="19"/>
        <v>0</v>
      </c>
      <c r="AX35" s="4">
        <f t="shared" si="19"/>
        <v>0</v>
      </c>
      <c r="AY35" s="4">
        <f t="shared" si="19"/>
        <v>0</v>
      </c>
      <c r="AZ35" s="4">
        <f t="shared" si="19"/>
        <v>0</v>
      </c>
      <c r="BA35" s="4">
        <f t="shared" si="19"/>
        <v>0</v>
      </c>
    </row>
    <row r="36" spans="1:54" ht="15.75" customHeight="1" x14ac:dyDescent="0.35">
      <c r="A36" s="5"/>
      <c r="B36" s="5" t="s">
        <v>136</v>
      </c>
      <c r="C36" s="5"/>
      <c r="D36" s="5"/>
      <c r="E36" s="5"/>
      <c r="F36" s="5"/>
      <c r="G36" s="5"/>
      <c r="H36" s="5"/>
      <c r="I36" s="5"/>
      <c r="J36" s="5"/>
      <c r="K36" s="5"/>
      <c r="L36" s="5"/>
      <c r="N36" s="1">
        <f t="shared" si="18"/>
        <v>0</v>
      </c>
      <c r="Q36" s="1">
        <f t="shared" ref="Q36:BA36" si="20">Q88</f>
        <v>0</v>
      </c>
      <c r="R36" s="1">
        <f t="shared" si="20"/>
        <v>0</v>
      </c>
      <c r="S36" s="1">
        <f t="shared" si="20"/>
        <v>0</v>
      </c>
      <c r="T36" s="1">
        <f t="shared" si="20"/>
        <v>0</v>
      </c>
      <c r="U36" s="1">
        <f t="shared" si="20"/>
        <v>0</v>
      </c>
      <c r="V36" s="1">
        <f t="shared" si="20"/>
        <v>0</v>
      </c>
      <c r="W36" s="1">
        <f t="shared" si="20"/>
        <v>0</v>
      </c>
      <c r="X36" s="1">
        <f t="shared" si="20"/>
        <v>0</v>
      </c>
      <c r="Y36" s="1">
        <f t="shared" si="20"/>
        <v>0</v>
      </c>
      <c r="Z36" s="1">
        <f t="shared" si="20"/>
        <v>0</v>
      </c>
      <c r="AA36" s="1">
        <f t="shared" si="20"/>
        <v>0</v>
      </c>
      <c r="AB36" s="1">
        <f t="shared" si="20"/>
        <v>0</v>
      </c>
      <c r="AC36" s="1">
        <f t="shared" si="20"/>
        <v>0</v>
      </c>
      <c r="AD36" s="1">
        <f t="shared" si="20"/>
        <v>0</v>
      </c>
      <c r="AE36" s="1">
        <f t="shared" si="20"/>
        <v>0</v>
      </c>
      <c r="AF36" s="1">
        <f t="shared" si="20"/>
        <v>0</v>
      </c>
      <c r="AG36" s="1">
        <f t="shared" si="20"/>
        <v>0</v>
      </c>
      <c r="AH36" s="1">
        <f t="shared" si="20"/>
        <v>0</v>
      </c>
      <c r="AI36" s="1">
        <f t="shared" si="20"/>
        <v>0</v>
      </c>
      <c r="AJ36" s="1">
        <f t="shared" si="20"/>
        <v>0</v>
      </c>
      <c r="AK36" s="1">
        <f t="shared" si="20"/>
        <v>0</v>
      </c>
      <c r="AL36" s="1">
        <f t="shared" si="20"/>
        <v>0</v>
      </c>
      <c r="AM36" s="1">
        <f t="shared" si="20"/>
        <v>0</v>
      </c>
      <c r="AN36" s="1">
        <f t="shared" si="20"/>
        <v>0</v>
      </c>
      <c r="AO36" s="1">
        <f t="shared" si="20"/>
        <v>0</v>
      </c>
      <c r="AP36" s="1">
        <f t="shared" si="20"/>
        <v>0</v>
      </c>
      <c r="AQ36" s="1">
        <f t="shared" si="20"/>
        <v>0</v>
      </c>
      <c r="AR36" s="1">
        <f t="shared" si="20"/>
        <v>0</v>
      </c>
      <c r="AS36" s="1">
        <f t="shared" si="20"/>
        <v>0</v>
      </c>
      <c r="AT36" s="1">
        <f t="shared" si="20"/>
        <v>0</v>
      </c>
      <c r="AU36" s="1">
        <f t="shared" si="20"/>
        <v>0</v>
      </c>
      <c r="AV36" s="1">
        <f t="shared" si="20"/>
        <v>0</v>
      </c>
      <c r="AW36" s="1">
        <f t="shared" si="20"/>
        <v>0</v>
      </c>
      <c r="AX36" s="1">
        <f t="shared" si="20"/>
        <v>0</v>
      </c>
      <c r="AY36" s="1">
        <f t="shared" si="20"/>
        <v>0</v>
      </c>
      <c r="AZ36" s="1">
        <f t="shared" si="20"/>
        <v>0</v>
      </c>
      <c r="BA36" s="1">
        <f t="shared" si="20"/>
        <v>0</v>
      </c>
    </row>
    <row r="37" spans="1:54" ht="15.75" customHeight="1" x14ac:dyDescent="0.35">
      <c r="A37" s="5"/>
      <c r="B37" s="5" t="s">
        <v>99</v>
      </c>
      <c r="C37" s="5"/>
      <c r="D37" s="5"/>
      <c r="E37" s="5"/>
      <c r="F37" s="5"/>
      <c r="G37" s="5"/>
      <c r="H37" s="5"/>
      <c r="I37" s="5"/>
      <c r="J37" s="5"/>
      <c r="K37" s="5"/>
      <c r="L37" s="5"/>
      <c r="N37" s="1">
        <f t="shared" si="18"/>
        <v>0</v>
      </c>
      <c r="Q37" s="1">
        <f t="shared" ref="Q37:BA38" si="21">-Q176</f>
        <v>0</v>
      </c>
      <c r="R37" s="1">
        <f t="shared" si="21"/>
        <v>0</v>
      </c>
      <c r="S37" s="1">
        <f t="shared" si="21"/>
        <v>0</v>
      </c>
      <c r="T37" s="1">
        <f t="shared" si="21"/>
        <v>0</v>
      </c>
      <c r="U37" s="1">
        <f t="shared" si="21"/>
        <v>0</v>
      </c>
      <c r="V37" s="1">
        <f t="shared" si="21"/>
        <v>0</v>
      </c>
      <c r="W37" s="1">
        <f t="shared" si="21"/>
        <v>0</v>
      </c>
      <c r="X37" s="1">
        <f t="shared" si="21"/>
        <v>0</v>
      </c>
      <c r="Y37" s="1">
        <f t="shared" si="21"/>
        <v>0</v>
      </c>
      <c r="Z37" s="1">
        <f t="shared" si="21"/>
        <v>0</v>
      </c>
      <c r="AA37" s="1">
        <f t="shared" si="21"/>
        <v>0</v>
      </c>
      <c r="AB37" s="1">
        <f t="shared" si="21"/>
        <v>0</v>
      </c>
      <c r="AC37" s="1">
        <f t="shared" si="21"/>
        <v>0</v>
      </c>
      <c r="AD37" s="1">
        <f t="shared" si="21"/>
        <v>0</v>
      </c>
      <c r="AE37" s="1">
        <f t="shared" si="21"/>
        <v>0</v>
      </c>
      <c r="AF37" s="1">
        <f t="shared" si="21"/>
        <v>0</v>
      </c>
      <c r="AG37" s="1">
        <f t="shared" si="21"/>
        <v>0</v>
      </c>
      <c r="AH37" s="1">
        <f t="shared" si="21"/>
        <v>0</v>
      </c>
      <c r="AI37" s="1">
        <f t="shared" si="21"/>
        <v>0</v>
      </c>
      <c r="AJ37" s="1">
        <f t="shared" si="21"/>
        <v>0</v>
      </c>
      <c r="AK37" s="1">
        <f t="shared" si="21"/>
        <v>0</v>
      </c>
      <c r="AL37" s="1">
        <f t="shared" si="21"/>
        <v>0</v>
      </c>
      <c r="AM37" s="1">
        <f t="shared" si="21"/>
        <v>0</v>
      </c>
      <c r="AN37" s="1">
        <f t="shared" si="21"/>
        <v>0</v>
      </c>
      <c r="AO37" s="1">
        <f t="shared" si="21"/>
        <v>0</v>
      </c>
      <c r="AP37" s="1">
        <f t="shared" si="21"/>
        <v>0</v>
      </c>
      <c r="AQ37" s="1">
        <f t="shared" si="21"/>
        <v>0</v>
      </c>
      <c r="AR37" s="1">
        <f t="shared" si="21"/>
        <v>0</v>
      </c>
      <c r="AS37" s="1">
        <f t="shared" si="21"/>
        <v>0</v>
      </c>
      <c r="AT37" s="1">
        <f t="shared" si="21"/>
        <v>0</v>
      </c>
      <c r="AU37" s="1">
        <f t="shared" si="21"/>
        <v>0</v>
      </c>
      <c r="AV37" s="1">
        <f t="shared" si="21"/>
        <v>0</v>
      </c>
      <c r="AW37" s="1">
        <f t="shared" si="21"/>
        <v>0</v>
      </c>
      <c r="AX37" s="1">
        <f t="shared" si="21"/>
        <v>0</v>
      </c>
      <c r="AY37" s="1">
        <f t="shared" si="21"/>
        <v>0</v>
      </c>
      <c r="AZ37" s="1">
        <f t="shared" si="21"/>
        <v>0</v>
      </c>
      <c r="BA37" s="1">
        <f t="shared" si="21"/>
        <v>0</v>
      </c>
    </row>
    <row r="38" spans="1:54" ht="15.75" customHeight="1" x14ac:dyDescent="0.35">
      <c r="A38" s="5"/>
      <c r="B38" s="5" t="s">
        <v>100</v>
      </c>
      <c r="C38" s="5"/>
      <c r="D38" s="5"/>
      <c r="E38" s="5"/>
      <c r="F38" s="5"/>
      <c r="G38" s="5"/>
      <c r="H38" s="5"/>
      <c r="I38" s="5"/>
      <c r="J38" s="5"/>
      <c r="K38" s="5"/>
      <c r="L38" s="5"/>
      <c r="N38" s="1">
        <f t="shared" si="18"/>
        <v>0</v>
      </c>
      <c r="Q38" s="1">
        <f t="shared" si="21"/>
        <v>0</v>
      </c>
      <c r="R38" s="1">
        <f t="shared" si="21"/>
        <v>0</v>
      </c>
      <c r="S38" s="1">
        <f t="shared" si="21"/>
        <v>0</v>
      </c>
      <c r="T38" s="1">
        <f t="shared" si="21"/>
        <v>0</v>
      </c>
      <c r="U38" s="1">
        <f t="shared" si="21"/>
        <v>0</v>
      </c>
      <c r="V38" s="1">
        <f t="shared" si="21"/>
        <v>0</v>
      </c>
      <c r="W38" s="1">
        <f t="shared" si="21"/>
        <v>0</v>
      </c>
      <c r="X38" s="1">
        <f t="shared" si="21"/>
        <v>0</v>
      </c>
      <c r="Y38" s="1">
        <f t="shared" si="21"/>
        <v>0</v>
      </c>
      <c r="Z38" s="1">
        <f t="shared" si="21"/>
        <v>0</v>
      </c>
      <c r="AA38" s="1">
        <f t="shared" si="21"/>
        <v>0</v>
      </c>
      <c r="AB38" s="1">
        <f t="shared" si="21"/>
        <v>0</v>
      </c>
      <c r="AC38" s="1">
        <f t="shared" si="21"/>
        <v>0</v>
      </c>
      <c r="AD38" s="1">
        <f t="shared" si="21"/>
        <v>0</v>
      </c>
      <c r="AE38" s="1">
        <f t="shared" si="21"/>
        <v>0</v>
      </c>
      <c r="AF38" s="1">
        <f t="shared" si="21"/>
        <v>0</v>
      </c>
      <c r="AG38" s="1">
        <f t="shared" si="21"/>
        <v>0</v>
      </c>
      <c r="AH38" s="1">
        <f t="shared" si="21"/>
        <v>0</v>
      </c>
      <c r="AI38" s="1">
        <f t="shared" si="21"/>
        <v>0</v>
      </c>
      <c r="AJ38" s="1">
        <f t="shared" si="21"/>
        <v>0</v>
      </c>
      <c r="AK38" s="1">
        <f t="shared" si="21"/>
        <v>0</v>
      </c>
      <c r="AL38" s="1">
        <f t="shared" si="21"/>
        <v>0</v>
      </c>
      <c r="AM38" s="1">
        <f t="shared" si="21"/>
        <v>0</v>
      </c>
      <c r="AN38" s="1">
        <f t="shared" si="21"/>
        <v>0</v>
      </c>
      <c r="AO38" s="1">
        <f t="shared" si="21"/>
        <v>0</v>
      </c>
      <c r="AP38" s="1">
        <f t="shared" si="21"/>
        <v>0</v>
      </c>
      <c r="AQ38" s="1">
        <f t="shared" si="21"/>
        <v>0</v>
      </c>
      <c r="AR38" s="1">
        <f t="shared" si="21"/>
        <v>0</v>
      </c>
      <c r="AS38" s="1">
        <f t="shared" si="21"/>
        <v>0</v>
      </c>
      <c r="AT38" s="1">
        <f t="shared" si="21"/>
        <v>0</v>
      </c>
      <c r="AU38" s="1">
        <f t="shared" si="21"/>
        <v>0</v>
      </c>
      <c r="AV38" s="1">
        <f t="shared" si="21"/>
        <v>0</v>
      </c>
      <c r="AW38" s="1">
        <f t="shared" si="21"/>
        <v>0</v>
      </c>
      <c r="AX38" s="1">
        <f t="shared" si="21"/>
        <v>0</v>
      </c>
      <c r="AY38" s="1">
        <f t="shared" si="21"/>
        <v>0</v>
      </c>
      <c r="AZ38" s="1">
        <f t="shared" si="21"/>
        <v>0</v>
      </c>
      <c r="BA38" s="1">
        <f t="shared" si="21"/>
        <v>0</v>
      </c>
    </row>
    <row r="39" spans="1:54" ht="15.75" customHeight="1" x14ac:dyDescent="0.35">
      <c r="A39" s="5"/>
      <c r="B39" s="5" t="s">
        <v>66</v>
      </c>
      <c r="C39" s="5"/>
      <c r="D39" s="5"/>
      <c r="E39" s="5"/>
      <c r="F39" s="5"/>
      <c r="G39" s="5"/>
      <c r="H39" s="5"/>
      <c r="I39" s="5"/>
      <c r="J39" s="5"/>
      <c r="K39" s="5"/>
      <c r="L39" s="5"/>
      <c r="N39" s="1">
        <f t="shared" si="18"/>
        <v>0</v>
      </c>
      <c r="Q39" s="1">
        <f t="shared" ref="Q39:BA39" si="22">-Q69</f>
        <v>0</v>
      </c>
      <c r="R39" s="1">
        <f t="shared" si="22"/>
        <v>0</v>
      </c>
      <c r="S39" s="1">
        <f t="shared" si="22"/>
        <v>0</v>
      </c>
      <c r="T39" s="1">
        <f t="shared" si="22"/>
        <v>0</v>
      </c>
      <c r="U39" s="1">
        <f t="shared" si="22"/>
        <v>0</v>
      </c>
      <c r="V39" s="1">
        <f t="shared" si="22"/>
        <v>0</v>
      </c>
      <c r="W39" s="1">
        <f t="shared" si="22"/>
        <v>0</v>
      </c>
      <c r="X39" s="1">
        <f t="shared" si="22"/>
        <v>0</v>
      </c>
      <c r="Y39" s="1">
        <f t="shared" si="22"/>
        <v>0</v>
      </c>
      <c r="Z39" s="1">
        <f t="shared" si="22"/>
        <v>0</v>
      </c>
      <c r="AA39" s="1">
        <f t="shared" si="22"/>
        <v>0</v>
      </c>
      <c r="AB39" s="1">
        <f t="shared" si="22"/>
        <v>0</v>
      </c>
      <c r="AC39" s="1">
        <f t="shared" si="22"/>
        <v>0</v>
      </c>
      <c r="AD39" s="1">
        <f t="shared" si="22"/>
        <v>0</v>
      </c>
      <c r="AE39" s="1">
        <f t="shared" si="22"/>
        <v>0</v>
      </c>
      <c r="AF39" s="1">
        <f t="shared" si="22"/>
        <v>0</v>
      </c>
      <c r="AG39" s="1">
        <f t="shared" si="22"/>
        <v>0</v>
      </c>
      <c r="AH39" s="1">
        <f t="shared" si="22"/>
        <v>0</v>
      </c>
      <c r="AI39" s="1">
        <f t="shared" si="22"/>
        <v>0</v>
      </c>
      <c r="AJ39" s="1">
        <f t="shared" si="22"/>
        <v>0</v>
      </c>
      <c r="AK39" s="1">
        <f t="shared" si="22"/>
        <v>0</v>
      </c>
      <c r="AL39" s="1">
        <f t="shared" si="22"/>
        <v>0</v>
      </c>
      <c r="AM39" s="1">
        <f t="shared" si="22"/>
        <v>0</v>
      </c>
      <c r="AN39" s="1">
        <f t="shared" si="22"/>
        <v>0</v>
      </c>
      <c r="AO39" s="1">
        <f t="shared" si="22"/>
        <v>0</v>
      </c>
      <c r="AP39" s="1">
        <f t="shared" si="22"/>
        <v>0</v>
      </c>
      <c r="AQ39" s="1">
        <f t="shared" si="22"/>
        <v>0</v>
      </c>
      <c r="AR39" s="1">
        <f t="shared" si="22"/>
        <v>0</v>
      </c>
      <c r="AS39" s="1">
        <f t="shared" si="22"/>
        <v>0</v>
      </c>
      <c r="AT39" s="1">
        <f t="shared" si="22"/>
        <v>0</v>
      </c>
      <c r="AU39" s="1">
        <f t="shared" si="22"/>
        <v>0</v>
      </c>
      <c r="AV39" s="1">
        <f t="shared" si="22"/>
        <v>0</v>
      </c>
      <c r="AW39" s="1">
        <f t="shared" si="22"/>
        <v>0</v>
      </c>
      <c r="AX39" s="1">
        <f t="shared" si="22"/>
        <v>0</v>
      </c>
      <c r="AY39" s="1">
        <f t="shared" si="22"/>
        <v>0</v>
      </c>
      <c r="AZ39" s="1">
        <f t="shared" si="22"/>
        <v>0</v>
      </c>
      <c r="BA39" s="1">
        <f t="shared" si="22"/>
        <v>0</v>
      </c>
    </row>
    <row r="40" spans="1:54" ht="15.75" customHeight="1" x14ac:dyDescent="0.35">
      <c r="A40" s="5"/>
      <c r="B40" s="5" t="s">
        <v>142</v>
      </c>
      <c r="C40" s="5"/>
      <c r="D40" s="5"/>
      <c r="E40" s="5"/>
      <c r="F40" s="5"/>
      <c r="G40" s="5"/>
      <c r="H40" s="5"/>
      <c r="I40" s="5"/>
      <c r="J40" s="5"/>
      <c r="K40" s="5"/>
      <c r="L40" s="5"/>
      <c r="N40" s="1">
        <f t="shared" si="18"/>
        <v>0</v>
      </c>
      <c r="Q40" s="1">
        <f t="shared" ref="Q40:BA40" si="23">-Q74</f>
        <v>0</v>
      </c>
      <c r="R40" s="1">
        <f t="shared" si="23"/>
        <v>0</v>
      </c>
      <c r="S40" s="1">
        <f t="shared" si="23"/>
        <v>0</v>
      </c>
      <c r="T40" s="1">
        <f t="shared" si="23"/>
        <v>0</v>
      </c>
      <c r="U40" s="1">
        <f t="shared" si="23"/>
        <v>0</v>
      </c>
      <c r="V40" s="1">
        <f t="shared" si="23"/>
        <v>0</v>
      </c>
      <c r="W40" s="1">
        <f t="shared" si="23"/>
        <v>0</v>
      </c>
      <c r="X40" s="1">
        <f t="shared" si="23"/>
        <v>0</v>
      </c>
      <c r="Y40" s="1">
        <f t="shared" si="23"/>
        <v>0</v>
      </c>
      <c r="Z40" s="1">
        <f t="shared" si="23"/>
        <v>0</v>
      </c>
      <c r="AA40" s="1">
        <f t="shared" si="23"/>
        <v>0</v>
      </c>
      <c r="AB40" s="1">
        <f t="shared" si="23"/>
        <v>0</v>
      </c>
      <c r="AC40" s="1">
        <f t="shared" si="23"/>
        <v>0</v>
      </c>
      <c r="AD40" s="1">
        <f t="shared" si="23"/>
        <v>0</v>
      </c>
      <c r="AE40" s="1">
        <f t="shared" si="23"/>
        <v>0</v>
      </c>
      <c r="AF40" s="1">
        <f t="shared" si="23"/>
        <v>0</v>
      </c>
      <c r="AG40" s="1">
        <f t="shared" si="23"/>
        <v>0</v>
      </c>
      <c r="AH40" s="1">
        <f t="shared" si="23"/>
        <v>0</v>
      </c>
      <c r="AI40" s="1">
        <f t="shared" si="23"/>
        <v>0</v>
      </c>
      <c r="AJ40" s="1">
        <f t="shared" si="23"/>
        <v>0</v>
      </c>
      <c r="AK40" s="1">
        <f t="shared" si="23"/>
        <v>0</v>
      </c>
      <c r="AL40" s="1">
        <f t="shared" si="23"/>
        <v>0</v>
      </c>
      <c r="AM40" s="1">
        <f t="shared" si="23"/>
        <v>0</v>
      </c>
      <c r="AN40" s="1">
        <f t="shared" si="23"/>
        <v>0</v>
      </c>
      <c r="AO40" s="1">
        <f t="shared" si="23"/>
        <v>0</v>
      </c>
      <c r="AP40" s="1">
        <f t="shared" si="23"/>
        <v>0</v>
      </c>
      <c r="AQ40" s="1">
        <f t="shared" si="23"/>
        <v>0</v>
      </c>
      <c r="AR40" s="1">
        <f t="shared" si="23"/>
        <v>0</v>
      </c>
      <c r="AS40" s="1">
        <f t="shared" si="23"/>
        <v>0</v>
      </c>
      <c r="AT40" s="1">
        <f t="shared" si="23"/>
        <v>0</v>
      </c>
      <c r="AU40" s="1">
        <f t="shared" si="23"/>
        <v>0</v>
      </c>
      <c r="AV40" s="1">
        <f t="shared" si="23"/>
        <v>0</v>
      </c>
      <c r="AW40" s="1">
        <f t="shared" si="23"/>
        <v>0</v>
      </c>
      <c r="AX40" s="1">
        <f t="shared" si="23"/>
        <v>0</v>
      </c>
      <c r="AY40" s="1">
        <f t="shared" si="23"/>
        <v>0</v>
      </c>
      <c r="AZ40" s="1">
        <f t="shared" si="23"/>
        <v>0</v>
      </c>
      <c r="BA40" s="1">
        <f t="shared" si="23"/>
        <v>0</v>
      </c>
    </row>
    <row r="41" spans="1:54" ht="15.75" customHeight="1" x14ac:dyDescent="0.35">
      <c r="A41" s="5"/>
      <c r="B41" s="5" t="s">
        <v>6</v>
      </c>
      <c r="C41" s="5"/>
      <c r="D41" s="5"/>
      <c r="E41" s="5"/>
      <c r="F41" s="5"/>
      <c r="G41" s="5"/>
      <c r="H41" s="5"/>
      <c r="I41" s="5"/>
      <c r="J41" s="5"/>
      <c r="K41" s="5"/>
      <c r="L41" s="5"/>
      <c r="N41" s="1">
        <f t="shared" si="18"/>
        <v>0</v>
      </c>
      <c r="Q41" s="1">
        <f t="shared" ref="Q41:BA41" si="24">-Q73</f>
        <v>0</v>
      </c>
      <c r="R41" s="1">
        <f t="shared" si="24"/>
        <v>0</v>
      </c>
      <c r="S41" s="1">
        <f t="shared" si="24"/>
        <v>0</v>
      </c>
      <c r="T41" s="1">
        <f t="shared" si="24"/>
        <v>0</v>
      </c>
      <c r="U41" s="1">
        <f t="shared" si="24"/>
        <v>0</v>
      </c>
      <c r="V41" s="1">
        <f t="shared" si="24"/>
        <v>0</v>
      </c>
      <c r="W41" s="1">
        <f t="shared" si="24"/>
        <v>0</v>
      </c>
      <c r="X41" s="1">
        <f t="shared" si="24"/>
        <v>0</v>
      </c>
      <c r="Y41" s="1">
        <f t="shared" si="24"/>
        <v>0</v>
      </c>
      <c r="Z41" s="1">
        <f t="shared" si="24"/>
        <v>0</v>
      </c>
      <c r="AA41" s="1">
        <f t="shared" si="24"/>
        <v>0</v>
      </c>
      <c r="AB41" s="1">
        <f t="shared" si="24"/>
        <v>0</v>
      </c>
      <c r="AC41" s="1">
        <f t="shared" si="24"/>
        <v>0</v>
      </c>
      <c r="AD41" s="1">
        <f t="shared" si="24"/>
        <v>0</v>
      </c>
      <c r="AE41" s="1">
        <f t="shared" si="24"/>
        <v>0</v>
      </c>
      <c r="AF41" s="1">
        <f t="shared" si="24"/>
        <v>0</v>
      </c>
      <c r="AG41" s="1">
        <f t="shared" si="24"/>
        <v>0</v>
      </c>
      <c r="AH41" s="1">
        <f t="shared" si="24"/>
        <v>0</v>
      </c>
      <c r="AI41" s="1">
        <f t="shared" si="24"/>
        <v>0</v>
      </c>
      <c r="AJ41" s="1">
        <f t="shared" si="24"/>
        <v>0</v>
      </c>
      <c r="AK41" s="1">
        <f t="shared" si="24"/>
        <v>0</v>
      </c>
      <c r="AL41" s="1">
        <f t="shared" si="24"/>
        <v>0</v>
      </c>
      <c r="AM41" s="1">
        <f t="shared" si="24"/>
        <v>0</v>
      </c>
      <c r="AN41" s="1">
        <f t="shared" si="24"/>
        <v>0</v>
      </c>
      <c r="AO41" s="1">
        <f t="shared" si="24"/>
        <v>0</v>
      </c>
      <c r="AP41" s="1">
        <f t="shared" si="24"/>
        <v>0</v>
      </c>
      <c r="AQ41" s="1">
        <f t="shared" si="24"/>
        <v>0</v>
      </c>
      <c r="AR41" s="1">
        <f t="shared" si="24"/>
        <v>0</v>
      </c>
      <c r="AS41" s="1">
        <f t="shared" si="24"/>
        <v>0</v>
      </c>
      <c r="AT41" s="1">
        <f t="shared" si="24"/>
        <v>0</v>
      </c>
      <c r="AU41" s="1">
        <f t="shared" si="24"/>
        <v>0</v>
      </c>
      <c r="AV41" s="1">
        <f t="shared" si="24"/>
        <v>0</v>
      </c>
      <c r="AW41" s="1">
        <f t="shared" si="24"/>
        <v>0</v>
      </c>
      <c r="AX41" s="1">
        <f t="shared" si="24"/>
        <v>0</v>
      </c>
      <c r="AY41" s="1">
        <f t="shared" si="24"/>
        <v>0</v>
      </c>
      <c r="AZ41" s="1">
        <f t="shared" si="24"/>
        <v>0</v>
      </c>
      <c r="BA41" s="1">
        <f t="shared" si="24"/>
        <v>0</v>
      </c>
    </row>
    <row r="42" spans="1:54" ht="15.75" customHeight="1" x14ac:dyDescent="0.35">
      <c r="A42" s="5"/>
      <c r="B42" s="5" t="s">
        <v>9</v>
      </c>
      <c r="C42" s="5"/>
      <c r="D42" s="5"/>
      <c r="E42" s="5"/>
      <c r="F42" s="5"/>
      <c r="G42" s="5"/>
      <c r="H42" s="5"/>
      <c r="I42" s="5"/>
      <c r="J42" s="5"/>
      <c r="K42" s="5"/>
      <c r="L42" s="5"/>
      <c r="N42" s="1">
        <f t="shared" si="18"/>
        <v>0</v>
      </c>
      <c r="Q42" s="1">
        <f t="shared" ref="Q42:BA42" si="25">-Q19</f>
        <v>0</v>
      </c>
      <c r="R42" s="1">
        <f t="shared" si="25"/>
        <v>0</v>
      </c>
      <c r="S42" s="1">
        <f t="shared" si="25"/>
        <v>0</v>
      </c>
      <c r="T42" s="1">
        <f t="shared" si="25"/>
        <v>0</v>
      </c>
      <c r="U42" s="1">
        <f t="shared" si="25"/>
        <v>0</v>
      </c>
      <c r="V42" s="1">
        <f t="shared" si="25"/>
        <v>0</v>
      </c>
      <c r="W42" s="1">
        <f t="shared" si="25"/>
        <v>0</v>
      </c>
      <c r="X42" s="1">
        <f t="shared" si="25"/>
        <v>0</v>
      </c>
      <c r="Y42" s="1">
        <f t="shared" si="25"/>
        <v>0</v>
      </c>
      <c r="Z42" s="1">
        <f t="shared" si="25"/>
        <v>0</v>
      </c>
      <c r="AA42" s="1">
        <f t="shared" si="25"/>
        <v>0</v>
      </c>
      <c r="AB42" s="1">
        <f t="shared" si="25"/>
        <v>0</v>
      </c>
      <c r="AC42" s="1">
        <f t="shared" si="25"/>
        <v>0</v>
      </c>
      <c r="AD42" s="1">
        <f t="shared" si="25"/>
        <v>0</v>
      </c>
      <c r="AE42" s="1">
        <f t="shared" si="25"/>
        <v>0</v>
      </c>
      <c r="AF42" s="1">
        <f t="shared" si="25"/>
        <v>0</v>
      </c>
      <c r="AG42" s="1">
        <f t="shared" si="25"/>
        <v>0</v>
      </c>
      <c r="AH42" s="1">
        <f t="shared" si="25"/>
        <v>0</v>
      </c>
      <c r="AI42" s="1">
        <f t="shared" si="25"/>
        <v>0</v>
      </c>
      <c r="AJ42" s="1">
        <f t="shared" si="25"/>
        <v>0</v>
      </c>
      <c r="AK42" s="1">
        <f t="shared" si="25"/>
        <v>0</v>
      </c>
      <c r="AL42" s="1">
        <f t="shared" si="25"/>
        <v>0</v>
      </c>
      <c r="AM42" s="1">
        <f t="shared" si="25"/>
        <v>0</v>
      </c>
      <c r="AN42" s="1">
        <f t="shared" si="25"/>
        <v>0</v>
      </c>
      <c r="AO42" s="1">
        <f t="shared" si="25"/>
        <v>0</v>
      </c>
      <c r="AP42" s="1">
        <f t="shared" si="25"/>
        <v>0</v>
      </c>
      <c r="AQ42" s="1">
        <f t="shared" si="25"/>
        <v>0</v>
      </c>
      <c r="AR42" s="1">
        <f t="shared" si="25"/>
        <v>0</v>
      </c>
      <c r="AS42" s="1">
        <f t="shared" si="25"/>
        <v>0</v>
      </c>
      <c r="AT42" s="1">
        <f t="shared" si="25"/>
        <v>0</v>
      </c>
      <c r="AU42" s="1">
        <f t="shared" si="25"/>
        <v>0</v>
      </c>
      <c r="AV42" s="1">
        <f t="shared" si="25"/>
        <v>0</v>
      </c>
      <c r="AW42" s="1">
        <f t="shared" si="25"/>
        <v>0</v>
      </c>
      <c r="AX42" s="1">
        <f t="shared" si="25"/>
        <v>0</v>
      </c>
      <c r="AY42" s="1">
        <f t="shared" si="25"/>
        <v>0</v>
      </c>
      <c r="AZ42" s="1">
        <f t="shared" si="25"/>
        <v>0</v>
      </c>
      <c r="BA42" s="1">
        <f t="shared" si="25"/>
        <v>0</v>
      </c>
    </row>
    <row r="43" spans="1:54" ht="15.75" customHeight="1" x14ac:dyDescent="0.35">
      <c r="A43" s="5"/>
      <c r="B43" s="5" t="s">
        <v>61</v>
      </c>
      <c r="C43" s="5"/>
      <c r="D43" s="5"/>
      <c r="E43" s="5"/>
      <c r="F43" s="5"/>
      <c r="G43" s="5"/>
      <c r="H43" s="5"/>
      <c r="I43" s="5"/>
      <c r="J43" s="5"/>
      <c r="K43" s="5"/>
      <c r="L43" s="5"/>
      <c r="N43" s="1">
        <f t="shared" si="18"/>
        <v>0</v>
      </c>
      <c r="Q43" s="1">
        <f t="shared" ref="Q43:Y43" si="26">-Q154</f>
        <v>0</v>
      </c>
      <c r="R43" s="1">
        <f t="shared" si="26"/>
        <v>0</v>
      </c>
      <c r="S43" s="1">
        <f t="shared" si="26"/>
        <v>0</v>
      </c>
      <c r="T43" s="1">
        <f t="shared" si="26"/>
        <v>0</v>
      </c>
      <c r="U43" s="1">
        <f t="shared" si="26"/>
        <v>0</v>
      </c>
      <c r="V43" s="1">
        <f t="shared" si="26"/>
        <v>0</v>
      </c>
      <c r="W43" s="1">
        <f t="shared" si="26"/>
        <v>0</v>
      </c>
      <c r="X43" s="1">
        <f t="shared" si="26"/>
        <v>0</v>
      </c>
      <c r="Y43" s="1">
        <f t="shared" si="26"/>
        <v>0</v>
      </c>
      <c r="Z43" s="1">
        <f>-Z154</f>
        <v>0</v>
      </c>
      <c r="AA43" s="1">
        <f t="shared" ref="AA43:BA43" si="27">-AA154</f>
        <v>0</v>
      </c>
      <c r="AB43" s="1">
        <f t="shared" si="27"/>
        <v>0</v>
      </c>
      <c r="AC43" s="1">
        <f t="shared" si="27"/>
        <v>0</v>
      </c>
      <c r="AD43" s="1">
        <f t="shared" si="27"/>
        <v>0</v>
      </c>
      <c r="AE43" s="1">
        <f t="shared" si="27"/>
        <v>0</v>
      </c>
      <c r="AF43" s="1">
        <f t="shared" si="27"/>
        <v>0</v>
      </c>
      <c r="AG43" s="1">
        <f t="shared" si="27"/>
        <v>0</v>
      </c>
      <c r="AH43" s="1">
        <f t="shared" si="27"/>
        <v>0</v>
      </c>
      <c r="AI43" s="1">
        <f t="shared" si="27"/>
        <v>0</v>
      </c>
      <c r="AJ43" s="1">
        <f t="shared" si="27"/>
        <v>0</v>
      </c>
      <c r="AK43" s="1">
        <f t="shared" si="27"/>
        <v>0</v>
      </c>
      <c r="AL43" s="1">
        <f t="shared" si="27"/>
        <v>0</v>
      </c>
      <c r="AM43" s="1">
        <f t="shared" si="27"/>
        <v>0</v>
      </c>
      <c r="AN43" s="1">
        <f t="shared" si="27"/>
        <v>0</v>
      </c>
      <c r="AO43" s="1">
        <f t="shared" si="27"/>
        <v>0</v>
      </c>
      <c r="AP43" s="1">
        <f t="shared" si="27"/>
        <v>0</v>
      </c>
      <c r="AQ43" s="1">
        <f t="shared" si="27"/>
        <v>0</v>
      </c>
      <c r="AR43" s="1">
        <f t="shared" si="27"/>
        <v>0</v>
      </c>
      <c r="AS43" s="1">
        <f t="shared" si="27"/>
        <v>0</v>
      </c>
      <c r="AT43" s="1">
        <f t="shared" si="27"/>
        <v>0</v>
      </c>
      <c r="AU43" s="1">
        <f t="shared" si="27"/>
        <v>0</v>
      </c>
      <c r="AV43" s="1">
        <f t="shared" si="27"/>
        <v>0</v>
      </c>
      <c r="AW43" s="1">
        <f t="shared" si="27"/>
        <v>0</v>
      </c>
      <c r="AX43" s="1">
        <f t="shared" si="27"/>
        <v>0</v>
      </c>
      <c r="AY43" s="1">
        <f t="shared" si="27"/>
        <v>0</v>
      </c>
      <c r="AZ43" s="1">
        <f t="shared" si="27"/>
        <v>0</v>
      </c>
      <c r="BA43" s="1">
        <f t="shared" si="27"/>
        <v>0</v>
      </c>
    </row>
    <row r="44" spans="1:54" x14ac:dyDescent="0.35"/>
    <row r="45" spans="1:54" ht="15.75" customHeight="1" x14ac:dyDescent="0.35">
      <c r="A45" s="3" t="s">
        <v>18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4">
        <f t="shared" ref="N45:N53" si="28">SUM(Q45:BA45)</f>
        <v>0</v>
      </c>
      <c r="O45" s="3"/>
      <c r="P45" s="3"/>
      <c r="Q45" s="4">
        <f t="shared" ref="Q45:S45" si="29">SUM(Q46,Q49,Q53)</f>
        <v>0</v>
      </c>
      <c r="R45" s="4">
        <f t="shared" si="29"/>
        <v>0</v>
      </c>
      <c r="S45" s="4">
        <f t="shared" si="29"/>
        <v>0</v>
      </c>
      <c r="T45" s="4">
        <f>SUM(T46,T49,T53)</f>
        <v>0</v>
      </c>
      <c r="U45" s="4">
        <f t="shared" ref="U45:BA45" si="30">SUM(U46,U49,U53)</f>
        <v>0</v>
      </c>
      <c r="V45" s="4">
        <f t="shared" si="30"/>
        <v>0</v>
      </c>
      <c r="W45" s="4">
        <f t="shared" si="30"/>
        <v>0</v>
      </c>
      <c r="X45" s="4">
        <f t="shared" si="30"/>
        <v>0</v>
      </c>
      <c r="Y45" s="4">
        <f t="shared" si="30"/>
        <v>0</v>
      </c>
      <c r="Z45" s="4">
        <f t="shared" si="30"/>
        <v>0</v>
      </c>
      <c r="AA45" s="4">
        <f t="shared" si="30"/>
        <v>0</v>
      </c>
      <c r="AB45" s="4">
        <f t="shared" si="30"/>
        <v>0</v>
      </c>
      <c r="AC45" s="4">
        <f t="shared" si="30"/>
        <v>0</v>
      </c>
      <c r="AD45" s="4">
        <f t="shared" si="30"/>
        <v>0</v>
      </c>
      <c r="AE45" s="4">
        <f t="shared" si="30"/>
        <v>0</v>
      </c>
      <c r="AF45" s="4">
        <f t="shared" si="30"/>
        <v>0</v>
      </c>
      <c r="AG45" s="4">
        <f t="shared" si="30"/>
        <v>0</v>
      </c>
      <c r="AH45" s="4">
        <f t="shared" si="30"/>
        <v>0</v>
      </c>
      <c r="AI45" s="4">
        <f t="shared" si="30"/>
        <v>0</v>
      </c>
      <c r="AJ45" s="4">
        <f t="shared" si="30"/>
        <v>0</v>
      </c>
      <c r="AK45" s="4">
        <f t="shared" si="30"/>
        <v>0</v>
      </c>
      <c r="AL45" s="4">
        <f t="shared" si="30"/>
        <v>0</v>
      </c>
      <c r="AM45" s="4">
        <f t="shared" si="30"/>
        <v>0</v>
      </c>
      <c r="AN45" s="4">
        <f t="shared" si="30"/>
        <v>0</v>
      </c>
      <c r="AO45" s="4">
        <f t="shared" si="30"/>
        <v>0</v>
      </c>
      <c r="AP45" s="4">
        <f t="shared" si="30"/>
        <v>0</v>
      </c>
      <c r="AQ45" s="4">
        <f t="shared" si="30"/>
        <v>0</v>
      </c>
      <c r="AR45" s="4">
        <f t="shared" si="30"/>
        <v>0</v>
      </c>
      <c r="AS45" s="4">
        <f t="shared" si="30"/>
        <v>0</v>
      </c>
      <c r="AT45" s="4">
        <f t="shared" si="30"/>
        <v>0</v>
      </c>
      <c r="AU45" s="4">
        <f t="shared" si="30"/>
        <v>0</v>
      </c>
      <c r="AV45" s="4">
        <f t="shared" si="30"/>
        <v>0</v>
      </c>
      <c r="AW45" s="4">
        <f t="shared" si="30"/>
        <v>0</v>
      </c>
      <c r="AX45" s="4">
        <f t="shared" si="30"/>
        <v>0</v>
      </c>
      <c r="AY45" s="4">
        <f t="shared" si="30"/>
        <v>0</v>
      </c>
      <c r="AZ45" s="4">
        <f t="shared" si="30"/>
        <v>0</v>
      </c>
      <c r="BA45" s="4">
        <f t="shared" si="30"/>
        <v>0</v>
      </c>
    </row>
    <row r="46" spans="1:54" ht="15.75" customHeight="1" x14ac:dyDescent="0.35">
      <c r="A46" s="5"/>
      <c r="B46" s="5" t="s">
        <v>19</v>
      </c>
      <c r="C46" s="5"/>
      <c r="D46" s="5"/>
      <c r="E46" s="5"/>
      <c r="F46" s="5"/>
      <c r="G46" s="5"/>
      <c r="H46" s="5"/>
      <c r="I46" s="5"/>
      <c r="J46" s="5"/>
      <c r="K46" s="5"/>
      <c r="L46" s="5"/>
      <c r="N46" s="1">
        <f t="shared" si="28"/>
        <v>0</v>
      </c>
      <c r="Q46" s="1">
        <f t="shared" ref="Q46:BA46" si="31">SUM(Q47:Q48)</f>
        <v>0</v>
      </c>
      <c r="R46" s="1">
        <f t="shared" si="31"/>
        <v>0</v>
      </c>
      <c r="S46" s="1">
        <f t="shared" si="31"/>
        <v>0</v>
      </c>
      <c r="T46" s="1">
        <f t="shared" si="31"/>
        <v>0</v>
      </c>
      <c r="U46" s="1">
        <f t="shared" si="31"/>
        <v>0</v>
      </c>
      <c r="V46" s="1">
        <f t="shared" si="31"/>
        <v>0</v>
      </c>
      <c r="W46" s="1">
        <f t="shared" si="31"/>
        <v>0</v>
      </c>
      <c r="X46" s="1">
        <f t="shared" si="31"/>
        <v>0</v>
      </c>
      <c r="Y46" s="1">
        <f t="shared" si="31"/>
        <v>0</v>
      </c>
      <c r="Z46" s="1">
        <f t="shared" si="31"/>
        <v>0</v>
      </c>
      <c r="AA46" s="1">
        <f t="shared" si="31"/>
        <v>0</v>
      </c>
      <c r="AB46" s="1">
        <f t="shared" si="31"/>
        <v>0</v>
      </c>
      <c r="AC46" s="1">
        <f t="shared" si="31"/>
        <v>0</v>
      </c>
      <c r="AD46" s="1">
        <f t="shared" si="31"/>
        <v>0</v>
      </c>
      <c r="AE46" s="1">
        <f t="shared" si="31"/>
        <v>0</v>
      </c>
      <c r="AF46" s="1">
        <f t="shared" si="31"/>
        <v>0</v>
      </c>
      <c r="AG46" s="1">
        <f t="shared" si="31"/>
        <v>0</v>
      </c>
      <c r="AH46" s="1">
        <f t="shared" si="31"/>
        <v>0</v>
      </c>
      <c r="AI46" s="1">
        <f t="shared" si="31"/>
        <v>0</v>
      </c>
      <c r="AJ46" s="1">
        <f t="shared" si="31"/>
        <v>0</v>
      </c>
      <c r="AK46" s="1">
        <f t="shared" si="31"/>
        <v>0</v>
      </c>
      <c r="AL46" s="1">
        <f t="shared" si="31"/>
        <v>0</v>
      </c>
      <c r="AM46" s="1">
        <f t="shared" si="31"/>
        <v>0</v>
      </c>
      <c r="AN46" s="1">
        <f t="shared" si="31"/>
        <v>0</v>
      </c>
      <c r="AO46" s="1">
        <f t="shared" si="31"/>
        <v>0</v>
      </c>
      <c r="AP46" s="1">
        <f t="shared" si="31"/>
        <v>0</v>
      </c>
      <c r="AQ46" s="1">
        <f t="shared" si="31"/>
        <v>0</v>
      </c>
      <c r="AR46" s="1">
        <f t="shared" si="31"/>
        <v>0</v>
      </c>
      <c r="AS46" s="1">
        <f t="shared" si="31"/>
        <v>0</v>
      </c>
      <c r="AT46" s="1">
        <f t="shared" si="31"/>
        <v>0</v>
      </c>
      <c r="AU46" s="1">
        <f t="shared" si="31"/>
        <v>0</v>
      </c>
      <c r="AV46" s="1">
        <f t="shared" si="31"/>
        <v>0</v>
      </c>
      <c r="AW46" s="1">
        <f t="shared" si="31"/>
        <v>0</v>
      </c>
      <c r="AX46" s="1">
        <f t="shared" si="31"/>
        <v>0</v>
      </c>
      <c r="AY46" s="1">
        <f t="shared" si="31"/>
        <v>0</v>
      </c>
      <c r="AZ46" s="1">
        <f t="shared" si="31"/>
        <v>0</v>
      </c>
      <c r="BA46" s="1">
        <f t="shared" si="31"/>
        <v>0</v>
      </c>
    </row>
    <row r="47" spans="1:54" ht="15.75" customHeight="1" x14ac:dyDescent="0.35">
      <c r="A47" s="5"/>
      <c r="B47" s="5"/>
      <c r="C47" s="5" t="s">
        <v>104</v>
      </c>
      <c r="D47" s="5"/>
      <c r="E47" s="5"/>
      <c r="F47" s="5"/>
      <c r="G47" s="5"/>
      <c r="H47" s="5"/>
      <c r="I47" s="5"/>
      <c r="J47" s="5"/>
      <c r="K47" s="5"/>
      <c r="L47" s="5"/>
      <c r="N47" s="1">
        <f t="shared" si="28"/>
        <v>0</v>
      </c>
      <c r="Q47" s="1">
        <f t="shared" ref="Q47:BA47" si="32">Q113</f>
        <v>0</v>
      </c>
      <c r="R47" s="1">
        <f t="shared" si="32"/>
        <v>0</v>
      </c>
      <c r="S47" s="1">
        <f t="shared" si="32"/>
        <v>0</v>
      </c>
      <c r="T47" s="1">
        <f t="shared" si="32"/>
        <v>0</v>
      </c>
      <c r="U47" s="1">
        <f t="shared" si="32"/>
        <v>0</v>
      </c>
      <c r="V47" s="1">
        <f t="shared" si="32"/>
        <v>0</v>
      </c>
      <c r="W47" s="1">
        <f t="shared" si="32"/>
        <v>0</v>
      </c>
      <c r="X47" s="1">
        <f t="shared" si="32"/>
        <v>0</v>
      </c>
      <c r="Y47" s="1">
        <f t="shared" si="32"/>
        <v>0</v>
      </c>
      <c r="Z47" s="1">
        <f t="shared" si="32"/>
        <v>0</v>
      </c>
      <c r="AA47" s="1">
        <f t="shared" si="32"/>
        <v>0</v>
      </c>
      <c r="AB47" s="1">
        <f t="shared" si="32"/>
        <v>0</v>
      </c>
      <c r="AC47" s="1">
        <f t="shared" si="32"/>
        <v>0</v>
      </c>
      <c r="AD47" s="1">
        <f t="shared" si="32"/>
        <v>0</v>
      </c>
      <c r="AE47" s="1">
        <f t="shared" si="32"/>
        <v>0</v>
      </c>
      <c r="AF47" s="1">
        <f t="shared" si="32"/>
        <v>0</v>
      </c>
      <c r="AG47" s="1">
        <f t="shared" si="32"/>
        <v>0</v>
      </c>
      <c r="AH47" s="1">
        <f t="shared" si="32"/>
        <v>0</v>
      </c>
      <c r="AI47" s="1">
        <f t="shared" si="32"/>
        <v>0</v>
      </c>
      <c r="AJ47" s="1">
        <f t="shared" si="32"/>
        <v>0</v>
      </c>
      <c r="AK47" s="1">
        <f t="shared" si="32"/>
        <v>0</v>
      </c>
      <c r="AL47" s="1">
        <f t="shared" si="32"/>
        <v>0</v>
      </c>
      <c r="AM47" s="1">
        <f t="shared" si="32"/>
        <v>0</v>
      </c>
      <c r="AN47" s="1">
        <f t="shared" si="32"/>
        <v>0</v>
      </c>
      <c r="AO47" s="1">
        <f t="shared" si="32"/>
        <v>0</v>
      </c>
      <c r="AP47" s="1">
        <f t="shared" si="32"/>
        <v>0</v>
      </c>
      <c r="AQ47" s="1">
        <f t="shared" si="32"/>
        <v>0</v>
      </c>
      <c r="AR47" s="1">
        <f t="shared" si="32"/>
        <v>0</v>
      </c>
      <c r="AS47" s="1">
        <f t="shared" si="32"/>
        <v>0</v>
      </c>
      <c r="AT47" s="1">
        <f t="shared" si="32"/>
        <v>0</v>
      </c>
      <c r="AU47" s="1">
        <f t="shared" si="32"/>
        <v>0</v>
      </c>
      <c r="AV47" s="1">
        <f t="shared" si="32"/>
        <v>0</v>
      </c>
      <c r="AW47" s="1">
        <f t="shared" si="32"/>
        <v>0</v>
      </c>
      <c r="AX47" s="1">
        <f t="shared" si="32"/>
        <v>0</v>
      </c>
      <c r="AY47" s="1">
        <f t="shared" si="32"/>
        <v>0</v>
      </c>
      <c r="AZ47" s="1">
        <f t="shared" si="32"/>
        <v>0</v>
      </c>
      <c r="BA47" s="1">
        <f t="shared" si="32"/>
        <v>0</v>
      </c>
    </row>
    <row r="48" spans="1:54" ht="15.75" customHeight="1" x14ac:dyDescent="0.35">
      <c r="A48" s="5"/>
      <c r="B48" s="5"/>
      <c r="C48" s="5" t="s">
        <v>103</v>
      </c>
      <c r="D48" s="5"/>
      <c r="E48" s="5"/>
      <c r="F48" s="5"/>
      <c r="G48" s="5"/>
      <c r="H48" s="5"/>
      <c r="I48" s="5"/>
      <c r="J48" s="5"/>
      <c r="K48" s="5"/>
      <c r="L48" s="5"/>
      <c r="N48" s="1">
        <f t="shared" si="28"/>
        <v>0</v>
      </c>
      <c r="Q48" s="1">
        <f t="shared" ref="Q48:BA48" si="33">Q121-Q124-Q123+Q138-Q140-Q141</f>
        <v>0</v>
      </c>
      <c r="R48" s="1">
        <f t="shared" si="33"/>
        <v>0</v>
      </c>
      <c r="S48" s="1">
        <f t="shared" si="33"/>
        <v>0</v>
      </c>
      <c r="T48" s="1">
        <f t="shared" si="33"/>
        <v>0</v>
      </c>
      <c r="U48" s="1">
        <f t="shared" si="33"/>
        <v>0</v>
      </c>
      <c r="V48" s="1">
        <f t="shared" si="33"/>
        <v>0</v>
      </c>
      <c r="W48" s="1">
        <f t="shared" si="33"/>
        <v>0</v>
      </c>
      <c r="X48" s="1">
        <f t="shared" si="33"/>
        <v>0</v>
      </c>
      <c r="Y48" s="1">
        <f t="shared" si="33"/>
        <v>0</v>
      </c>
      <c r="Z48" s="1">
        <f t="shared" si="33"/>
        <v>0</v>
      </c>
      <c r="AA48" s="1">
        <f t="shared" si="33"/>
        <v>0</v>
      </c>
      <c r="AB48" s="1">
        <f t="shared" si="33"/>
        <v>0</v>
      </c>
      <c r="AC48" s="1">
        <f t="shared" si="33"/>
        <v>0</v>
      </c>
      <c r="AD48" s="1">
        <f t="shared" si="33"/>
        <v>0</v>
      </c>
      <c r="AE48" s="1">
        <f t="shared" si="33"/>
        <v>0</v>
      </c>
      <c r="AF48" s="1">
        <f t="shared" si="33"/>
        <v>0</v>
      </c>
      <c r="AG48" s="1">
        <f t="shared" si="33"/>
        <v>0</v>
      </c>
      <c r="AH48" s="1">
        <f t="shared" si="33"/>
        <v>0</v>
      </c>
      <c r="AI48" s="1">
        <f t="shared" si="33"/>
        <v>0</v>
      </c>
      <c r="AJ48" s="1">
        <f t="shared" si="33"/>
        <v>0</v>
      </c>
      <c r="AK48" s="1">
        <f t="shared" si="33"/>
        <v>0</v>
      </c>
      <c r="AL48" s="1">
        <f t="shared" si="33"/>
        <v>0</v>
      </c>
      <c r="AM48" s="1">
        <f t="shared" si="33"/>
        <v>0</v>
      </c>
      <c r="AN48" s="1">
        <f t="shared" si="33"/>
        <v>0</v>
      </c>
      <c r="AO48" s="1">
        <f t="shared" si="33"/>
        <v>0</v>
      </c>
      <c r="AP48" s="1">
        <f t="shared" si="33"/>
        <v>0</v>
      </c>
      <c r="AQ48" s="1">
        <f t="shared" si="33"/>
        <v>0</v>
      </c>
      <c r="AR48" s="1">
        <f t="shared" si="33"/>
        <v>0</v>
      </c>
      <c r="AS48" s="1">
        <f t="shared" si="33"/>
        <v>0</v>
      </c>
      <c r="AT48" s="1">
        <f t="shared" si="33"/>
        <v>0</v>
      </c>
      <c r="AU48" s="1">
        <f t="shared" si="33"/>
        <v>0</v>
      </c>
      <c r="AV48" s="1">
        <f t="shared" si="33"/>
        <v>0</v>
      </c>
      <c r="AW48" s="1">
        <f t="shared" si="33"/>
        <v>0</v>
      </c>
      <c r="AX48" s="1">
        <f t="shared" si="33"/>
        <v>0</v>
      </c>
      <c r="AY48" s="1">
        <f t="shared" si="33"/>
        <v>0</v>
      </c>
      <c r="AZ48" s="1">
        <f t="shared" si="33"/>
        <v>0</v>
      </c>
      <c r="BA48" s="1">
        <f t="shared" si="33"/>
        <v>0</v>
      </c>
    </row>
    <row r="49" spans="1:54" ht="15.75" customHeight="1" x14ac:dyDescent="0.35">
      <c r="A49" s="5"/>
      <c r="B49" s="5" t="s">
        <v>20</v>
      </c>
      <c r="C49" s="5"/>
      <c r="D49" s="5"/>
      <c r="E49" s="5"/>
      <c r="F49" s="5"/>
      <c r="G49" s="5"/>
      <c r="H49" s="5"/>
      <c r="I49" s="5"/>
      <c r="J49" s="5"/>
      <c r="K49" s="5"/>
      <c r="L49" s="5"/>
      <c r="N49" s="1">
        <f t="shared" si="28"/>
        <v>0</v>
      </c>
      <c r="Q49" s="1">
        <f t="shared" ref="Q49:BA49" si="34">SUM(Q50:Q52)</f>
        <v>0</v>
      </c>
      <c r="R49" s="1">
        <f t="shared" si="34"/>
        <v>0</v>
      </c>
      <c r="S49" s="1">
        <f t="shared" si="34"/>
        <v>0</v>
      </c>
      <c r="T49" s="1">
        <f t="shared" si="34"/>
        <v>0</v>
      </c>
      <c r="U49" s="1">
        <f t="shared" si="34"/>
        <v>0</v>
      </c>
      <c r="V49" s="1">
        <f t="shared" si="34"/>
        <v>0</v>
      </c>
      <c r="W49" s="1">
        <f t="shared" si="34"/>
        <v>0</v>
      </c>
      <c r="X49" s="1">
        <f t="shared" si="34"/>
        <v>0</v>
      </c>
      <c r="Y49" s="1">
        <f t="shared" si="34"/>
        <v>0</v>
      </c>
      <c r="Z49" s="1">
        <f t="shared" si="34"/>
        <v>0</v>
      </c>
      <c r="AA49" s="1">
        <f t="shared" si="34"/>
        <v>0</v>
      </c>
      <c r="AB49" s="1">
        <f t="shared" si="34"/>
        <v>0</v>
      </c>
      <c r="AC49" s="1">
        <f t="shared" si="34"/>
        <v>0</v>
      </c>
      <c r="AD49" s="1">
        <f t="shared" si="34"/>
        <v>0</v>
      </c>
      <c r="AE49" s="1">
        <f t="shared" si="34"/>
        <v>0</v>
      </c>
      <c r="AF49" s="1">
        <f t="shared" si="34"/>
        <v>0</v>
      </c>
      <c r="AG49" s="1">
        <f t="shared" si="34"/>
        <v>0</v>
      </c>
      <c r="AH49" s="1">
        <f t="shared" si="34"/>
        <v>0</v>
      </c>
      <c r="AI49" s="1">
        <f t="shared" si="34"/>
        <v>0</v>
      </c>
      <c r="AJ49" s="1">
        <f t="shared" si="34"/>
        <v>0</v>
      </c>
      <c r="AK49" s="1">
        <f t="shared" si="34"/>
        <v>0</v>
      </c>
      <c r="AL49" s="1">
        <f t="shared" si="34"/>
        <v>0</v>
      </c>
      <c r="AM49" s="1">
        <f t="shared" si="34"/>
        <v>0</v>
      </c>
      <c r="AN49" s="1">
        <f t="shared" si="34"/>
        <v>0</v>
      </c>
      <c r="AO49" s="1">
        <f t="shared" si="34"/>
        <v>0</v>
      </c>
      <c r="AP49" s="1">
        <f t="shared" si="34"/>
        <v>0</v>
      </c>
      <c r="AQ49" s="1">
        <f t="shared" si="34"/>
        <v>0</v>
      </c>
      <c r="AR49" s="1">
        <f t="shared" si="34"/>
        <v>0</v>
      </c>
      <c r="AS49" s="1">
        <f t="shared" si="34"/>
        <v>0</v>
      </c>
      <c r="AT49" s="1">
        <f t="shared" si="34"/>
        <v>0</v>
      </c>
      <c r="AU49" s="1">
        <f t="shared" si="34"/>
        <v>0</v>
      </c>
      <c r="AV49" s="1">
        <f t="shared" si="34"/>
        <v>0</v>
      </c>
      <c r="AW49" s="1">
        <f t="shared" si="34"/>
        <v>0</v>
      </c>
      <c r="AX49" s="1">
        <f t="shared" si="34"/>
        <v>0</v>
      </c>
      <c r="AY49" s="1">
        <f t="shared" si="34"/>
        <v>0</v>
      </c>
      <c r="AZ49" s="1">
        <f t="shared" si="34"/>
        <v>0</v>
      </c>
      <c r="BA49" s="1">
        <f t="shared" si="34"/>
        <v>0</v>
      </c>
    </row>
    <row r="50" spans="1:54" ht="15.75" customHeight="1" x14ac:dyDescent="0.35">
      <c r="A50" s="5"/>
      <c r="B50" s="5"/>
      <c r="C50" s="5" t="s">
        <v>21</v>
      </c>
      <c r="D50" s="5"/>
      <c r="E50" s="5"/>
      <c r="F50" s="5"/>
      <c r="G50" s="5"/>
      <c r="H50" s="5"/>
      <c r="I50" s="5"/>
      <c r="J50" s="5"/>
      <c r="K50" s="5"/>
      <c r="L50" s="5"/>
      <c r="N50" s="1">
        <f t="shared" si="28"/>
        <v>0</v>
      </c>
      <c r="Q50" s="1">
        <f t="shared" ref="Q50:BA50" si="35">Q194</f>
        <v>0</v>
      </c>
      <c r="R50" s="1">
        <f t="shared" si="35"/>
        <v>0</v>
      </c>
      <c r="S50" s="1">
        <f t="shared" si="35"/>
        <v>0</v>
      </c>
      <c r="T50" s="1">
        <f t="shared" si="35"/>
        <v>0</v>
      </c>
      <c r="U50" s="1">
        <f t="shared" si="35"/>
        <v>0</v>
      </c>
      <c r="V50" s="1">
        <f t="shared" si="35"/>
        <v>0</v>
      </c>
      <c r="W50" s="1">
        <f t="shared" si="35"/>
        <v>0</v>
      </c>
      <c r="X50" s="1">
        <f t="shared" si="35"/>
        <v>0</v>
      </c>
      <c r="Y50" s="1">
        <f t="shared" si="35"/>
        <v>0</v>
      </c>
      <c r="Z50" s="1">
        <f t="shared" si="35"/>
        <v>0</v>
      </c>
      <c r="AA50" s="1">
        <f t="shared" si="35"/>
        <v>0</v>
      </c>
      <c r="AB50" s="1">
        <f t="shared" si="35"/>
        <v>0</v>
      </c>
      <c r="AC50" s="1">
        <f t="shared" si="35"/>
        <v>0</v>
      </c>
      <c r="AD50" s="1">
        <f t="shared" si="35"/>
        <v>0</v>
      </c>
      <c r="AE50" s="1">
        <f t="shared" si="35"/>
        <v>0</v>
      </c>
      <c r="AF50" s="1">
        <f t="shared" si="35"/>
        <v>0</v>
      </c>
      <c r="AG50" s="1">
        <f t="shared" si="35"/>
        <v>0</v>
      </c>
      <c r="AH50" s="1">
        <f t="shared" si="35"/>
        <v>0</v>
      </c>
      <c r="AI50" s="1">
        <f t="shared" si="35"/>
        <v>0</v>
      </c>
      <c r="AJ50" s="1">
        <f t="shared" si="35"/>
        <v>0</v>
      </c>
      <c r="AK50" s="1">
        <f t="shared" si="35"/>
        <v>0</v>
      </c>
      <c r="AL50" s="1">
        <f t="shared" si="35"/>
        <v>0</v>
      </c>
      <c r="AM50" s="1">
        <f t="shared" si="35"/>
        <v>0</v>
      </c>
      <c r="AN50" s="1">
        <f t="shared" si="35"/>
        <v>0</v>
      </c>
      <c r="AO50" s="1">
        <f t="shared" si="35"/>
        <v>0</v>
      </c>
      <c r="AP50" s="1">
        <f t="shared" si="35"/>
        <v>0</v>
      </c>
      <c r="AQ50" s="1">
        <f t="shared" si="35"/>
        <v>0</v>
      </c>
      <c r="AR50" s="1">
        <f t="shared" si="35"/>
        <v>0</v>
      </c>
      <c r="AS50" s="1">
        <f t="shared" si="35"/>
        <v>0</v>
      </c>
      <c r="AT50" s="1">
        <f t="shared" si="35"/>
        <v>0</v>
      </c>
      <c r="AU50" s="1">
        <f t="shared" si="35"/>
        <v>0</v>
      </c>
      <c r="AV50" s="1">
        <f t="shared" si="35"/>
        <v>0</v>
      </c>
      <c r="AW50" s="1">
        <f t="shared" si="35"/>
        <v>0</v>
      </c>
      <c r="AX50" s="1">
        <f t="shared" si="35"/>
        <v>0</v>
      </c>
      <c r="AY50" s="1">
        <f t="shared" si="35"/>
        <v>0</v>
      </c>
      <c r="AZ50" s="1">
        <f t="shared" si="35"/>
        <v>0</v>
      </c>
      <c r="BA50" s="1">
        <f t="shared" si="35"/>
        <v>0</v>
      </c>
    </row>
    <row r="51" spans="1:54" ht="15.75" customHeight="1" x14ac:dyDescent="0.35">
      <c r="A51" s="5"/>
      <c r="B51" s="5"/>
      <c r="C51" s="5" t="s">
        <v>103</v>
      </c>
      <c r="D51" s="5"/>
      <c r="E51" s="5"/>
      <c r="F51" s="5"/>
      <c r="G51" s="5"/>
      <c r="H51" s="5"/>
      <c r="I51" s="5"/>
      <c r="J51" s="5"/>
      <c r="K51" s="5"/>
      <c r="L51" s="5"/>
      <c r="N51" s="1">
        <f t="shared" si="28"/>
        <v>0</v>
      </c>
      <c r="Q51" s="1">
        <f>Q126+Q142</f>
        <v>0</v>
      </c>
      <c r="R51" s="1">
        <f t="shared" ref="R51:BA51" si="36">R126+R142</f>
        <v>0</v>
      </c>
      <c r="S51" s="1">
        <f t="shared" si="36"/>
        <v>0</v>
      </c>
      <c r="T51" s="1">
        <f t="shared" si="36"/>
        <v>0</v>
      </c>
      <c r="U51" s="1">
        <f t="shared" si="36"/>
        <v>0</v>
      </c>
      <c r="V51" s="1">
        <f t="shared" si="36"/>
        <v>0</v>
      </c>
      <c r="W51" s="1">
        <f t="shared" si="36"/>
        <v>0</v>
      </c>
      <c r="X51" s="1">
        <f t="shared" si="36"/>
        <v>0</v>
      </c>
      <c r="Y51" s="1">
        <f t="shared" si="36"/>
        <v>0</v>
      </c>
      <c r="Z51" s="1">
        <f t="shared" si="36"/>
        <v>0</v>
      </c>
      <c r="AA51" s="1">
        <f t="shared" si="36"/>
        <v>0</v>
      </c>
      <c r="AB51" s="1">
        <f t="shared" si="36"/>
        <v>0</v>
      </c>
      <c r="AC51" s="1">
        <f t="shared" si="36"/>
        <v>0</v>
      </c>
      <c r="AD51" s="1">
        <f t="shared" si="36"/>
        <v>0</v>
      </c>
      <c r="AE51" s="1">
        <f t="shared" si="36"/>
        <v>0</v>
      </c>
      <c r="AF51" s="1">
        <f t="shared" si="36"/>
        <v>0</v>
      </c>
      <c r="AG51" s="1">
        <f t="shared" si="36"/>
        <v>0</v>
      </c>
      <c r="AH51" s="1">
        <f t="shared" si="36"/>
        <v>0</v>
      </c>
      <c r="AI51" s="1">
        <f t="shared" si="36"/>
        <v>0</v>
      </c>
      <c r="AJ51" s="1">
        <f t="shared" si="36"/>
        <v>0</v>
      </c>
      <c r="AK51" s="1">
        <f t="shared" si="36"/>
        <v>0</v>
      </c>
      <c r="AL51" s="1">
        <f t="shared" si="36"/>
        <v>0</v>
      </c>
      <c r="AM51" s="1">
        <f t="shared" si="36"/>
        <v>0</v>
      </c>
      <c r="AN51" s="1">
        <f t="shared" si="36"/>
        <v>0</v>
      </c>
      <c r="AO51" s="1">
        <f t="shared" si="36"/>
        <v>0</v>
      </c>
      <c r="AP51" s="1">
        <f t="shared" si="36"/>
        <v>0</v>
      </c>
      <c r="AQ51" s="1">
        <f t="shared" si="36"/>
        <v>0</v>
      </c>
      <c r="AR51" s="1">
        <f t="shared" si="36"/>
        <v>0</v>
      </c>
      <c r="AS51" s="1">
        <f t="shared" si="36"/>
        <v>0</v>
      </c>
      <c r="AT51" s="1">
        <f t="shared" si="36"/>
        <v>0</v>
      </c>
      <c r="AU51" s="1">
        <f t="shared" si="36"/>
        <v>0</v>
      </c>
      <c r="AV51" s="1">
        <f t="shared" si="36"/>
        <v>0</v>
      </c>
      <c r="AW51" s="1">
        <f t="shared" si="36"/>
        <v>0</v>
      </c>
      <c r="AX51" s="1">
        <f t="shared" si="36"/>
        <v>0</v>
      </c>
      <c r="AY51" s="1">
        <f t="shared" si="36"/>
        <v>0</v>
      </c>
      <c r="AZ51" s="1">
        <f t="shared" si="36"/>
        <v>0</v>
      </c>
      <c r="BA51" s="1">
        <f t="shared" si="36"/>
        <v>0</v>
      </c>
    </row>
    <row r="52" spans="1:54" ht="15.75" customHeight="1" x14ac:dyDescent="0.35">
      <c r="A52" s="5"/>
      <c r="B52" s="5"/>
      <c r="C52" s="5" t="s">
        <v>147</v>
      </c>
      <c r="D52" s="5"/>
      <c r="E52" s="5"/>
      <c r="F52" s="5"/>
      <c r="G52" s="5"/>
      <c r="H52" s="5"/>
      <c r="I52" s="5"/>
      <c r="J52" s="5"/>
      <c r="K52" s="5"/>
      <c r="L52" s="5"/>
      <c r="N52" s="1">
        <f t="shared" si="28"/>
        <v>0</v>
      </c>
      <c r="Q52" s="1">
        <f t="shared" ref="Q52:BA52" si="37">-Q132-Q147</f>
        <v>0</v>
      </c>
      <c r="R52" s="1">
        <f t="shared" si="37"/>
        <v>0</v>
      </c>
      <c r="S52" s="1">
        <f t="shared" si="37"/>
        <v>0</v>
      </c>
      <c r="T52" s="1">
        <f t="shared" si="37"/>
        <v>0</v>
      </c>
      <c r="U52" s="1">
        <f t="shared" si="37"/>
        <v>0</v>
      </c>
      <c r="V52" s="1">
        <f t="shared" si="37"/>
        <v>0</v>
      </c>
      <c r="W52" s="1">
        <f t="shared" si="37"/>
        <v>0</v>
      </c>
      <c r="X52" s="1">
        <f t="shared" si="37"/>
        <v>0</v>
      </c>
      <c r="Y52" s="1">
        <f t="shared" si="37"/>
        <v>0</v>
      </c>
      <c r="Z52" s="1">
        <f t="shared" si="37"/>
        <v>0</v>
      </c>
      <c r="AA52" s="1">
        <f t="shared" si="37"/>
        <v>0</v>
      </c>
      <c r="AB52" s="1">
        <f t="shared" si="37"/>
        <v>0</v>
      </c>
      <c r="AC52" s="1">
        <f t="shared" si="37"/>
        <v>0</v>
      </c>
      <c r="AD52" s="1">
        <f t="shared" si="37"/>
        <v>0</v>
      </c>
      <c r="AE52" s="1">
        <f t="shared" si="37"/>
        <v>0</v>
      </c>
      <c r="AF52" s="1">
        <f t="shared" si="37"/>
        <v>0</v>
      </c>
      <c r="AG52" s="1">
        <f t="shared" si="37"/>
        <v>0</v>
      </c>
      <c r="AH52" s="1">
        <f t="shared" si="37"/>
        <v>0</v>
      </c>
      <c r="AI52" s="1">
        <f t="shared" si="37"/>
        <v>0</v>
      </c>
      <c r="AJ52" s="1">
        <f t="shared" si="37"/>
        <v>0</v>
      </c>
      <c r="AK52" s="1">
        <f t="shared" si="37"/>
        <v>0</v>
      </c>
      <c r="AL52" s="1">
        <f t="shared" si="37"/>
        <v>0</v>
      </c>
      <c r="AM52" s="1">
        <f t="shared" si="37"/>
        <v>0</v>
      </c>
      <c r="AN52" s="1">
        <f t="shared" si="37"/>
        <v>0</v>
      </c>
      <c r="AO52" s="1">
        <f t="shared" si="37"/>
        <v>0</v>
      </c>
      <c r="AP52" s="1">
        <f t="shared" si="37"/>
        <v>0</v>
      </c>
      <c r="AQ52" s="1">
        <f t="shared" si="37"/>
        <v>0</v>
      </c>
      <c r="AR52" s="1">
        <f t="shared" si="37"/>
        <v>0</v>
      </c>
      <c r="AS52" s="1">
        <f t="shared" si="37"/>
        <v>0</v>
      </c>
      <c r="AT52" s="1">
        <f t="shared" si="37"/>
        <v>0</v>
      </c>
      <c r="AU52" s="1">
        <f t="shared" si="37"/>
        <v>0</v>
      </c>
      <c r="AV52" s="1">
        <f t="shared" si="37"/>
        <v>0</v>
      </c>
      <c r="AW52" s="1">
        <f t="shared" si="37"/>
        <v>0</v>
      </c>
      <c r="AX52" s="1">
        <f t="shared" si="37"/>
        <v>0</v>
      </c>
      <c r="AY52" s="1">
        <f t="shared" si="37"/>
        <v>0</v>
      </c>
      <c r="AZ52" s="1">
        <f t="shared" si="37"/>
        <v>0</v>
      </c>
      <c r="BA52" s="1">
        <f t="shared" si="37"/>
        <v>0</v>
      </c>
    </row>
    <row r="53" spans="1:54" ht="15.75" customHeight="1" x14ac:dyDescent="0.35">
      <c r="A53" s="5"/>
      <c r="B53" s="5" t="s">
        <v>53</v>
      </c>
      <c r="D53" s="5"/>
      <c r="E53" s="5"/>
      <c r="F53" s="5"/>
      <c r="G53" s="5"/>
      <c r="H53" s="5"/>
      <c r="I53" s="5"/>
      <c r="J53" s="5"/>
      <c r="K53" s="5"/>
      <c r="L53" s="5"/>
      <c r="N53" s="1">
        <f t="shared" si="28"/>
        <v>0</v>
      </c>
      <c r="Q53" s="1">
        <f t="shared" ref="Q53:BA53" si="38">Q116</f>
        <v>0</v>
      </c>
      <c r="R53" s="1">
        <f t="shared" si="38"/>
        <v>0</v>
      </c>
      <c r="S53" s="1">
        <f t="shared" si="38"/>
        <v>0</v>
      </c>
      <c r="T53" s="1">
        <f t="shared" si="38"/>
        <v>0</v>
      </c>
      <c r="U53" s="1">
        <f t="shared" si="38"/>
        <v>0</v>
      </c>
      <c r="V53" s="1">
        <f t="shared" si="38"/>
        <v>0</v>
      </c>
      <c r="W53" s="1">
        <f t="shared" si="38"/>
        <v>0</v>
      </c>
      <c r="X53" s="1">
        <f t="shared" si="38"/>
        <v>0</v>
      </c>
      <c r="Y53" s="1">
        <f t="shared" si="38"/>
        <v>0</v>
      </c>
      <c r="Z53" s="1">
        <f t="shared" si="38"/>
        <v>0</v>
      </c>
      <c r="AA53" s="1">
        <f t="shared" si="38"/>
        <v>0</v>
      </c>
      <c r="AB53" s="1">
        <f t="shared" si="38"/>
        <v>0</v>
      </c>
      <c r="AC53" s="1">
        <f t="shared" si="38"/>
        <v>0</v>
      </c>
      <c r="AD53" s="1">
        <f t="shared" si="38"/>
        <v>0</v>
      </c>
      <c r="AE53" s="1">
        <f t="shared" si="38"/>
        <v>0</v>
      </c>
      <c r="AF53" s="1">
        <f t="shared" si="38"/>
        <v>0</v>
      </c>
      <c r="AG53" s="1">
        <f t="shared" si="38"/>
        <v>0</v>
      </c>
      <c r="AH53" s="1">
        <f t="shared" si="38"/>
        <v>0</v>
      </c>
      <c r="AI53" s="1">
        <f t="shared" si="38"/>
        <v>0</v>
      </c>
      <c r="AJ53" s="1">
        <f t="shared" si="38"/>
        <v>0</v>
      </c>
      <c r="AK53" s="1">
        <f t="shared" si="38"/>
        <v>0</v>
      </c>
      <c r="AL53" s="1">
        <f t="shared" si="38"/>
        <v>0</v>
      </c>
      <c r="AM53" s="1">
        <f t="shared" si="38"/>
        <v>0</v>
      </c>
      <c r="AN53" s="1">
        <f t="shared" si="38"/>
        <v>0</v>
      </c>
      <c r="AO53" s="1">
        <f t="shared" si="38"/>
        <v>0</v>
      </c>
      <c r="AP53" s="1">
        <f t="shared" si="38"/>
        <v>0</v>
      </c>
      <c r="AQ53" s="1">
        <f t="shared" si="38"/>
        <v>0</v>
      </c>
      <c r="AR53" s="1">
        <f t="shared" si="38"/>
        <v>0</v>
      </c>
      <c r="AS53" s="1">
        <f t="shared" si="38"/>
        <v>0</v>
      </c>
      <c r="AT53" s="1">
        <f t="shared" si="38"/>
        <v>0</v>
      </c>
      <c r="AU53" s="1">
        <f t="shared" si="38"/>
        <v>0</v>
      </c>
      <c r="AV53" s="1">
        <f t="shared" si="38"/>
        <v>0</v>
      </c>
      <c r="AW53" s="1">
        <f t="shared" si="38"/>
        <v>0</v>
      </c>
      <c r="AX53" s="1">
        <f t="shared" si="38"/>
        <v>0</v>
      </c>
      <c r="AY53" s="1">
        <f t="shared" si="38"/>
        <v>0</v>
      </c>
      <c r="AZ53" s="1">
        <f t="shared" si="38"/>
        <v>0</v>
      </c>
      <c r="BA53" s="1">
        <f t="shared" si="38"/>
        <v>0</v>
      </c>
    </row>
    <row r="54" spans="1:54" x14ac:dyDescent="0.35"/>
    <row r="55" spans="1:54" ht="15.75" customHeight="1" x14ac:dyDescent="0.35">
      <c r="A55" s="3" t="s">
        <v>22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4">
        <f>SUM(Q55:BA55)</f>
        <v>0</v>
      </c>
      <c r="O55" s="3"/>
      <c r="P55" s="3"/>
      <c r="Q55" s="4">
        <f t="shared" ref="Q55:BA55" si="39">SUM(Q35,Q45)</f>
        <v>0</v>
      </c>
      <c r="R55" s="4">
        <f t="shared" si="39"/>
        <v>0</v>
      </c>
      <c r="S55" s="4">
        <f t="shared" si="39"/>
        <v>0</v>
      </c>
      <c r="T55" s="4">
        <f t="shared" si="39"/>
        <v>0</v>
      </c>
      <c r="U55" s="4">
        <f t="shared" si="39"/>
        <v>0</v>
      </c>
      <c r="V55" s="4">
        <f t="shared" si="39"/>
        <v>0</v>
      </c>
      <c r="W55" s="4">
        <f t="shared" si="39"/>
        <v>0</v>
      </c>
      <c r="X55" s="4">
        <f t="shared" si="39"/>
        <v>0</v>
      </c>
      <c r="Y55" s="4">
        <f t="shared" si="39"/>
        <v>0</v>
      </c>
      <c r="Z55" s="4">
        <f t="shared" si="39"/>
        <v>0</v>
      </c>
      <c r="AA55" s="4">
        <f t="shared" si="39"/>
        <v>0</v>
      </c>
      <c r="AB55" s="4">
        <f t="shared" si="39"/>
        <v>0</v>
      </c>
      <c r="AC55" s="4">
        <f t="shared" si="39"/>
        <v>0</v>
      </c>
      <c r="AD55" s="4">
        <f t="shared" si="39"/>
        <v>0</v>
      </c>
      <c r="AE55" s="4">
        <f t="shared" si="39"/>
        <v>0</v>
      </c>
      <c r="AF55" s="4">
        <f t="shared" si="39"/>
        <v>0</v>
      </c>
      <c r="AG55" s="4">
        <f t="shared" si="39"/>
        <v>0</v>
      </c>
      <c r="AH55" s="4">
        <f t="shared" si="39"/>
        <v>0</v>
      </c>
      <c r="AI55" s="4">
        <f t="shared" si="39"/>
        <v>0</v>
      </c>
      <c r="AJ55" s="4">
        <f t="shared" si="39"/>
        <v>0</v>
      </c>
      <c r="AK55" s="4">
        <f t="shared" si="39"/>
        <v>0</v>
      </c>
      <c r="AL55" s="4">
        <f t="shared" si="39"/>
        <v>0</v>
      </c>
      <c r="AM55" s="4">
        <f t="shared" si="39"/>
        <v>0</v>
      </c>
      <c r="AN55" s="4">
        <f t="shared" si="39"/>
        <v>0</v>
      </c>
      <c r="AO55" s="4">
        <f t="shared" si="39"/>
        <v>0</v>
      </c>
      <c r="AP55" s="4">
        <f t="shared" si="39"/>
        <v>0</v>
      </c>
      <c r="AQ55" s="4">
        <f t="shared" si="39"/>
        <v>0</v>
      </c>
      <c r="AR55" s="4">
        <f t="shared" si="39"/>
        <v>0</v>
      </c>
      <c r="AS55" s="4">
        <f t="shared" si="39"/>
        <v>0</v>
      </c>
      <c r="AT55" s="4">
        <f t="shared" si="39"/>
        <v>0</v>
      </c>
      <c r="AU55" s="4">
        <f t="shared" si="39"/>
        <v>0</v>
      </c>
      <c r="AV55" s="4">
        <f t="shared" si="39"/>
        <v>0</v>
      </c>
      <c r="AW55" s="4">
        <f t="shared" si="39"/>
        <v>0</v>
      </c>
      <c r="AX55" s="4">
        <f t="shared" si="39"/>
        <v>0</v>
      </c>
      <c r="AY55" s="4">
        <f t="shared" si="39"/>
        <v>0</v>
      </c>
      <c r="AZ55" s="4">
        <f t="shared" si="39"/>
        <v>0</v>
      </c>
      <c r="BA55" s="4">
        <f t="shared" si="39"/>
        <v>0</v>
      </c>
    </row>
    <row r="56" spans="1:54" x14ac:dyDescent="0.35"/>
    <row r="57" spans="1:54" ht="15.75" customHeight="1" x14ac:dyDescent="0.35">
      <c r="A57" s="3" t="s">
        <v>23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4">
        <f>Q57</f>
        <v>0</v>
      </c>
      <c r="O57" s="3"/>
      <c r="P57" s="3"/>
      <c r="Q57" s="31">
        <v>0</v>
      </c>
      <c r="R57" s="4">
        <f t="shared" ref="R57:BA57" si="40">Q59</f>
        <v>0</v>
      </c>
      <c r="S57" s="4">
        <f t="shared" si="40"/>
        <v>0</v>
      </c>
      <c r="T57" s="4">
        <f t="shared" si="40"/>
        <v>0</v>
      </c>
      <c r="U57" s="4">
        <f t="shared" si="40"/>
        <v>0</v>
      </c>
      <c r="V57" s="4">
        <f t="shared" si="40"/>
        <v>0</v>
      </c>
      <c r="W57" s="4">
        <f t="shared" si="40"/>
        <v>0</v>
      </c>
      <c r="X57" s="4">
        <f t="shared" si="40"/>
        <v>0</v>
      </c>
      <c r="Y57" s="4">
        <f t="shared" si="40"/>
        <v>0</v>
      </c>
      <c r="Z57" s="4">
        <f t="shared" si="40"/>
        <v>0</v>
      </c>
      <c r="AA57" s="4">
        <f t="shared" si="40"/>
        <v>0</v>
      </c>
      <c r="AB57" s="4">
        <f t="shared" si="40"/>
        <v>0</v>
      </c>
      <c r="AC57" s="4">
        <f t="shared" si="40"/>
        <v>0</v>
      </c>
      <c r="AD57" s="4">
        <f t="shared" si="40"/>
        <v>0</v>
      </c>
      <c r="AE57" s="4">
        <f t="shared" si="40"/>
        <v>0</v>
      </c>
      <c r="AF57" s="4">
        <f t="shared" si="40"/>
        <v>0</v>
      </c>
      <c r="AG57" s="4">
        <f t="shared" si="40"/>
        <v>0</v>
      </c>
      <c r="AH57" s="4">
        <f t="shared" si="40"/>
        <v>0</v>
      </c>
      <c r="AI57" s="4">
        <f t="shared" si="40"/>
        <v>0</v>
      </c>
      <c r="AJ57" s="4">
        <f t="shared" si="40"/>
        <v>0</v>
      </c>
      <c r="AK57" s="4">
        <f t="shared" si="40"/>
        <v>0</v>
      </c>
      <c r="AL57" s="4">
        <f t="shared" si="40"/>
        <v>0</v>
      </c>
      <c r="AM57" s="4">
        <f t="shared" si="40"/>
        <v>0</v>
      </c>
      <c r="AN57" s="4">
        <f t="shared" si="40"/>
        <v>0</v>
      </c>
      <c r="AO57" s="4">
        <f t="shared" si="40"/>
        <v>0</v>
      </c>
      <c r="AP57" s="4">
        <f t="shared" si="40"/>
        <v>0</v>
      </c>
      <c r="AQ57" s="4">
        <f t="shared" si="40"/>
        <v>0</v>
      </c>
      <c r="AR57" s="4">
        <f t="shared" si="40"/>
        <v>0</v>
      </c>
      <c r="AS57" s="4">
        <f t="shared" si="40"/>
        <v>0</v>
      </c>
      <c r="AT57" s="4">
        <f t="shared" si="40"/>
        <v>0</v>
      </c>
      <c r="AU57" s="4">
        <f t="shared" si="40"/>
        <v>0</v>
      </c>
      <c r="AV57" s="4">
        <f t="shared" si="40"/>
        <v>0</v>
      </c>
      <c r="AW57" s="4">
        <f t="shared" si="40"/>
        <v>0</v>
      </c>
      <c r="AX57" s="4">
        <f t="shared" si="40"/>
        <v>0</v>
      </c>
      <c r="AY57" s="4">
        <f t="shared" si="40"/>
        <v>0</v>
      </c>
      <c r="AZ57" s="4">
        <f t="shared" si="40"/>
        <v>0</v>
      </c>
      <c r="BA57" s="4">
        <f t="shared" si="40"/>
        <v>0</v>
      </c>
    </row>
    <row r="58" spans="1:54" x14ac:dyDescent="0.35"/>
    <row r="59" spans="1:54" ht="15.75" customHeight="1" x14ac:dyDescent="0.35">
      <c r="A59" s="3" t="s">
        <v>24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4">
        <f>BA59</f>
        <v>0</v>
      </c>
      <c r="O59" s="3"/>
      <c r="P59" s="3"/>
      <c r="Q59" s="4">
        <f t="shared" ref="Q59:BA59" si="41">SUM(Q55,Q57)</f>
        <v>0</v>
      </c>
      <c r="R59" s="4">
        <f t="shared" si="41"/>
        <v>0</v>
      </c>
      <c r="S59" s="4">
        <f t="shared" si="41"/>
        <v>0</v>
      </c>
      <c r="T59" s="4">
        <f t="shared" si="41"/>
        <v>0</v>
      </c>
      <c r="U59" s="4">
        <f t="shared" si="41"/>
        <v>0</v>
      </c>
      <c r="V59" s="4">
        <f t="shared" si="41"/>
        <v>0</v>
      </c>
      <c r="W59" s="4">
        <f t="shared" si="41"/>
        <v>0</v>
      </c>
      <c r="X59" s="4">
        <f t="shared" si="41"/>
        <v>0</v>
      </c>
      <c r="Y59" s="4">
        <f t="shared" si="41"/>
        <v>0</v>
      </c>
      <c r="Z59" s="4">
        <f t="shared" si="41"/>
        <v>0</v>
      </c>
      <c r="AA59" s="4">
        <f t="shared" si="41"/>
        <v>0</v>
      </c>
      <c r="AB59" s="4">
        <f t="shared" si="41"/>
        <v>0</v>
      </c>
      <c r="AC59" s="4">
        <f t="shared" si="41"/>
        <v>0</v>
      </c>
      <c r="AD59" s="4">
        <f t="shared" si="41"/>
        <v>0</v>
      </c>
      <c r="AE59" s="4">
        <f t="shared" si="41"/>
        <v>0</v>
      </c>
      <c r="AF59" s="4">
        <f t="shared" si="41"/>
        <v>0</v>
      </c>
      <c r="AG59" s="4">
        <f t="shared" si="41"/>
        <v>0</v>
      </c>
      <c r="AH59" s="4">
        <f t="shared" si="41"/>
        <v>0</v>
      </c>
      <c r="AI59" s="4">
        <f t="shared" si="41"/>
        <v>0</v>
      </c>
      <c r="AJ59" s="4">
        <f t="shared" si="41"/>
        <v>0</v>
      </c>
      <c r="AK59" s="4">
        <f t="shared" si="41"/>
        <v>0</v>
      </c>
      <c r="AL59" s="4">
        <f t="shared" si="41"/>
        <v>0</v>
      </c>
      <c r="AM59" s="4">
        <f t="shared" si="41"/>
        <v>0</v>
      </c>
      <c r="AN59" s="4">
        <f t="shared" si="41"/>
        <v>0</v>
      </c>
      <c r="AO59" s="4">
        <f t="shared" si="41"/>
        <v>0</v>
      </c>
      <c r="AP59" s="4">
        <f t="shared" si="41"/>
        <v>0</v>
      </c>
      <c r="AQ59" s="4">
        <f t="shared" si="41"/>
        <v>0</v>
      </c>
      <c r="AR59" s="4">
        <f t="shared" si="41"/>
        <v>0</v>
      </c>
      <c r="AS59" s="4">
        <f t="shared" si="41"/>
        <v>0</v>
      </c>
      <c r="AT59" s="4">
        <f t="shared" si="41"/>
        <v>0</v>
      </c>
      <c r="AU59" s="4">
        <f t="shared" si="41"/>
        <v>0</v>
      </c>
      <c r="AV59" s="4">
        <f t="shared" si="41"/>
        <v>0</v>
      </c>
      <c r="AW59" s="4">
        <f t="shared" si="41"/>
        <v>0</v>
      </c>
      <c r="AX59" s="4">
        <f t="shared" si="41"/>
        <v>0</v>
      </c>
      <c r="AY59" s="4">
        <f t="shared" si="41"/>
        <v>0</v>
      </c>
      <c r="AZ59" s="4">
        <f t="shared" si="41"/>
        <v>0</v>
      </c>
      <c r="BA59" s="4">
        <f t="shared" si="41"/>
        <v>0</v>
      </c>
    </row>
    <row r="60" spans="1:54" x14ac:dyDescent="0.35"/>
    <row r="61" spans="1:54" ht="15.75" customHeight="1" x14ac:dyDescent="0.35">
      <c r="A61" s="5" t="s">
        <v>86</v>
      </c>
      <c r="B61" s="5"/>
      <c r="C61" s="5"/>
      <c r="D61" s="5"/>
      <c r="E61" s="5"/>
      <c r="F61" s="5"/>
      <c r="G61" s="5"/>
      <c r="H61" s="5"/>
      <c r="I61" s="5"/>
      <c r="J61" s="5"/>
      <c r="K61" s="5"/>
      <c r="N61" s="18">
        <f>_xlfn.MINIFS(Q61:BA61,Q61:BA61,"&gt;"&amp;0)</f>
        <v>0</v>
      </c>
      <c r="Q61" s="17">
        <f t="shared" ref="Q61:BA61" si="42">-IFERROR(SUM(Q35,Q57)/SUM(Q128,-Q132),0)*(OEt.w3-OEp.w3)</f>
        <v>0</v>
      </c>
      <c r="R61" s="17">
        <f t="shared" si="42"/>
        <v>0</v>
      </c>
      <c r="S61" s="17">
        <f t="shared" si="42"/>
        <v>0</v>
      </c>
      <c r="T61" s="17">
        <f t="shared" si="42"/>
        <v>0</v>
      </c>
      <c r="U61" s="17">
        <f t="shared" si="42"/>
        <v>0</v>
      </c>
      <c r="V61" s="17">
        <f t="shared" si="42"/>
        <v>0</v>
      </c>
      <c r="W61" s="17">
        <f t="shared" si="42"/>
        <v>0</v>
      </c>
      <c r="X61" s="17">
        <f t="shared" si="42"/>
        <v>0</v>
      </c>
      <c r="Y61" s="17">
        <f t="shared" si="42"/>
        <v>0</v>
      </c>
      <c r="Z61" s="17">
        <f t="shared" si="42"/>
        <v>0</v>
      </c>
      <c r="AA61" s="17">
        <f t="shared" si="42"/>
        <v>0</v>
      </c>
      <c r="AB61" s="17">
        <f t="shared" si="42"/>
        <v>0</v>
      </c>
      <c r="AC61" s="17">
        <f t="shared" si="42"/>
        <v>0</v>
      </c>
      <c r="AD61" s="17">
        <f t="shared" si="42"/>
        <v>0</v>
      </c>
      <c r="AE61" s="17">
        <f t="shared" si="42"/>
        <v>0</v>
      </c>
      <c r="AF61" s="17">
        <f t="shared" si="42"/>
        <v>0</v>
      </c>
      <c r="AG61" s="17">
        <f t="shared" si="42"/>
        <v>0</v>
      </c>
      <c r="AH61" s="17">
        <f t="shared" si="42"/>
        <v>0</v>
      </c>
      <c r="AI61" s="17">
        <f t="shared" si="42"/>
        <v>0</v>
      </c>
      <c r="AJ61" s="17">
        <f t="shared" si="42"/>
        <v>0</v>
      </c>
      <c r="AK61" s="17">
        <f t="shared" si="42"/>
        <v>0</v>
      </c>
      <c r="AL61" s="17">
        <f t="shared" si="42"/>
        <v>0</v>
      </c>
      <c r="AM61" s="17">
        <f t="shared" si="42"/>
        <v>0</v>
      </c>
      <c r="AN61" s="17">
        <f t="shared" si="42"/>
        <v>0</v>
      </c>
      <c r="AO61" s="17">
        <f t="shared" si="42"/>
        <v>0</v>
      </c>
      <c r="AP61" s="17">
        <f t="shared" si="42"/>
        <v>0</v>
      </c>
      <c r="AQ61" s="17">
        <f t="shared" si="42"/>
        <v>0</v>
      </c>
      <c r="AR61" s="17">
        <f t="shared" si="42"/>
        <v>0</v>
      </c>
      <c r="AS61" s="17">
        <f t="shared" si="42"/>
        <v>0</v>
      </c>
      <c r="AT61" s="17">
        <f t="shared" si="42"/>
        <v>0</v>
      </c>
      <c r="AU61" s="17">
        <f t="shared" si="42"/>
        <v>0</v>
      </c>
      <c r="AV61" s="17">
        <f t="shared" si="42"/>
        <v>0</v>
      </c>
      <c r="AW61" s="17">
        <f t="shared" si="42"/>
        <v>0</v>
      </c>
      <c r="AX61" s="17">
        <f t="shared" si="42"/>
        <v>0</v>
      </c>
      <c r="AY61" s="17">
        <f t="shared" si="42"/>
        <v>0</v>
      </c>
      <c r="AZ61" s="17">
        <f t="shared" si="42"/>
        <v>0</v>
      </c>
      <c r="BA61" s="17">
        <f t="shared" si="42"/>
        <v>0</v>
      </c>
    </row>
    <row r="62" spans="1:54" x14ac:dyDescent="0.35"/>
    <row r="63" spans="1:54" ht="15.75" customHeight="1" thickBot="1" x14ac:dyDescent="0.4">
      <c r="A63" s="44" t="s">
        <v>25</v>
      </c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5"/>
    </row>
    <row r="64" spans="1:54" ht="15" thickTop="1" x14ac:dyDescent="0.35"/>
    <row r="65" spans="2:53" ht="15.75" customHeight="1" x14ac:dyDescent="0.35">
      <c r="B65" s="5" t="s">
        <v>26</v>
      </c>
      <c r="C65" s="5"/>
      <c r="D65" s="5"/>
      <c r="E65" s="5"/>
      <c r="F65" s="5"/>
      <c r="G65" s="5"/>
      <c r="H65" s="5"/>
      <c r="I65" s="5"/>
      <c r="J65" s="5"/>
      <c r="K65" s="5"/>
      <c r="N65" s="1">
        <f>Q65</f>
        <v>0</v>
      </c>
      <c r="Q65" s="13">
        <v>0</v>
      </c>
      <c r="R65" s="1">
        <f t="shared" ref="R65:BA65" si="43">Q84</f>
        <v>0</v>
      </c>
      <c r="S65" s="1">
        <f t="shared" si="43"/>
        <v>0</v>
      </c>
      <c r="T65" s="1">
        <f t="shared" si="43"/>
        <v>0</v>
      </c>
      <c r="U65" s="1">
        <f t="shared" si="43"/>
        <v>0</v>
      </c>
      <c r="V65" s="1">
        <f t="shared" si="43"/>
        <v>0</v>
      </c>
      <c r="W65" s="1">
        <f t="shared" si="43"/>
        <v>0</v>
      </c>
      <c r="X65" s="1">
        <f t="shared" si="43"/>
        <v>0</v>
      </c>
      <c r="Y65" s="1">
        <f t="shared" si="43"/>
        <v>0</v>
      </c>
      <c r="Z65" s="1">
        <f t="shared" si="43"/>
        <v>0</v>
      </c>
      <c r="AA65" s="1">
        <f t="shared" si="43"/>
        <v>0</v>
      </c>
      <c r="AB65" s="1">
        <f t="shared" si="43"/>
        <v>0</v>
      </c>
      <c r="AC65" s="1">
        <f t="shared" si="43"/>
        <v>0</v>
      </c>
      <c r="AD65" s="1">
        <f t="shared" si="43"/>
        <v>0</v>
      </c>
      <c r="AE65" s="1">
        <f t="shared" si="43"/>
        <v>0</v>
      </c>
      <c r="AF65" s="1">
        <f t="shared" si="43"/>
        <v>0</v>
      </c>
      <c r="AG65" s="1">
        <f t="shared" si="43"/>
        <v>0</v>
      </c>
      <c r="AH65" s="1">
        <f t="shared" si="43"/>
        <v>0</v>
      </c>
      <c r="AI65" s="1">
        <f t="shared" si="43"/>
        <v>0</v>
      </c>
      <c r="AJ65" s="1">
        <f t="shared" si="43"/>
        <v>0</v>
      </c>
      <c r="AK65" s="1">
        <f t="shared" si="43"/>
        <v>0</v>
      </c>
      <c r="AL65" s="1">
        <f t="shared" si="43"/>
        <v>0</v>
      </c>
      <c r="AM65" s="1">
        <f t="shared" si="43"/>
        <v>0</v>
      </c>
      <c r="AN65" s="1">
        <f t="shared" si="43"/>
        <v>0</v>
      </c>
      <c r="AO65" s="1">
        <f t="shared" si="43"/>
        <v>0</v>
      </c>
      <c r="AP65" s="1">
        <f t="shared" si="43"/>
        <v>0</v>
      </c>
      <c r="AQ65" s="1">
        <f t="shared" si="43"/>
        <v>0</v>
      </c>
      <c r="AR65" s="1">
        <f t="shared" si="43"/>
        <v>0</v>
      </c>
      <c r="AS65" s="1">
        <f t="shared" si="43"/>
        <v>0</v>
      </c>
      <c r="AT65" s="1">
        <f t="shared" si="43"/>
        <v>0</v>
      </c>
      <c r="AU65" s="1">
        <f t="shared" si="43"/>
        <v>0</v>
      </c>
      <c r="AV65" s="1">
        <f t="shared" si="43"/>
        <v>0</v>
      </c>
      <c r="AW65" s="1">
        <f t="shared" si="43"/>
        <v>0</v>
      </c>
      <c r="AX65" s="1">
        <f t="shared" si="43"/>
        <v>0</v>
      </c>
      <c r="AY65" s="1">
        <f t="shared" si="43"/>
        <v>0</v>
      </c>
      <c r="AZ65" s="1">
        <f t="shared" si="43"/>
        <v>0</v>
      </c>
      <c r="BA65" s="1">
        <f t="shared" si="43"/>
        <v>0</v>
      </c>
    </row>
    <row r="66" spans="2:53" ht="15.75" customHeight="1" x14ac:dyDescent="0.35">
      <c r="B66" s="5"/>
      <c r="C66" s="5" t="s">
        <v>1</v>
      </c>
      <c r="D66" s="5"/>
      <c r="E66" s="5"/>
      <c r="F66" s="5"/>
      <c r="G66" s="5"/>
      <c r="H66" s="5"/>
      <c r="I66" s="5"/>
      <c r="J66" s="5"/>
      <c r="K66" s="5"/>
      <c r="N66" s="1">
        <f t="shared" ref="N66:N83" si="44">SUM(Q66:BA66)</f>
        <v>0</v>
      </c>
      <c r="Q66" s="1">
        <f t="shared" ref="Q66:BA66" si="45">SUM(Q67:Q71)</f>
        <v>0</v>
      </c>
      <c r="R66" s="1">
        <f t="shared" si="45"/>
        <v>0</v>
      </c>
      <c r="S66" s="1">
        <f t="shared" si="45"/>
        <v>0</v>
      </c>
      <c r="T66" s="1">
        <f t="shared" si="45"/>
        <v>0</v>
      </c>
      <c r="U66" s="1">
        <f t="shared" si="45"/>
        <v>0</v>
      </c>
      <c r="V66" s="1">
        <f t="shared" si="45"/>
        <v>0</v>
      </c>
      <c r="W66" s="1">
        <f t="shared" si="45"/>
        <v>0</v>
      </c>
      <c r="X66" s="1">
        <f t="shared" si="45"/>
        <v>0</v>
      </c>
      <c r="Y66" s="1">
        <f t="shared" si="45"/>
        <v>0</v>
      </c>
      <c r="Z66" s="1">
        <f t="shared" si="45"/>
        <v>0</v>
      </c>
      <c r="AA66" s="1">
        <f t="shared" si="45"/>
        <v>0</v>
      </c>
      <c r="AB66" s="1">
        <f t="shared" si="45"/>
        <v>0</v>
      </c>
      <c r="AC66" s="1">
        <f t="shared" si="45"/>
        <v>0</v>
      </c>
      <c r="AD66" s="1">
        <f t="shared" si="45"/>
        <v>0</v>
      </c>
      <c r="AE66" s="1">
        <f t="shared" si="45"/>
        <v>0</v>
      </c>
      <c r="AF66" s="1">
        <f t="shared" si="45"/>
        <v>0</v>
      </c>
      <c r="AG66" s="1">
        <f t="shared" si="45"/>
        <v>0</v>
      </c>
      <c r="AH66" s="1">
        <f t="shared" si="45"/>
        <v>0</v>
      </c>
      <c r="AI66" s="1">
        <f t="shared" si="45"/>
        <v>0</v>
      </c>
      <c r="AJ66" s="1">
        <f t="shared" si="45"/>
        <v>0</v>
      </c>
      <c r="AK66" s="1">
        <f t="shared" si="45"/>
        <v>0</v>
      </c>
      <c r="AL66" s="1">
        <f t="shared" si="45"/>
        <v>0</v>
      </c>
      <c r="AM66" s="1">
        <f t="shared" si="45"/>
        <v>0</v>
      </c>
      <c r="AN66" s="1">
        <f t="shared" si="45"/>
        <v>0</v>
      </c>
      <c r="AO66" s="1">
        <f t="shared" si="45"/>
        <v>0</v>
      </c>
      <c r="AP66" s="1">
        <f t="shared" si="45"/>
        <v>0</v>
      </c>
      <c r="AQ66" s="1">
        <f t="shared" si="45"/>
        <v>0</v>
      </c>
      <c r="AR66" s="1">
        <f t="shared" si="45"/>
        <v>0</v>
      </c>
      <c r="AS66" s="1">
        <f t="shared" si="45"/>
        <v>0</v>
      </c>
      <c r="AT66" s="1">
        <f t="shared" si="45"/>
        <v>0</v>
      </c>
      <c r="AU66" s="1">
        <f t="shared" si="45"/>
        <v>0</v>
      </c>
      <c r="AV66" s="1">
        <f t="shared" si="45"/>
        <v>0</v>
      </c>
      <c r="AW66" s="1">
        <f t="shared" si="45"/>
        <v>0</v>
      </c>
      <c r="AX66" s="1">
        <f t="shared" si="45"/>
        <v>0</v>
      </c>
      <c r="AY66" s="1">
        <f t="shared" si="45"/>
        <v>0</v>
      </c>
      <c r="AZ66" s="1">
        <f t="shared" si="45"/>
        <v>0</v>
      </c>
      <c r="BA66" s="1">
        <f t="shared" si="45"/>
        <v>0</v>
      </c>
    </row>
    <row r="67" spans="2:53" ht="15.75" customHeight="1" outlineLevel="1" x14ac:dyDescent="0.35">
      <c r="B67" s="5"/>
      <c r="C67" s="5"/>
      <c r="D67" s="5" t="s">
        <v>99</v>
      </c>
      <c r="E67" s="5"/>
      <c r="F67" s="5"/>
      <c r="G67" s="5"/>
      <c r="H67" s="5"/>
      <c r="I67" s="5"/>
      <c r="J67" s="5"/>
      <c r="K67" s="5"/>
      <c r="N67" s="1">
        <f t="shared" si="44"/>
        <v>0</v>
      </c>
      <c r="Q67" s="1">
        <f>ABS(Q176)</f>
        <v>0</v>
      </c>
      <c r="R67" s="1">
        <f t="shared" ref="R67:BA67" si="46">ABS(R176)</f>
        <v>0</v>
      </c>
      <c r="S67" s="1">
        <f t="shared" si="46"/>
        <v>0</v>
      </c>
      <c r="T67" s="1">
        <f t="shared" si="46"/>
        <v>0</v>
      </c>
      <c r="U67" s="1">
        <f t="shared" si="46"/>
        <v>0</v>
      </c>
      <c r="V67" s="1">
        <f t="shared" si="46"/>
        <v>0</v>
      </c>
      <c r="W67" s="1">
        <f t="shared" si="46"/>
        <v>0</v>
      </c>
      <c r="X67" s="1">
        <f t="shared" si="46"/>
        <v>0</v>
      </c>
      <c r="Y67" s="1">
        <f t="shared" si="46"/>
        <v>0</v>
      </c>
      <c r="Z67" s="1">
        <f t="shared" si="46"/>
        <v>0</v>
      </c>
      <c r="AA67" s="1">
        <f t="shared" si="46"/>
        <v>0</v>
      </c>
      <c r="AB67" s="1">
        <f t="shared" si="46"/>
        <v>0</v>
      </c>
      <c r="AC67" s="1">
        <f t="shared" si="46"/>
        <v>0</v>
      </c>
      <c r="AD67" s="1">
        <f t="shared" si="46"/>
        <v>0</v>
      </c>
      <c r="AE67" s="1">
        <f t="shared" si="46"/>
        <v>0</v>
      </c>
      <c r="AF67" s="1">
        <f t="shared" si="46"/>
        <v>0</v>
      </c>
      <c r="AG67" s="1">
        <f t="shared" si="46"/>
        <v>0</v>
      </c>
      <c r="AH67" s="1">
        <f t="shared" si="46"/>
        <v>0</v>
      </c>
      <c r="AI67" s="1">
        <f t="shared" si="46"/>
        <v>0</v>
      </c>
      <c r="AJ67" s="1">
        <f t="shared" si="46"/>
        <v>0</v>
      </c>
      <c r="AK67" s="1">
        <f t="shared" si="46"/>
        <v>0</v>
      </c>
      <c r="AL67" s="1">
        <f t="shared" si="46"/>
        <v>0</v>
      </c>
      <c r="AM67" s="1">
        <f t="shared" si="46"/>
        <v>0</v>
      </c>
      <c r="AN67" s="1">
        <f t="shared" si="46"/>
        <v>0</v>
      </c>
      <c r="AO67" s="1">
        <f t="shared" si="46"/>
        <v>0</v>
      </c>
      <c r="AP67" s="1">
        <f t="shared" si="46"/>
        <v>0</v>
      </c>
      <c r="AQ67" s="1">
        <f t="shared" si="46"/>
        <v>0</v>
      </c>
      <c r="AR67" s="1">
        <f t="shared" si="46"/>
        <v>0</v>
      </c>
      <c r="AS67" s="1">
        <f t="shared" si="46"/>
        <v>0</v>
      </c>
      <c r="AT67" s="1">
        <f t="shared" si="46"/>
        <v>0</v>
      </c>
      <c r="AU67" s="1">
        <f t="shared" si="46"/>
        <v>0</v>
      </c>
      <c r="AV67" s="1">
        <f t="shared" si="46"/>
        <v>0</v>
      </c>
      <c r="AW67" s="1">
        <f t="shared" si="46"/>
        <v>0</v>
      </c>
      <c r="AX67" s="1">
        <f t="shared" si="46"/>
        <v>0</v>
      </c>
      <c r="AY67" s="1">
        <f t="shared" si="46"/>
        <v>0</v>
      </c>
      <c r="AZ67" s="1">
        <f t="shared" si="46"/>
        <v>0</v>
      </c>
      <c r="BA67" s="1">
        <f t="shared" si="46"/>
        <v>0</v>
      </c>
    </row>
    <row r="68" spans="2:53" ht="15.75" customHeight="1" outlineLevel="1" x14ac:dyDescent="0.35">
      <c r="B68" s="5"/>
      <c r="C68" s="5"/>
      <c r="D68" s="5" t="s">
        <v>100</v>
      </c>
      <c r="E68" s="5"/>
      <c r="F68" s="5"/>
      <c r="G68" s="5"/>
      <c r="H68" s="5"/>
      <c r="I68" s="5"/>
      <c r="J68" s="5"/>
      <c r="K68" s="5"/>
      <c r="N68" s="1">
        <f t="shared" si="44"/>
        <v>0</v>
      </c>
      <c r="Q68" s="1">
        <f>ABS(Q177)</f>
        <v>0</v>
      </c>
      <c r="R68" s="1">
        <f t="shared" ref="R68:BA68" si="47">ABS(R177)</f>
        <v>0</v>
      </c>
      <c r="S68" s="1">
        <f t="shared" si="47"/>
        <v>0</v>
      </c>
      <c r="T68" s="1">
        <f t="shared" si="47"/>
        <v>0</v>
      </c>
      <c r="U68" s="1">
        <f t="shared" si="47"/>
        <v>0</v>
      </c>
      <c r="V68" s="1">
        <f t="shared" si="47"/>
        <v>0</v>
      </c>
      <c r="W68" s="1">
        <f t="shared" si="47"/>
        <v>0</v>
      </c>
      <c r="X68" s="1">
        <f t="shared" si="47"/>
        <v>0</v>
      </c>
      <c r="Y68" s="1">
        <f t="shared" si="47"/>
        <v>0</v>
      </c>
      <c r="Z68" s="1">
        <f t="shared" si="47"/>
        <v>0</v>
      </c>
      <c r="AA68" s="1">
        <f t="shared" si="47"/>
        <v>0</v>
      </c>
      <c r="AB68" s="1">
        <f t="shared" si="47"/>
        <v>0</v>
      </c>
      <c r="AC68" s="1">
        <f t="shared" si="47"/>
        <v>0</v>
      </c>
      <c r="AD68" s="1">
        <f t="shared" si="47"/>
        <v>0</v>
      </c>
      <c r="AE68" s="1">
        <f t="shared" si="47"/>
        <v>0</v>
      </c>
      <c r="AF68" s="1">
        <f t="shared" si="47"/>
        <v>0</v>
      </c>
      <c r="AG68" s="1">
        <f t="shared" si="47"/>
        <v>0</v>
      </c>
      <c r="AH68" s="1">
        <f t="shared" si="47"/>
        <v>0</v>
      </c>
      <c r="AI68" s="1">
        <f t="shared" si="47"/>
        <v>0</v>
      </c>
      <c r="AJ68" s="1">
        <f t="shared" si="47"/>
        <v>0</v>
      </c>
      <c r="AK68" s="1">
        <f t="shared" si="47"/>
        <v>0</v>
      </c>
      <c r="AL68" s="1">
        <f t="shared" si="47"/>
        <v>0</v>
      </c>
      <c r="AM68" s="1">
        <f t="shared" si="47"/>
        <v>0</v>
      </c>
      <c r="AN68" s="1">
        <f t="shared" si="47"/>
        <v>0</v>
      </c>
      <c r="AO68" s="1">
        <f t="shared" si="47"/>
        <v>0</v>
      </c>
      <c r="AP68" s="1">
        <f t="shared" si="47"/>
        <v>0</v>
      </c>
      <c r="AQ68" s="1">
        <f t="shared" si="47"/>
        <v>0</v>
      </c>
      <c r="AR68" s="1">
        <f t="shared" si="47"/>
        <v>0</v>
      </c>
      <c r="AS68" s="1">
        <f t="shared" si="47"/>
        <v>0</v>
      </c>
      <c r="AT68" s="1">
        <f t="shared" si="47"/>
        <v>0</v>
      </c>
      <c r="AU68" s="1">
        <f t="shared" si="47"/>
        <v>0</v>
      </c>
      <c r="AV68" s="1">
        <f t="shared" si="47"/>
        <v>0</v>
      </c>
      <c r="AW68" s="1">
        <f t="shared" si="47"/>
        <v>0</v>
      </c>
      <c r="AX68" s="1">
        <f t="shared" si="47"/>
        <v>0</v>
      </c>
      <c r="AY68" s="1">
        <f t="shared" si="47"/>
        <v>0</v>
      </c>
      <c r="AZ68" s="1">
        <f t="shared" si="47"/>
        <v>0</v>
      </c>
      <c r="BA68" s="1">
        <f t="shared" si="47"/>
        <v>0</v>
      </c>
    </row>
    <row r="69" spans="2:53" ht="15.75" customHeight="1" outlineLevel="1" x14ac:dyDescent="0.35">
      <c r="B69" s="5"/>
      <c r="C69" s="5"/>
      <c r="D69" s="5" t="s">
        <v>66</v>
      </c>
      <c r="E69" s="5"/>
      <c r="F69" s="5"/>
      <c r="G69" s="5"/>
      <c r="H69" s="5"/>
      <c r="I69" s="5"/>
      <c r="J69" s="5"/>
      <c r="K69" s="5"/>
      <c r="N69" s="1">
        <f t="shared" si="44"/>
        <v>0</v>
      </c>
      <c r="Q69" s="1">
        <f>ABS(Q178)</f>
        <v>0</v>
      </c>
      <c r="R69" s="1">
        <f t="shared" ref="R69:BA69" si="48">ABS(R178)</f>
        <v>0</v>
      </c>
      <c r="S69" s="1">
        <f t="shared" si="48"/>
        <v>0</v>
      </c>
      <c r="T69" s="1">
        <f t="shared" si="48"/>
        <v>0</v>
      </c>
      <c r="U69" s="1">
        <f t="shared" si="48"/>
        <v>0</v>
      </c>
      <c r="V69" s="1">
        <f t="shared" si="48"/>
        <v>0</v>
      </c>
      <c r="W69" s="1">
        <f t="shared" si="48"/>
        <v>0</v>
      </c>
      <c r="X69" s="1">
        <f t="shared" si="48"/>
        <v>0</v>
      </c>
      <c r="Y69" s="1">
        <f t="shared" si="48"/>
        <v>0</v>
      </c>
      <c r="Z69" s="1">
        <f t="shared" si="48"/>
        <v>0</v>
      </c>
      <c r="AA69" s="1">
        <f t="shared" si="48"/>
        <v>0</v>
      </c>
      <c r="AB69" s="1">
        <f t="shared" si="48"/>
        <v>0</v>
      </c>
      <c r="AC69" s="1">
        <f t="shared" si="48"/>
        <v>0</v>
      </c>
      <c r="AD69" s="1">
        <f t="shared" si="48"/>
        <v>0</v>
      </c>
      <c r="AE69" s="1">
        <f t="shared" si="48"/>
        <v>0</v>
      </c>
      <c r="AF69" s="1">
        <f t="shared" si="48"/>
        <v>0</v>
      </c>
      <c r="AG69" s="1">
        <f t="shared" si="48"/>
        <v>0</v>
      </c>
      <c r="AH69" s="1">
        <f t="shared" si="48"/>
        <v>0</v>
      </c>
      <c r="AI69" s="1">
        <f t="shared" si="48"/>
        <v>0</v>
      </c>
      <c r="AJ69" s="1">
        <f t="shared" si="48"/>
        <v>0</v>
      </c>
      <c r="AK69" s="1">
        <f t="shared" si="48"/>
        <v>0</v>
      </c>
      <c r="AL69" s="1">
        <f t="shared" si="48"/>
        <v>0</v>
      </c>
      <c r="AM69" s="1">
        <f t="shared" si="48"/>
        <v>0</v>
      </c>
      <c r="AN69" s="1">
        <f t="shared" si="48"/>
        <v>0</v>
      </c>
      <c r="AO69" s="1">
        <f t="shared" si="48"/>
        <v>0</v>
      </c>
      <c r="AP69" s="1">
        <f t="shared" si="48"/>
        <v>0</v>
      </c>
      <c r="AQ69" s="1">
        <f t="shared" si="48"/>
        <v>0</v>
      </c>
      <c r="AR69" s="1">
        <f t="shared" si="48"/>
        <v>0</v>
      </c>
      <c r="AS69" s="1">
        <f t="shared" si="48"/>
        <v>0</v>
      </c>
      <c r="AT69" s="1">
        <f t="shared" si="48"/>
        <v>0</v>
      </c>
      <c r="AU69" s="1">
        <f t="shared" si="48"/>
        <v>0</v>
      </c>
      <c r="AV69" s="1">
        <f t="shared" si="48"/>
        <v>0</v>
      </c>
      <c r="AW69" s="1">
        <f t="shared" si="48"/>
        <v>0</v>
      </c>
      <c r="AX69" s="1">
        <f t="shared" si="48"/>
        <v>0</v>
      </c>
      <c r="AY69" s="1">
        <f t="shared" si="48"/>
        <v>0</v>
      </c>
      <c r="AZ69" s="1">
        <f t="shared" si="48"/>
        <v>0</v>
      </c>
      <c r="BA69" s="1">
        <f t="shared" si="48"/>
        <v>0</v>
      </c>
    </row>
    <row r="70" spans="2:53" ht="15.75" customHeight="1" outlineLevel="1" x14ac:dyDescent="0.35">
      <c r="B70" s="5"/>
      <c r="C70" s="5"/>
      <c r="D70" s="5" t="s">
        <v>72</v>
      </c>
      <c r="E70" s="5"/>
      <c r="F70" s="5"/>
      <c r="G70" s="5"/>
      <c r="H70" s="5"/>
      <c r="I70" s="5"/>
      <c r="J70" s="5"/>
      <c r="K70" s="5"/>
      <c r="N70" s="1">
        <f t="shared" si="44"/>
        <v>0</v>
      </c>
      <c r="Q70" s="1">
        <f t="shared" ref="Q70:BA71" si="49">Q123+Q140</f>
        <v>0</v>
      </c>
      <c r="R70" s="1">
        <f t="shared" si="49"/>
        <v>0</v>
      </c>
      <c r="S70" s="1">
        <f t="shared" si="49"/>
        <v>0</v>
      </c>
      <c r="T70" s="1">
        <f t="shared" si="49"/>
        <v>0</v>
      </c>
      <c r="U70" s="1">
        <f t="shared" si="49"/>
        <v>0</v>
      </c>
      <c r="V70" s="1">
        <f t="shared" si="49"/>
        <v>0</v>
      </c>
      <c r="W70" s="1">
        <f t="shared" si="49"/>
        <v>0</v>
      </c>
      <c r="X70" s="1">
        <f t="shared" si="49"/>
        <v>0</v>
      </c>
      <c r="Y70" s="1">
        <f t="shared" si="49"/>
        <v>0</v>
      </c>
      <c r="Z70" s="1">
        <f t="shared" si="49"/>
        <v>0</v>
      </c>
      <c r="AA70" s="1">
        <f t="shared" si="49"/>
        <v>0</v>
      </c>
      <c r="AB70" s="1">
        <f t="shared" si="49"/>
        <v>0</v>
      </c>
      <c r="AC70" s="1">
        <f t="shared" si="49"/>
        <v>0</v>
      </c>
      <c r="AD70" s="1">
        <f t="shared" si="49"/>
        <v>0</v>
      </c>
      <c r="AE70" s="1">
        <f t="shared" si="49"/>
        <v>0</v>
      </c>
      <c r="AF70" s="1">
        <f t="shared" si="49"/>
        <v>0</v>
      </c>
      <c r="AG70" s="1">
        <f t="shared" si="49"/>
        <v>0</v>
      </c>
      <c r="AH70" s="1">
        <f t="shared" si="49"/>
        <v>0</v>
      </c>
      <c r="AI70" s="1">
        <f t="shared" si="49"/>
        <v>0</v>
      </c>
      <c r="AJ70" s="1">
        <f t="shared" si="49"/>
        <v>0</v>
      </c>
      <c r="AK70" s="1">
        <f t="shared" si="49"/>
        <v>0</v>
      </c>
      <c r="AL70" s="1">
        <f t="shared" si="49"/>
        <v>0</v>
      </c>
      <c r="AM70" s="1">
        <f t="shared" si="49"/>
        <v>0</v>
      </c>
      <c r="AN70" s="1">
        <f t="shared" si="49"/>
        <v>0</v>
      </c>
      <c r="AO70" s="1">
        <f t="shared" si="49"/>
        <v>0</v>
      </c>
      <c r="AP70" s="1">
        <f t="shared" si="49"/>
        <v>0</v>
      </c>
      <c r="AQ70" s="1">
        <f t="shared" si="49"/>
        <v>0</v>
      </c>
      <c r="AR70" s="1">
        <f t="shared" si="49"/>
        <v>0</v>
      </c>
      <c r="AS70" s="1">
        <f t="shared" si="49"/>
        <v>0</v>
      </c>
      <c r="AT70" s="1">
        <f t="shared" si="49"/>
        <v>0</v>
      </c>
      <c r="AU70" s="1">
        <f t="shared" si="49"/>
        <v>0</v>
      </c>
      <c r="AV70" s="1">
        <f t="shared" si="49"/>
        <v>0</v>
      </c>
      <c r="AW70" s="1">
        <f t="shared" si="49"/>
        <v>0</v>
      </c>
      <c r="AX70" s="1">
        <f t="shared" si="49"/>
        <v>0</v>
      </c>
      <c r="AY70" s="1">
        <f t="shared" si="49"/>
        <v>0</v>
      </c>
      <c r="AZ70" s="1">
        <f t="shared" si="49"/>
        <v>0</v>
      </c>
      <c r="BA70" s="1">
        <f t="shared" si="49"/>
        <v>0</v>
      </c>
    </row>
    <row r="71" spans="2:53" ht="15.75" customHeight="1" outlineLevel="1" x14ac:dyDescent="0.35">
      <c r="B71" s="5"/>
      <c r="C71" s="5"/>
      <c r="D71" s="5" t="s">
        <v>50</v>
      </c>
      <c r="E71" s="5"/>
      <c r="F71" s="5"/>
      <c r="G71" s="5"/>
      <c r="H71" s="5"/>
      <c r="I71" s="5"/>
      <c r="J71" s="5"/>
      <c r="K71" s="5"/>
      <c r="N71" s="1">
        <f>SUM(Q71:BA71)</f>
        <v>0</v>
      </c>
      <c r="Q71" s="1">
        <f t="shared" si="49"/>
        <v>0</v>
      </c>
      <c r="R71" s="1">
        <f t="shared" si="49"/>
        <v>0</v>
      </c>
      <c r="S71" s="1">
        <f>S124+S141</f>
        <v>0</v>
      </c>
      <c r="T71" s="1">
        <f t="shared" si="49"/>
        <v>0</v>
      </c>
      <c r="U71" s="1">
        <f t="shared" si="49"/>
        <v>0</v>
      </c>
      <c r="V71" s="1">
        <f t="shared" si="49"/>
        <v>0</v>
      </c>
      <c r="W71" s="1">
        <f t="shared" si="49"/>
        <v>0</v>
      </c>
      <c r="X71" s="1">
        <f t="shared" si="49"/>
        <v>0</v>
      </c>
      <c r="Y71" s="1">
        <f t="shared" si="49"/>
        <v>0</v>
      </c>
      <c r="Z71" s="1">
        <f t="shared" si="49"/>
        <v>0</v>
      </c>
      <c r="AA71" s="1">
        <f t="shared" si="49"/>
        <v>0</v>
      </c>
      <c r="AB71" s="1">
        <f t="shared" si="49"/>
        <v>0</v>
      </c>
      <c r="AC71" s="1">
        <f t="shared" si="49"/>
        <v>0</v>
      </c>
      <c r="AD71" s="1">
        <f t="shared" si="49"/>
        <v>0</v>
      </c>
      <c r="AE71" s="1">
        <f t="shared" si="49"/>
        <v>0</v>
      </c>
      <c r="AF71" s="1">
        <f t="shared" si="49"/>
        <v>0</v>
      </c>
      <c r="AG71" s="1">
        <f t="shared" si="49"/>
        <v>0</v>
      </c>
      <c r="AH71" s="1">
        <f t="shared" si="49"/>
        <v>0</v>
      </c>
      <c r="AI71" s="1">
        <f t="shared" si="49"/>
        <v>0</v>
      </c>
      <c r="AJ71" s="1">
        <f t="shared" si="49"/>
        <v>0</v>
      </c>
      <c r="AK71" s="1">
        <f t="shared" si="49"/>
        <v>0</v>
      </c>
      <c r="AL71" s="1">
        <f t="shared" si="49"/>
        <v>0</v>
      </c>
      <c r="AM71" s="1">
        <f t="shared" si="49"/>
        <v>0</v>
      </c>
      <c r="AN71" s="1">
        <f t="shared" si="49"/>
        <v>0</v>
      </c>
      <c r="AO71" s="1">
        <f t="shared" si="49"/>
        <v>0</v>
      </c>
      <c r="AP71" s="1">
        <f t="shared" si="49"/>
        <v>0</v>
      </c>
      <c r="AQ71" s="1">
        <f t="shared" si="49"/>
        <v>0</v>
      </c>
      <c r="AR71" s="1">
        <f t="shared" si="49"/>
        <v>0</v>
      </c>
      <c r="AS71" s="1">
        <f t="shared" si="49"/>
        <v>0</v>
      </c>
      <c r="AT71" s="1">
        <f t="shared" si="49"/>
        <v>0</v>
      </c>
      <c r="AU71" s="1">
        <f t="shared" si="49"/>
        <v>0</v>
      </c>
      <c r="AV71" s="1">
        <f t="shared" si="49"/>
        <v>0</v>
      </c>
      <c r="AW71" s="1">
        <f t="shared" si="49"/>
        <v>0</v>
      </c>
      <c r="AX71" s="1">
        <f t="shared" si="49"/>
        <v>0</v>
      </c>
      <c r="AY71" s="1">
        <f t="shared" si="49"/>
        <v>0</v>
      </c>
      <c r="AZ71" s="1">
        <f t="shared" si="49"/>
        <v>0</v>
      </c>
      <c r="BA71" s="1">
        <f t="shared" si="49"/>
        <v>0</v>
      </c>
    </row>
    <row r="72" spans="2:53" ht="15.75" customHeight="1" x14ac:dyDescent="0.35">
      <c r="B72" s="5"/>
      <c r="C72" s="5" t="s">
        <v>3</v>
      </c>
      <c r="D72" s="5"/>
      <c r="E72" s="5"/>
      <c r="F72" s="5"/>
      <c r="G72" s="5"/>
      <c r="H72" s="5"/>
      <c r="I72" s="5"/>
      <c r="J72" s="5"/>
      <c r="K72" s="5"/>
      <c r="N72" s="1">
        <f t="shared" si="44"/>
        <v>0</v>
      </c>
      <c r="Q72" s="1">
        <f>SUM(Q73:Q74)</f>
        <v>0</v>
      </c>
      <c r="R72" s="1">
        <f t="shared" ref="R72:BA72" si="50">SUM(R73:R74)</f>
        <v>0</v>
      </c>
      <c r="S72" s="1">
        <f t="shared" si="50"/>
        <v>0</v>
      </c>
      <c r="T72" s="1">
        <f t="shared" si="50"/>
        <v>0</v>
      </c>
      <c r="U72" s="1">
        <f t="shared" si="50"/>
        <v>0</v>
      </c>
      <c r="V72" s="1">
        <f t="shared" si="50"/>
        <v>0</v>
      </c>
      <c r="W72" s="1">
        <f t="shared" si="50"/>
        <v>0</v>
      </c>
      <c r="X72" s="1">
        <f t="shared" si="50"/>
        <v>0</v>
      </c>
      <c r="Y72" s="1">
        <f t="shared" si="50"/>
        <v>0</v>
      </c>
      <c r="Z72" s="1">
        <f t="shared" si="50"/>
        <v>0</v>
      </c>
      <c r="AA72" s="1">
        <f t="shared" si="50"/>
        <v>0</v>
      </c>
      <c r="AB72" s="1">
        <f t="shared" si="50"/>
        <v>0</v>
      </c>
      <c r="AC72" s="1">
        <f t="shared" si="50"/>
        <v>0</v>
      </c>
      <c r="AD72" s="1">
        <f t="shared" si="50"/>
        <v>0</v>
      </c>
      <c r="AE72" s="1">
        <f t="shared" si="50"/>
        <v>0</v>
      </c>
      <c r="AF72" s="1">
        <f t="shared" si="50"/>
        <v>0</v>
      </c>
      <c r="AG72" s="1">
        <f t="shared" si="50"/>
        <v>0</v>
      </c>
      <c r="AH72" s="1">
        <f t="shared" si="50"/>
        <v>0</v>
      </c>
      <c r="AI72" s="1">
        <f t="shared" si="50"/>
        <v>0</v>
      </c>
      <c r="AJ72" s="1">
        <f t="shared" si="50"/>
        <v>0</v>
      </c>
      <c r="AK72" s="1">
        <f t="shared" si="50"/>
        <v>0</v>
      </c>
      <c r="AL72" s="1">
        <f t="shared" si="50"/>
        <v>0</v>
      </c>
      <c r="AM72" s="1">
        <f t="shared" si="50"/>
        <v>0</v>
      </c>
      <c r="AN72" s="1">
        <f t="shared" si="50"/>
        <v>0</v>
      </c>
      <c r="AO72" s="1">
        <f t="shared" si="50"/>
        <v>0</v>
      </c>
      <c r="AP72" s="1">
        <f t="shared" si="50"/>
        <v>0</v>
      </c>
      <c r="AQ72" s="1">
        <f t="shared" si="50"/>
        <v>0</v>
      </c>
      <c r="AR72" s="1">
        <f t="shared" si="50"/>
        <v>0</v>
      </c>
      <c r="AS72" s="1">
        <f t="shared" si="50"/>
        <v>0</v>
      </c>
      <c r="AT72" s="1">
        <f t="shared" si="50"/>
        <v>0</v>
      </c>
      <c r="AU72" s="1">
        <f t="shared" si="50"/>
        <v>0</v>
      </c>
      <c r="AV72" s="1">
        <f t="shared" si="50"/>
        <v>0</v>
      </c>
      <c r="AW72" s="1">
        <f t="shared" si="50"/>
        <v>0</v>
      </c>
      <c r="AX72" s="1">
        <f t="shared" si="50"/>
        <v>0</v>
      </c>
      <c r="AY72" s="1">
        <f t="shared" si="50"/>
        <v>0</v>
      </c>
      <c r="AZ72" s="1">
        <f t="shared" si="50"/>
        <v>0</v>
      </c>
      <c r="BA72" s="1">
        <f t="shared" si="50"/>
        <v>0</v>
      </c>
    </row>
    <row r="73" spans="2:53" ht="15.75" customHeight="1" outlineLevel="1" x14ac:dyDescent="0.35">
      <c r="B73" s="5"/>
      <c r="C73" s="5"/>
      <c r="D73" s="5" t="s">
        <v>6</v>
      </c>
      <c r="E73" s="5"/>
      <c r="F73" s="5"/>
      <c r="G73" s="5"/>
      <c r="H73" s="5"/>
      <c r="I73" s="5"/>
      <c r="J73" s="5"/>
      <c r="K73" s="5"/>
      <c r="N73" s="1">
        <f t="shared" si="44"/>
        <v>0</v>
      </c>
      <c r="Q73" s="1">
        <f>ABS(Założenia!$O$43)*'zakładka techniczna'!Q$10*OEt.w3</f>
        <v>0</v>
      </c>
      <c r="R73" s="1">
        <f>ABS(Założenia!$O$43)*'zakładka techniczna'!R$10*OEt.w3</f>
        <v>0</v>
      </c>
      <c r="S73" s="1">
        <f>ABS(Założenia!$O$43)*'zakładka techniczna'!S$10*OEt.w3</f>
        <v>0</v>
      </c>
      <c r="T73" s="1">
        <f>ABS(Założenia!$O$43)*'zakładka techniczna'!T$10*OEt.w3</f>
        <v>0</v>
      </c>
      <c r="U73" s="1">
        <f>ABS(Założenia!$O$43)*'zakładka techniczna'!U$10*OEt.w3</f>
        <v>0</v>
      </c>
      <c r="V73" s="1">
        <f>ABS(Założenia!$O$43)*'zakładka techniczna'!V$10*OEt.w3</f>
        <v>0</v>
      </c>
      <c r="W73" s="1">
        <f>ABS(Założenia!$O$43)*'zakładka techniczna'!W$10*OEt.w3</f>
        <v>0</v>
      </c>
      <c r="X73" s="1">
        <f>ABS(Założenia!$O$43)*'zakładka techniczna'!X$10*OEt.w3</f>
        <v>0</v>
      </c>
      <c r="Y73" s="1">
        <f>ABS(Założenia!$O$43)*'zakładka techniczna'!Y$10*OEt.w3</f>
        <v>0</v>
      </c>
      <c r="Z73" s="1">
        <f>ABS(Założenia!$O$43)*'zakładka techniczna'!Z$10*OEt.w3</f>
        <v>0</v>
      </c>
      <c r="AA73" s="1">
        <f>ABS(Założenia!$O$43)*'zakładka techniczna'!AA$10*OEt.w3</f>
        <v>0</v>
      </c>
      <c r="AB73" s="1">
        <f>ABS(Założenia!$O$43)*'zakładka techniczna'!AB$10*OEt.w3</f>
        <v>0</v>
      </c>
      <c r="AC73" s="1">
        <f>ABS(Założenia!$O$43)*'zakładka techniczna'!AC$10*OEt.w3</f>
        <v>0</v>
      </c>
      <c r="AD73" s="1">
        <f>ABS(Założenia!$O$43)*'zakładka techniczna'!AD$10*OEt.w3</f>
        <v>0</v>
      </c>
      <c r="AE73" s="1">
        <f>ABS(Założenia!$O$43)*'zakładka techniczna'!AE$10*OEt.w3</f>
        <v>0</v>
      </c>
      <c r="AF73" s="1">
        <f>ABS(Założenia!$O$43)*'zakładka techniczna'!AF$10*OEt.w3</f>
        <v>0</v>
      </c>
      <c r="AG73" s="1">
        <f>ABS(Założenia!$O$43)*'zakładka techniczna'!AG$10*OEt.w3</f>
        <v>0</v>
      </c>
      <c r="AH73" s="1">
        <f>ABS(Założenia!$O$43)*'zakładka techniczna'!AH$10*OEt.w3</f>
        <v>0</v>
      </c>
      <c r="AI73" s="1">
        <f>ABS(Założenia!$O$43)*'zakładka techniczna'!AI$10*OEt.w3</f>
        <v>0</v>
      </c>
      <c r="AJ73" s="1">
        <f>ABS(Założenia!$O$43)*'zakładka techniczna'!AJ$10*OEt.w3</f>
        <v>0</v>
      </c>
      <c r="AK73" s="1">
        <f>ABS(Założenia!$O$43)*'zakładka techniczna'!AK$10*OEt.w3</f>
        <v>0</v>
      </c>
      <c r="AL73" s="1">
        <f>ABS(Założenia!$O$43)*'zakładka techniczna'!AL$10*OEt.w3</f>
        <v>0</v>
      </c>
      <c r="AM73" s="1">
        <f>ABS(Założenia!$O$43)*'zakładka techniczna'!AM$10*OEt.w3</f>
        <v>0</v>
      </c>
      <c r="AN73" s="1">
        <f>ABS(Założenia!$O$43)*'zakładka techniczna'!AN$10*OEt.w3</f>
        <v>0</v>
      </c>
      <c r="AO73" s="1">
        <f>ABS(Założenia!$O$43)*'zakładka techniczna'!AO$10*OEt.w3</f>
        <v>0</v>
      </c>
      <c r="AP73" s="1">
        <f>ABS(Założenia!$O$43)*'zakładka techniczna'!AP$10*OEt.w3</f>
        <v>0</v>
      </c>
      <c r="AQ73" s="1">
        <f>ABS(Założenia!$O$43)*'zakładka techniczna'!AQ$10*OEt.w3</f>
        <v>0</v>
      </c>
      <c r="AR73" s="1">
        <f>ABS(Założenia!$O$43)*'zakładka techniczna'!AR$10*OEt.w3</f>
        <v>0</v>
      </c>
      <c r="AS73" s="1">
        <f>ABS(Założenia!$O$43)*'zakładka techniczna'!AS$10*OEt.w3</f>
        <v>0</v>
      </c>
      <c r="AT73" s="1">
        <f>ABS(Założenia!$O$43)*'zakładka techniczna'!AT$10*OEt.w3</f>
        <v>0</v>
      </c>
      <c r="AU73" s="1">
        <f>ABS(Założenia!$O$43)*'zakładka techniczna'!AU$10*OEt.w3</f>
        <v>0</v>
      </c>
      <c r="AV73" s="1">
        <f>ABS(Założenia!$O$43)*'zakładka techniczna'!AV$10*OEt.w3</f>
        <v>0</v>
      </c>
      <c r="AW73" s="1">
        <f>ABS(Założenia!$O$43)*'zakładka techniczna'!AW$10*OEt.w3</f>
        <v>0</v>
      </c>
      <c r="AX73" s="1">
        <f>ABS(Założenia!$O$43)*'zakładka techniczna'!AX$10*OEt.w3</f>
        <v>0</v>
      </c>
      <c r="AY73" s="1">
        <f>ABS(Założenia!$O$43)*'zakładka techniczna'!AY$10*OEt.w3</f>
        <v>0</v>
      </c>
      <c r="AZ73" s="1">
        <f>ABS(Założenia!$O$43)*'zakładka techniczna'!AZ$10*OEt.w3</f>
        <v>0</v>
      </c>
      <c r="BA73" s="1">
        <f>ABS(Założenia!$O$43)*'zakładka techniczna'!BA$10*OEt.w3</f>
        <v>0</v>
      </c>
    </row>
    <row r="74" spans="2:53" ht="15.75" customHeight="1" outlineLevel="1" x14ac:dyDescent="0.35">
      <c r="B74" s="5"/>
      <c r="C74" s="5"/>
      <c r="D74" s="5" t="s">
        <v>142</v>
      </c>
      <c r="E74" s="5"/>
      <c r="F74" s="5"/>
      <c r="G74" s="5"/>
      <c r="H74" s="5"/>
      <c r="I74" s="5"/>
      <c r="J74" s="5"/>
      <c r="K74" s="5"/>
      <c r="N74" s="1">
        <f t="shared" si="44"/>
        <v>0</v>
      </c>
      <c r="Q74" s="1">
        <f>ABS(IFERROR(INDEX(Założenia!$O$45:$O$81,MATCH(Q1,Założenia!$J$45:$J$81,0)),0))*'zakładka techniczna'!Q$10*(w.3="tak")</f>
        <v>0</v>
      </c>
      <c r="R74" s="1">
        <f>ABS(IFERROR(INDEX(Założenia!$O$45:$O$81,MATCH(R1,Założenia!$J$45:$J$81,0)),0))*'zakładka techniczna'!R$10*(w.3="tak")</f>
        <v>0</v>
      </c>
      <c r="S74" s="1">
        <f>ABS(IFERROR(INDEX(Założenia!$O$45:$O$81,MATCH(S1,Założenia!$J$45:$J$81,0)),0))*'zakładka techniczna'!S$10*(w.3="tak")</f>
        <v>0</v>
      </c>
      <c r="T74" s="1">
        <f>ABS(IFERROR(INDEX(Założenia!$O$45:$O$81,MATCH(T1,Założenia!$J$45:$J$81,0)),0))*'zakładka techniczna'!T$10*(w.3="tak")</f>
        <v>0</v>
      </c>
      <c r="U74" s="1">
        <f>ABS(IFERROR(INDEX(Założenia!$O$45:$O$81,MATCH(U1,Założenia!$J$45:$J$81,0)),0))*'zakładka techniczna'!U$10*(w.3="tak")</f>
        <v>0</v>
      </c>
      <c r="V74" s="1">
        <f>ABS(IFERROR(INDEX(Założenia!$O$45:$O$81,MATCH(V1,Założenia!$J$45:$J$81,0)),0))*'zakładka techniczna'!V$10*(w.3="tak")</f>
        <v>0</v>
      </c>
      <c r="W74" s="1">
        <f>ABS(IFERROR(INDEX(Założenia!$O$45:$O$81,MATCH(W1,Założenia!$J$45:$J$81,0)),0))*'zakładka techniczna'!W$10*(w.3="tak")</f>
        <v>0</v>
      </c>
      <c r="X74" s="1">
        <f>ABS(IFERROR(INDEX(Założenia!$O$45:$O$81,MATCH(X1,Założenia!$J$45:$J$81,0)),0))*'zakładka techniczna'!X$10*(w.3="tak")</f>
        <v>0</v>
      </c>
      <c r="Y74" s="1">
        <f>ABS(IFERROR(INDEX(Założenia!$O$45:$O$81,MATCH(Y1,Założenia!$J$45:$J$81,0)),0))*'zakładka techniczna'!Y$10*(w.3="tak")</f>
        <v>0</v>
      </c>
      <c r="Z74" s="1">
        <f>ABS(IFERROR(INDEX(Założenia!$O$45:$O$81,MATCH(Z1,Założenia!$J$45:$J$81,0)),0))*'zakładka techniczna'!Z$10*(w.3="tak")</f>
        <v>0</v>
      </c>
      <c r="AA74" s="1">
        <f>ABS(IFERROR(INDEX(Założenia!$O$45:$O$81,MATCH(AA1,Założenia!$J$45:$J$81,0)),0))*'zakładka techniczna'!AA$10*(w.3="tak")</f>
        <v>0</v>
      </c>
      <c r="AB74" s="1">
        <f>ABS(IFERROR(INDEX(Założenia!$O$45:$O$81,MATCH(AB1,Założenia!$J$45:$J$81,0)),0))*'zakładka techniczna'!AB$10*(w.3="tak")</f>
        <v>0</v>
      </c>
      <c r="AC74" s="1">
        <f>ABS(IFERROR(INDEX(Założenia!$O$45:$O$81,MATCH(AC1,Założenia!$J$45:$J$81,0)),0))*'zakładka techniczna'!AC$10*(w.3="tak")</f>
        <v>0</v>
      </c>
      <c r="AD74" s="1">
        <f>ABS(IFERROR(INDEX(Założenia!$O$45:$O$81,MATCH(AD1,Założenia!$J$45:$J$81,0)),0))*'zakładka techniczna'!AD$10*(w.3="tak")</f>
        <v>0</v>
      </c>
      <c r="AE74" s="1">
        <f>ABS(IFERROR(INDEX(Założenia!$O$45:$O$81,MATCH(AE1,Założenia!$J$45:$J$81,0)),0))*'zakładka techniczna'!AE$10*(w.3="tak")</f>
        <v>0</v>
      </c>
      <c r="AF74" s="1">
        <f>ABS(IFERROR(INDEX(Założenia!$O$45:$O$81,MATCH(AF1,Założenia!$J$45:$J$81,0)),0))*'zakładka techniczna'!AF$10*(w.3="tak")</f>
        <v>0</v>
      </c>
      <c r="AG74" s="1">
        <f>ABS(IFERROR(INDEX(Założenia!$O$45:$O$81,MATCH(AG1,Założenia!$J$45:$J$81,0)),0))*'zakładka techniczna'!AG$10*(w.3="tak")</f>
        <v>0</v>
      </c>
      <c r="AH74" s="1">
        <f>ABS(IFERROR(INDEX(Założenia!$O$45:$O$81,MATCH(AH1,Założenia!$J$45:$J$81,0)),0))*'zakładka techniczna'!AH$10*(w.3="tak")</f>
        <v>0</v>
      </c>
      <c r="AI74" s="1">
        <f>ABS(IFERROR(INDEX(Założenia!$O$45:$O$81,MATCH(AI1,Założenia!$J$45:$J$81,0)),0))*'zakładka techniczna'!AI$10*(w.3="tak")</f>
        <v>0</v>
      </c>
      <c r="AJ74" s="1">
        <f>ABS(IFERROR(INDEX(Założenia!$O$45:$O$81,MATCH(AJ1,Założenia!$J$45:$J$81,0)),0))*'zakładka techniczna'!AJ$10*(w.3="tak")</f>
        <v>0</v>
      </c>
      <c r="AK74" s="1">
        <f>ABS(IFERROR(INDEX(Założenia!$O$45:$O$81,MATCH(AK1,Założenia!$J$45:$J$81,0)),0))*'zakładka techniczna'!AK$10*(w.3="tak")</f>
        <v>0</v>
      </c>
      <c r="AL74" s="1">
        <f>ABS(IFERROR(INDEX(Założenia!$O$45:$O$81,MATCH(AL1,Założenia!$J$45:$J$81,0)),0))*'zakładka techniczna'!AL$10*(w.3="tak")</f>
        <v>0</v>
      </c>
      <c r="AM74" s="1">
        <f>ABS(IFERROR(INDEX(Założenia!$O$45:$O$81,MATCH(AM1,Założenia!$J$45:$J$81,0)),0))*'zakładka techniczna'!AM$10*(w.3="tak")</f>
        <v>0</v>
      </c>
      <c r="AN74" s="1">
        <f>ABS(IFERROR(INDEX(Założenia!$O$45:$O$81,MATCH(AN1,Założenia!$J$45:$J$81,0)),0))*'zakładka techniczna'!AN$10*(w.3="tak")</f>
        <v>0</v>
      </c>
      <c r="AO74" s="1">
        <f>ABS(IFERROR(INDEX(Założenia!$O$45:$O$81,MATCH(AO1,Założenia!$J$45:$J$81,0)),0))*'zakładka techniczna'!AO$10*(w.3="tak")</f>
        <v>0</v>
      </c>
      <c r="AP74" s="1">
        <f>ABS(IFERROR(INDEX(Założenia!$O$45:$O$81,MATCH(AP1,Założenia!$J$45:$J$81,0)),0))*'zakładka techniczna'!AP$10*(w.3="tak")</f>
        <v>0</v>
      </c>
      <c r="AQ74" s="1">
        <f>ABS(IFERROR(INDEX(Założenia!$O$45:$O$81,MATCH(AQ1,Założenia!$J$45:$J$81,0)),0))*'zakładka techniczna'!AQ$10*(w.3="tak")</f>
        <v>0</v>
      </c>
      <c r="AR74" s="1">
        <f>ABS(IFERROR(INDEX(Założenia!$O$45:$O$81,MATCH(AR1,Założenia!$J$45:$J$81,0)),0))*'zakładka techniczna'!AR$10*(w.3="tak")</f>
        <v>0</v>
      </c>
      <c r="AS74" s="1">
        <f>ABS(IFERROR(INDEX(Założenia!$O$45:$O$81,MATCH(AS1,Założenia!$J$45:$J$81,0)),0))*'zakładka techniczna'!AS$10*(w.3="tak")</f>
        <v>0</v>
      </c>
      <c r="AT74" s="1">
        <f>ABS(IFERROR(INDEX(Założenia!$O$45:$O$81,MATCH(AT1,Założenia!$J$45:$J$81,0)),0))*'zakładka techniczna'!AT$10*(w.3="tak")</f>
        <v>0</v>
      </c>
      <c r="AU74" s="1">
        <f>ABS(IFERROR(INDEX(Założenia!$O$45:$O$81,MATCH(AU1,Założenia!$J$45:$J$81,0)),0))*'zakładka techniczna'!AU$10*(w.3="tak")</f>
        <v>0</v>
      </c>
      <c r="AV74" s="1">
        <f>ABS(IFERROR(INDEX(Założenia!$O$45:$O$81,MATCH(AV1,Założenia!$J$45:$J$81,0)),0))*'zakładka techniczna'!AV$10*(w.3="tak")</f>
        <v>0</v>
      </c>
      <c r="AW74" s="1">
        <f>ABS(IFERROR(INDEX(Założenia!$O$45:$O$81,MATCH(AW1,Założenia!$J$45:$J$81,0)),0))*'zakładka techniczna'!AW$10*(w.3="tak")</f>
        <v>0</v>
      </c>
      <c r="AX74" s="1">
        <f>ABS(IFERROR(INDEX(Założenia!$O$45:$O$81,MATCH(AX1,Założenia!$J$45:$J$81,0)),0))*'zakładka techniczna'!AX$10*(w.3="tak")</f>
        <v>0</v>
      </c>
      <c r="AY74" s="1">
        <f>ABS(IFERROR(INDEX(Założenia!$O$45:$O$81,MATCH(AY1,Założenia!$J$45:$J$81,0)),0))*'zakładka techniczna'!AY$10*(w.3="tak")</f>
        <v>0</v>
      </c>
      <c r="AZ74" s="1">
        <f>ABS(IFERROR(INDEX(Założenia!$O$45:$O$81,MATCH(AZ1,Założenia!$J$45:$J$81,0)),0))*'zakładka techniczna'!AZ$10*(w.3="tak")</f>
        <v>0</v>
      </c>
      <c r="BA74" s="1">
        <f>ABS(IFERROR(INDEX(Założenia!$O$45:$O$81,MATCH(BA1,Założenia!$J$45:$J$81,0)),0))*'zakładka techniczna'!BA$10*(w.3="tak")</f>
        <v>0</v>
      </c>
    </row>
    <row r="75" spans="2:53" ht="15.75" customHeight="1" x14ac:dyDescent="0.35">
      <c r="B75" s="5"/>
      <c r="C75" s="5" t="s">
        <v>2</v>
      </c>
      <c r="D75" s="5"/>
      <c r="E75" s="5"/>
      <c r="F75" s="5"/>
      <c r="G75" s="5"/>
      <c r="H75" s="5"/>
      <c r="I75" s="5"/>
      <c r="J75" s="5"/>
      <c r="K75" s="5"/>
      <c r="N75" s="1">
        <f t="shared" si="44"/>
        <v>0</v>
      </c>
      <c r="Q75" s="1">
        <f t="shared" ref="Q75:BA75" si="51">SUM(Q76,Q77)</f>
        <v>0</v>
      </c>
      <c r="R75" s="1">
        <f t="shared" si="51"/>
        <v>0</v>
      </c>
      <c r="S75" s="1">
        <f t="shared" si="51"/>
        <v>0</v>
      </c>
      <c r="T75" s="1">
        <f t="shared" si="51"/>
        <v>0</v>
      </c>
      <c r="U75" s="1">
        <f t="shared" si="51"/>
        <v>0</v>
      </c>
      <c r="V75" s="1">
        <f t="shared" si="51"/>
        <v>0</v>
      </c>
      <c r="W75" s="1">
        <f t="shared" si="51"/>
        <v>0</v>
      </c>
      <c r="X75" s="1">
        <f t="shared" si="51"/>
        <v>0</v>
      </c>
      <c r="Y75" s="1">
        <f t="shared" si="51"/>
        <v>0</v>
      </c>
      <c r="Z75" s="1">
        <f t="shared" si="51"/>
        <v>0</v>
      </c>
      <c r="AA75" s="1">
        <f t="shared" si="51"/>
        <v>0</v>
      </c>
      <c r="AB75" s="1">
        <f t="shared" si="51"/>
        <v>0</v>
      </c>
      <c r="AC75" s="1">
        <f t="shared" si="51"/>
        <v>0</v>
      </c>
      <c r="AD75" s="1">
        <f t="shared" si="51"/>
        <v>0</v>
      </c>
      <c r="AE75" s="1">
        <f t="shared" si="51"/>
        <v>0</v>
      </c>
      <c r="AF75" s="1">
        <f t="shared" si="51"/>
        <v>0</v>
      </c>
      <c r="AG75" s="1">
        <f t="shared" si="51"/>
        <v>0</v>
      </c>
      <c r="AH75" s="1">
        <f t="shared" si="51"/>
        <v>0</v>
      </c>
      <c r="AI75" s="1">
        <f t="shared" si="51"/>
        <v>0</v>
      </c>
      <c r="AJ75" s="1">
        <f t="shared" si="51"/>
        <v>0</v>
      </c>
      <c r="AK75" s="1">
        <f t="shared" si="51"/>
        <v>0</v>
      </c>
      <c r="AL75" s="1">
        <f t="shared" si="51"/>
        <v>0</v>
      </c>
      <c r="AM75" s="1">
        <f t="shared" si="51"/>
        <v>0</v>
      </c>
      <c r="AN75" s="1">
        <f t="shared" si="51"/>
        <v>0</v>
      </c>
      <c r="AO75" s="1">
        <f t="shared" si="51"/>
        <v>0</v>
      </c>
      <c r="AP75" s="1">
        <f t="shared" si="51"/>
        <v>0</v>
      </c>
      <c r="AQ75" s="1">
        <f t="shared" si="51"/>
        <v>0</v>
      </c>
      <c r="AR75" s="1">
        <f t="shared" si="51"/>
        <v>0</v>
      </c>
      <c r="AS75" s="1">
        <f t="shared" si="51"/>
        <v>0</v>
      </c>
      <c r="AT75" s="1">
        <f t="shared" si="51"/>
        <v>0</v>
      </c>
      <c r="AU75" s="1">
        <f t="shared" si="51"/>
        <v>0</v>
      </c>
      <c r="AV75" s="1">
        <f t="shared" si="51"/>
        <v>0</v>
      </c>
      <c r="AW75" s="1">
        <f t="shared" si="51"/>
        <v>0</v>
      </c>
      <c r="AX75" s="1">
        <f t="shared" si="51"/>
        <v>0</v>
      </c>
      <c r="AY75" s="1">
        <f t="shared" si="51"/>
        <v>0</v>
      </c>
      <c r="AZ75" s="1">
        <f t="shared" si="51"/>
        <v>0</v>
      </c>
      <c r="BA75" s="1">
        <f t="shared" si="51"/>
        <v>0</v>
      </c>
    </row>
    <row r="76" spans="2:53" ht="15.75" customHeight="1" outlineLevel="1" x14ac:dyDescent="0.35">
      <c r="B76" s="5"/>
      <c r="C76" s="5"/>
      <c r="D76" s="5" t="s">
        <v>147</v>
      </c>
      <c r="E76" s="5"/>
      <c r="F76" s="5"/>
      <c r="G76" s="5"/>
      <c r="H76" s="5"/>
      <c r="I76" s="5"/>
      <c r="J76" s="5"/>
      <c r="K76" s="5"/>
      <c r="N76" s="1">
        <f t="shared" si="44"/>
        <v>0</v>
      </c>
      <c r="Q76" s="1">
        <f t="shared" ref="Q76:BA76" si="52">Q132+Q147</f>
        <v>0</v>
      </c>
      <c r="R76" s="1">
        <f t="shared" si="52"/>
        <v>0</v>
      </c>
      <c r="S76" s="1">
        <f t="shared" si="52"/>
        <v>0</v>
      </c>
      <c r="T76" s="1">
        <f t="shared" si="52"/>
        <v>0</v>
      </c>
      <c r="U76" s="1">
        <f t="shared" si="52"/>
        <v>0</v>
      </c>
      <c r="V76" s="1">
        <f t="shared" si="52"/>
        <v>0</v>
      </c>
      <c r="W76" s="1">
        <f t="shared" si="52"/>
        <v>0</v>
      </c>
      <c r="X76" s="1">
        <f t="shared" si="52"/>
        <v>0</v>
      </c>
      <c r="Y76" s="1">
        <f t="shared" si="52"/>
        <v>0</v>
      </c>
      <c r="Z76" s="1">
        <f t="shared" si="52"/>
        <v>0</v>
      </c>
      <c r="AA76" s="1">
        <f t="shared" si="52"/>
        <v>0</v>
      </c>
      <c r="AB76" s="1">
        <f t="shared" si="52"/>
        <v>0</v>
      </c>
      <c r="AC76" s="1">
        <f t="shared" si="52"/>
        <v>0</v>
      </c>
      <c r="AD76" s="1">
        <f t="shared" si="52"/>
        <v>0</v>
      </c>
      <c r="AE76" s="1">
        <f t="shared" si="52"/>
        <v>0</v>
      </c>
      <c r="AF76" s="1">
        <f t="shared" si="52"/>
        <v>0</v>
      </c>
      <c r="AG76" s="1">
        <f t="shared" si="52"/>
        <v>0</v>
      </c>
      <c r="AH76" s="1">
        <f t="shared" si="52"/>
        <v>0</v>
      </c>
      <c r="AI76" s="1">
        <f t="shared" si="52"/>
        <v>0</v>
      </c>
      <c r="AJ76" s="1">
        <f t="shared" si="52"/>
        <v>0</v>
      </c>
      <c r="AK76" s="1">
        <f t="shared" si="52"/>
        <v>0</v>
      </c>
      <c r="AL76" s="1">
        <f t="shared" si="52"/>
        <v>0</v>
      </c>
      <c r="AM76" s="1">
        <f t="shared" si="52"/>
        <v>0</v>
      </c>
      <c r="AN76" s="1">
        <f t="shared" si="52"/>
        <v>0</v>
      </c>
      <c r="AO76" s="1">
        <f t="shared" si="52"/>
        <v>0</v>
      </c>
      <c r="AP76" s="1">
        <f t="shared" si="52"/>
        <v>0</v>
      </c>
      <c r="AQ76" s="1">
        <f t="shared" si="52"/>
        <v>0</v>
      </c>
      <c r="AR76" s="1">
        <f t="shared" si="52"/>
        <v>0</v>
      </c>
      <c r="AS76" s="1">
        <f t="shared" si="52"/>
        <v>0</v>
      </c>
      <c r="AT76" s="1">
        <f t="shared" si="52"/>
        <v>0</v>
      </c>
      <c r="AU76" s="1">
        <f t="shared" si="52"/>
        <v>0</v>
      </c>
      <c r="AV76" s="1">
        <f t="shared" si="52"/>
        <v>0</v>
      </c>
      <c r="AW76" s="1">
        <f t="shared" si="52"/>
        <v>0</v>
      </c>
      <c r="AX76" s="1">
        <f t="shared" si="52"/>
        <v>0</v>
      </c>
      <c r="AY76" s="1">
        <f t="shared" si="52"/>
        <v>0</v>
      </c>
      <c r="AZ76" s="1">
        <f t="shared" si="52"/>
        <v>0</v>
      </c>
      <c r="BA76" s="1">
        <f t="shared" si="52"/>
        <v>0</v>
      </c>
    </row>
    <row r="77" spans="2:53" ht="15.75" customHeight="1" outlineLevel="1" x14ac:dyDescent="0.35">
      <c r="B77" s="5"/>
      <c r="C77" s="5"/>
      <c r="D77" s="5" t="s">
        <v>52</v>
      </c>
      <c r="E77" s="5"/>
      <c r="F77" s="5"/>
      <c r="G77" s="5"/>
      <c r="H77" s="5"/>
      <c r="I77" s="5"/>
      <c r="J77" s="5"/>
      <c r="K77" s="5"/>
      <c r="N77" s="1">
        <f t="shared" si="44"/>
        <v>0</v>
      </c>
      <c r="Q77" s="1">
        <f>Założenia!$O$190*'zakładka techniczna'!Q$10*OEt.w3</f>
        <v>0</v>
      </c>
      <c r="R77" s="1">
        <f>Założenia!$O$190*'zakładka techniczna'!R$10*OEt.w3</f>
        <v>0</v>
      </c>
      <c r="S77" s="1">
        <f>Założenia!$O$190*'zakładka techniczna'!S$10*OEt.w3</f>
        <v>0</v>
      </c>
      <c r="T77" s="1">
        <f>Założenia!$O$190*'zakładka techniczna'!T$10*OEt.w3</f>
        <v>0</v>
      </c>
      <c r="U77" s="1">
        <f>Założenia!$O$190*'zakładka techniczna'!U$10*OEt.w3</f>
        <v>0</v>
      </c>
      <c r="V77" s="1">
        <f>Założenia!$O$190*'zakładka techniczna'!V$10*OEt.w3</f>
        <v>0</v>
      </c>
      <c r="W77" s="1">
        <f>Założenia!$O$190*'zakładka techniczna'!W$10*OEt.w3</f>
        <v>0</v>
      </c>
      <c r="X77" s="1">
        <f>Założenia!$O$190*'zakładka techniczna'!X$10*OEt.w3</f>
        <v>0</v>
      </c>
      <c r="Y77" s="1">
        <f>Założenia!$O$190*'zakładka techniczna'!Y$10*OEt.w3</f>
        <v>0</v>
      </c>
      <c r="Z77" s="1">
        <f>Założenia!$O$190*'zakładka techniczna'!Z$10*OEt.w3</f>
        <v>0</v>
      </c>
      <c r="AA77" s="1">
        <f>Założenia!$O$190*'zakładka techniczna'!AA$10*OEt.w3</f>
        <v>0</v>
      </c>
      <c r="AB77" s="1">
        <f>Założenia!$O$190*'zakładka techniczna'!AB$10*OEt.w3</f>
        <v>0</v>
      </c>
      <c r="AC77" s="1">
        <f>Założenia!$O$190*'zakładka techniczna'!AC$10*OEt.w3</f>
        <v>0</v>
      </c>
      <c r="AD77" s="1">
        <f>Założenia!$O$190*'zakładka techniczna'!AD$10*OEt.w3</f>
        <v>0</v>
      </c>
      <c r="AE77" s="1">
        <f>Założenia!$O$190*'zakładka techniczna'!AE$10*OEt.w3</f>
        <v>0</v>
      </c>
      <c r="AF77" s="1">
        <f>Założenia!$O$190*'zakładka techniczna'!AF$10*OEt.w3</f>
        <v>0</v>
      </c>
      <c r="AG77" s="1">
        <f>Założenia!$O$190*'zakładka techniczna'!AG$10*OEt.w3</f>
        <v>0</v>
      </c>
      <c r="AH77" s="1">
        <f>Założenia!$O$190*'zakładka techniczna'!AH$10*OEt.w3</f>
        <v>0</v>
      </c>
      <c r="AI77" s="1">
        <f>Założenia!$O$190*'zakładka techniczna'!AI$10*OEt.w3</f>
        <v>0</v>
      </c>
      <c r="AJ77" s="1">
        <f>Założenia!$O$190*'zakładka techniczna'!AJ$10*OEt.w3</f>
        <v>0</v>
      </c>
      <c r="AK77" s="1">
        <f>Założenia!$O$190*'zakładka techniczna'!AK$10*OEt.w3</f>
        <v>0</v>
      </c>
      <c r="AL77" s="1">
        <f>Założenia!$O$190*'zakładka techniczna'!AL$10*OEt.w3</f>
        <v>0</v>
      </c>
      <c r="AM77" s="1">
        <f>Założenia!$O$190*'zakładka techniczna'!AM$10*OEt.w3</f>
        <v>0</v>
      </c>
      <c r="AN77" s="1">
        <f>Założenia!$O$190*'zakładka techniczna'!AN$10*OEt.w3</f>
        <v>0</v>
      </c>
      <c r="AO77" s="1">
        <f>Założenia!$O$190*'zakładka techniczna'!AO$10*OEt.w3</f>
        <v>0</v>
      </c>
      <c r="AP77" s="1">
        <f>Założenia!$O$190*'zakładka techniczna'!AP$10*OEt.w3</f>
        <v>0</v>
      </c>
      <c r="AQ77" s="1">
        <f>Założenia!$O$190*'zakładka techniczna'!AQ$10*OEt.w3</f>
        <v>0</v>
      </c>
      <c r="AR77" s="1">
        <f>Założenia!$O$190*'zakładka techniczna'!AR$10*OEt.w3</f>
        <v>0</v>
      </c>
      <c r="AS77" s="1">
        <f>Założenia!$O$190*'zakładka techniczna'!AS$10*OEt.w3</f>
        <v>0</v>
      </c>
      <c r="AT77" s="1">
        <f>Założenia!$O$190*'zakładka techniczna'!AT$10*OEt.w3</f>
        <v>0</v>
      </c>
      <c r="AU77" s="1">
        <f>Założenia!$O$190*'zakładka techniczna'!AU$10*OEt.w3</f>
        <v>0</v>
      </c>
      <c r="AV77" s="1">
        <f>Założenia!$O$190*'zakładka techniczna'!AV$10*OEt.w3</f>
        <v>0</v>
      </c>
      <c r="AW77" s="1">
        <f>Założenia!$O$190*'zakładka techniczna'!AW$10*OEt.w3</f>
        <v>0</v>
      </c>
      <c r="AX77" s="1">
        <f>Założenia!$O$190*'zakładka techniczna'!AX$10*OEt.w3</f>
        <v>0</v>
      </c>
      <c r="AY77" s="1">
        <f>Założenia!$O$190*'zakładka techniczna'!AY$10*OEt.w3</f>
        <v>0</v>
      </c>
      <c r="AZ77" s="1">
        <f>Założenia!$O$190*'zakładka techniczna'!AZ$10*OEt.w3</f>
        <v>0</v>
      </c>
      <c r="BA77" s="1">
        <f>Założenia!$O$190*'zakładka techniczna'!BA$10*OEt.w3</f>
        <v>0</v>
      </c>
    </row>
    <row r="78" spans="2:53" ht="15.75" customHeight="1" outlineLevel="1" x14ac:dyDescent="0.35">
      <c r="B78" s="5"/>
      <c r="C78" s="5" t="s">
        <v>28</v>
      </c>
      <c r="D78" s="5"/>
      <c r="E78" s="5"/>
      <c r="F78" s="5"/>
      <c r="G78" s="5"/>
      <c r="H78" s="5"/>
      <c r="I78" s="5"/>
      <c r="J78" s="5"/>
      <c r="K78" s="5"/>
      <c r="N78" s="1">
        <f t="shared" si="44"/>
        <v>0</v>
      </c>
      <c r="Q78" s="1">
        <f t="shared" ref="Q78:BA78" si="53">SUM(Q79,Q82)</f>
        <v>0</v>
      </c>
      <c r="R78" s="1">
        <f t="shared" si="53"/>
        <v>0</v>
      </c>
      <c r="S78" s="1">
        <f t="shared" si="53"/>
        <v>0</v>
      </c>
      <c r="T78" s="1">
        <f t="shared" si="53"/>
        <v>0</v>
      </c>
      <c r="U78" s="1">
        <f t="shared" si="53"/>
        <v>0</v>
      </c>
      <c r="V78" s="1">
        <f t="shared" si="53"/>
        <v>0</v>
      </c>
      <c r="W78" s="1">
        <f t="shared" si="53"/>
        <v>0</v>
      </c>
      <c r="X78" s="1">
        <f t="shared" si="53"/>
        <v>0</v>
      </c>
      <c r="Y78" s="1">
        <f t="shared" si="53"/>
        <v>0</v>
      </c>
      <c r="Z78" s="1">
        <f t="shared" si="53"/>
        <v>0</v>
      </c>
      <c r="AA78" s="1">
        <f t="shared" si="53"/>
        <v>0</v>
      </c>
      <c r="AB78" s="1">
        <f t="shared" si="53"/>
        <v>0</v>
      </c>
      <c r="AC78" s="1">
        <f t="shared" si="53"/>
        <v>0</v>
      </c>
      <c r="AD78" s="1">
        <f t="shared" si="53"/>
        <v>0</v>
      </c>
      <c r="AE78" s="1">
        <f t="shared" si="53"/>
        <v>0</v>
      </c>
      <c r="AF78" s="1">
        <f t="shared" si="53"/>
        <v>0</v>
      </c>
      <c r="AG78" s="1">
        <f t="shared" si="53"/>
        <v>0</v>
      </c>
      <c r="AH78" s="1">
        <f t="shared" si="53"/>
        <v>0</v>
      </c>
      <c r="AI78" s="1">
        <f t="shared" si="53"/>
        <v>0</v>
      </c>
      <c r="AJ78" s="1">
        <f t="shared" si="53"/>
        <v>0</v>
      </c>
      <c r="AK78" s="1">
        <f t="shared" si="53"/>
        <v>0</v>
      </c>
      <c r="AL78" s="1">
        <f t="shared" si="53"/>
        <v>0</v>
      </c>
      <c r="AM78" s="1">
        <f t="shared" si="53"/>
        <v>0</v>
      </c>
      <c r="AN78" s="1">
        <f t="shared" si="53"/>
        <v>0</v>
      </c>
      <c r="AO78" s="1">
        <f t="shared" si="53"/>
        <v>0</v>
      </c>
      <c r="AP78" s="1">
        <f t="shared" si="53"/>
        <v>0</v>
      </c>
      <c r="AQ78" s="1">
        <f t="shared" si="53"/>
        <v>0</v>
      </c>
      <c r="AR78" s="1">
        <f t="shared" si="53"/>
        <v>0</v>
      </c>
      <c r="AS78" s="1">
        <f t="shared" si="53"/>
        <v>0</v>
      </c>
      <c r="AT78" s="1">
        <f t="shared" si="53"/>
        <v>0</v>
      </c>
      <c r="AU78" s="1">
        <f t="shared" si="53"/>
        <v>0</v>
      </c>
      <c r="AV78" s="1">
        <f t="shared" si="53"/>
        <v>0</v>
      </c>
      <c r="AW78" s="1">
        <f t="shared" si="53"/>
        <v>0</v>
      </c>
      <c r="AX78" s="1">
        <f t="shared" si="53"/>
        <v>0</v>
      </c>
      <c r="AY78" s="1">
        <f t="shared" si="53"/>
        <v>0</v>
      </c>
      <c r="AZ78" s="1">
        <f t="shared" si="53"/>
        <v>0</v>
      </c>
      <c r="BA78" s="1">
        <f t="shared" si="53"/>
        <v>0</v>
      </c>
    </row>
    <row r="79" spans="2:53" ht="15.75" customHeight="1" outlineLevel="1" x14ac:dyDescent="0.35">
      <c r="B79" s="5"/>
      <c r="C79" s="5"/>
      <c r="D79" s="5" t="s">
        <v>154</v>
      </c>
      <c r="E79" s="5"/>
      <c r="F79" s="5"/>
      <c r="G79" s="5"/>
      <c r="H79" s="5"/>
      <c r="I79" s="5"/>
      <c r="J79" s="5"/>
      <c r="K79" s="5"/>
      <c r="N79" s="1">
        <f t="shared" si="44"/>
        <v>0</v>
      </c>
      <c r="Q79" s="1">
        <f t="shared" ref="Q79:BA79" si="54">SUM(Q80:Q81)</f>
        <v>0</v>
      </c>
      <c r="R79" s="1">
        <f t="shared" si="54"/>
        <v>0</v>
      </c>
      <c r="S79" s="1">
        <f t="shared" si="54"/>
        <v>0</v>
      </c>
      <c r="T79" s="1">
        <f t="shared" si="54"/>
        <v>0</v>
      </c>
      <c r="U79" s="1">
        <f t="shared" si="54"/>
        <v>0</v>
      </c>
      <c r="V79" s="1">
        <f t="shared" si="54"/>
        <v>0</v>
      </c>
      <c r="W79" s="1">
        <f t="shared" si="54"/>
        <v>0</v>
      </c>
      <c r="X79" s="1">
        <f t="shared" si="54"/>
        <v>0</v>
      </c>
      <c r="Y79" s="1">
        <f t="shared" si="54"/>
        <v>0</v>
      </c>
      <c r="Z79" s="1">
        <f t="shared" si="54"/>
        <v>0</v>
      </c>
      <c r="AA79" s="1">
        <f t="shared" si="54"/>
        <v>0</v>
      </c>
      <c r="AB79" s="1">
        <f t="shared" si="54"/>
        <v>0</v>
      </c>
      <c r="AC79" s="1">
        <f t="shared" si="54"/>
        <v>0</v>
      </c>
      <c r="AD79" s="1">
        <f t="shared" si="54"/>
        <v>0</v>
      </c>
      <c r="AE79" s="1">
        <f t="shared" si="54"/>
        <v>0</v>
      </c>
      <c r="AF79" s="1">
        <f t="shared" si="54"/>
        <v>0</v>
      </c>
      <c r="AG79" s="1">
        <f t="shared" si="54"/>
        <v>0</v>
      </c>
      <c r="AH79" s="1">
        <f t="shared" si="54"/>
        <v>0</v>
      </c>
      <c r="AI79" s="1">
        <f t="shared" si="54"/>
        <v>0</v>
      </c>
      <c r="AJ79" s="1">
        <f t="shared" si="54"/>
        <v>0</v>
      </c>
      <c r="AK79" s="1">
        <f t="shared" si="54"/>
        <v>0</v>
      </c>
      <c r="AL79" s="1">
        <f t="shared" si="54"/>
        <v>0</v>
      </c>
      <c r="AM79" s="1">
        <f t="shared" si="54"/>
        <v>0</v>
      </c>
      <c r="AN79" s="1">
        <f t="shared" si="54"/>
        <v>0</v>
      </c>
      <c r="AO79" s="1">
        <f t="shared" si="54"/>
        <v>0</v>
      </c>
      <c r="AP79" s="1">
        <f t="shared" si="54"/>
        <v>0</v>
      </c>
      <c r="AQ79" s="1">
        <f t="shared" si="54"/>
        <v>0</v>
      </c>
      <c r="AR79" s="1">
        <f t="shared" si="54"/>
        <v>0</v>
      </c>
      <c r="AS79" s="1">
        <f t="shared" si="54"/>
        <v>0</v>
      </c>
      <c r="AT79" s="1">
        <f t="shared" si="54"/>
        <v>0</v>
      </c>
      <c r="AU79" s="1">
        <f t="shared" si="54"/>
        <v>0</v>
      </c>
      <c r="AV79" s="1">
        <f t="shared" si="54"/>
        <v>0</v>
      </c>
      <c r="AW79" s="1">
        <f t="shared" si="54"/>
        <v>0</v>
      </c>
      <c r="AX79" s="1">
        <f t="shared" si="54"/>
        <v>0</v>
      </c>
      <c r="AY79" s="1">
        <f t="shared" si="54"/>
        <v>0</v>
      </c>
      <c r="AZ79" s="1">
        <f t="shared" si="54"/>
        <v>0</v>
      </c>
      <c r="BA79" s="1">
        <f t="shared" si="54"/>
        <v>0</v>
      </c>
    </row>
    <row r="80" spans="2:53" ht="15.75" customHeight="1" outlineLevel="1" x14ac:dyDescent="0.35">
      <c r="B80" s="5"/>
      <c r="C80" s="5"/>
      <c r="D80" s="5"/>
      <c r="E80" s="5" t="s">
        <v>157</v>
      </c>
      <c r="F80" s="5"/>
      <c r="G80" s="5"/>
      <c r="H80" s="5"/>
      <c r="I80" s="5"/>
      <c r="J80" s="5"/>
      <c r="K80" s="5"/>
      <c r="N80" s="1">
        <f t="shared" si="44"/>
        <v>0</v>
      </c>
      <c r="Q80" s="1">
        <f t="shared" ref="Q80:BA80" si="55">Q171</f>
        <v>0</v>
      </c>
      <c r="R80" s="1">
        <f t="shared" si="55"/>
        <v>0</v>
      </c>
      <c r="S80" s="1">
        <f t="shared" si="55"/>
        <v>0</v>
      </c>
      <c r="T80" s="1">
        <f t="shared" si="55"/>
        <v>0</v>
      </c>
      <c r="U80" s="1">
        <f t="shared" si="55"/>
        <v>0</v>
      </c>
      <c r="V80" s="1">
        <f t="shared" si="55"/>
        <v>0</v>
      </c>
      <c r="W80" s="1">
        <f t="shared" si="55"/>
        <v>0</v>
      </c>
      <c r="X80" s="1">
        <f t="shared" si="55"/>
        <v>0</v>
      </c>
      <c r="Y80" s="1">
        <f t="shared" si="55"/>
        <v>0</v>
      </c>
      <c r="Z80" s="1">
        <f t="shared" si="55"/>
        <v>0</v>
      </c>
      <c r="AA80" s="1">
        <f t="shared" si="55"/>
        <v>0</v>
      </c>
      <c r="AB80" s="1">
        <f t="shared" si="55"/>
        <v>0</v>
      </c>
      <c r="AC80" s="1">
        <f t="shared" si="55"/>
        <v>0</v>
      </c>
      <c r="AD80" s="1">
        <f t="shared" si="55"/>
        <v>0</v>
      </c>
      <c r="AE80" s="1">
        <f t="shared" si="55"/>
        <v>0</v>
      </c>
      <c r="AF80" s="1">
        <f t="shared" si="55"/>
        <v>0</v>
      </c>
      <c r="AG80" s="1">
        <f t="shared" si="55"/>
        <v>0</v>
      </c>
      <c r="AH80" s="1">
        <f t="shared" si="55"/>
        <v>0</v>
      </c>
      <c r="AI80" s="1">
        <f t="shared" si="55"/>
        <v>0</v>
      </c>
      <c r="AJ80" s="1">
        <f t="shared" si="55"/>
        <v>0</v>
      </c>
      <c r="AK80" s="1">
        <f t="shared" si="55"/>
        <v>0</v>
      </c>
      <c r="AL80" s="1">
        <f t="shared" si="55"/>
        <v>0</v>
      </c>
      <c r="AM80" s="1">
        <f t="shared" si="55"/>
        <v>0</v>
      </c>
      <c r="AN80" s="1">
        <f t="shared" si="55"/>
        <v>0</v>
      </c>
      <c r="AO80" s="1">
        <f t="shared" si="55"/>
        <v>0</v>
      </c>
      <c r="AP80" s="1">
        <f t="shared" si="55"/>
        <v>0</v>
      </c>
      <c r="AQ80" s="1">
        <f t="shared" si="55"/>
        <v>0</v>
      </c>
      <c r="AR80" s="1">
        <f t="shared" si="55"/>
        <v>0</v>
      </c>
      <c r="AS80" s="1">
        <f t="shared" si="55"/>
        <v>0</v>
      </c>
      <c r="AT80" s="1">
        <f t="shared" si="55"/>
        <v>0</v>
      </c>
      <c r="AU80" s="1">
        <f t="shared" si="55"/>
        <v>0</v>
      </c>
      <c r="AV80" s="1">
        <f t="shared" si="55"/>
        <v>0</v>
      </c>
      <c r="AW80" s="1">
        <f t="shared" si="55"/>
        <v>0</v>
      </c>
      <c r="AX80" s="1">
        <f t="shared" si="55"/>
        <v>0</v>
      </c>
      <c r="AY80" s="1">
        <f t="shared" si="55"/>
        <v>0</v>
      </c>
      <c r="AZ80" s="1">
        <f t="shared" si="55"/>
        <v>0</v>
      </c>
      <c r="BA80" s="1">
        <f t="shared" si="55"/>
        <v>0</v>
      </c>
    </row>
    <row r="81" spans="1:54" ht="15.75" customHeight="1" outlineLevel="1" x14ac:dyDescent="0.35">
      <c r="B81" s="5"/>
      <c r="C81" s="5"/>
      <c r="D81" s="5"/>
      <c r="E81" s="5" t="s">
        <v>158</v>
      </c>
      <c r="F81" s="5"/>
      <c r="G81" s="5"/>
      <c r="H81" s="5"/>
      <c r="I81" s="5"/>
      <c r="J81" s="5"/>
      <c r="K81" s="5"/>
      <c r="N81" s="1">
        <f t="shared" si="44"/>
        <v>0</v>
      </c>
      <c r="Q81" s="1">
        <f t="shared" ref="Q81:BA81" si="56">Q168</f>
        <v>0</v>
      </c>
      <c r="R81" s="1">
        <f t="shared" si="56"/>
        <v>0</v>
      </c>
      <c r="S81" s="1">
        <f t="shared" si="56"/>
        <v>0</v>
      </c>
      <c r="T81" s="1">
        <f t="shared" si="56"/>
        <v>0</v>
      </c>
      <c r="U81" s="1">
        <f t="shared" si="56"/>
        <v>0</v>
      </c>
      <c r="V81" s="1">
        <f t="shared" si="56"/>
        <v>0</v>
      </c>
      <c r="W81" s="1">
        <f t="shared" si="56"/>
        <v>0</v>
      </c>
      <c r="X81" s="1">
        <f t="shared" si="56"/>
        <v>0</v>
      </c>
      <c r="Y81" s="1">
        <f t="shared" si="56"/>
        <v>0</v>
      </c>
      <c r="Z81" s="1">
        <f t="shared" si="56"/>
        <v>0</v>
      </c>
      <c r="AA81" s="1">
        <f t="shared" si="56"/>
        <v>0</v>
      </c>
      <c r="AB81" s="1">
        <f t="shared" si="56"/>
        <v>0</v>
      </c>
      <c r="AC81" s="1">
        <f t="shared" si="56"/>
        <v>0</v>
      </c>
      <c r="AD81" s="1">
        <f t="shared" si="56"/>
        <v>0</v>
      </c>
      <c r="AE81" s="1">
        <f t="shared" si="56"/>
        <v>0</v>
      </c>
      <c r="AF81" s="1">
        <f t="shared" si="56"/>
        <v>0</v>
      </c>
      <c r="AG81" s="1">
        <f t="shared" si="56"/>
        <v>0</v>
      </c>
      <c r="AH81" s="1">
        <f t="shared" si="56"/>
        <v>0</v>
      </c>
      <c r="AI81" s="1">
        <f t="shared" si="56"/>
        <v>0</v>
      </c>
      <c r="AJ81" s="1">
        <f t="shared" si="56"/>
        <v>0</v>
      </c>
      <c r="AK81" s="1">
        <f t="shared" si="56"/>
        <v>0</v>
      </c>
      <c r="AL81" s="1">
        <f t="shared" si="56"/>
        <v>0</v>
      </c>
      <c r="AM81" s="1">
        <f t="shared" si="56"/>
        <v>0</v>
      </c>
      <c r="AN81" s="1">
        <f t="shared" si="56"/>
        <v>0</v>
      </c>
      <c r="AO81" s="1">
        <f t="shared" si="56"/>
        <v>0</v>
      </c>
      <c r="AP81" s="1">
        <f t="shared" si="56"/>
        <v>0</v>
      </c>
      <c r="AQ81" s="1">
        <f t="shared" si="56"/>
        <v>0</v>
      </c>
      <c r="AR81" s="1">
        <f t="shared" si="56"/>
        <v>0</v>
      </c>
      <c r="AS81" s="1">
        <f t="shared" si="56"/>
        <v>0</v>
      </c>
      <c r="AT81" s="1">
        <f t="shared" si="56"/>
        <v>0</v>
      </c>
      <c r="AU81" s="1">
        <f t="shared" si="56"/>
        <v>0</v>
      </c>
      <c r="AV81" s="1">
        <f t="shared" si="56"/>
        <v>0</v>
      </c>
      <c r="AW81" s="1">
        <f t="shared" si="56"/>
        <v>0</v>
      </c>
      <c r="AX81" s="1">
        <f t="shared" si="56"/>
        <v>0</v>
      </c>
      <c r="AY81" s="1">
        <f t="shared" si="56"/>
        <v>0</v>
      </c>
      <c r="AZ81" s="1">
        <f t="shared" si="56"/>
        <v>0</v>
      </c>
      <c r="BA81" s="1">
        <f t="shared" si="56"/>
        <v>0</v>
      </c>
    </row>
    <row r="82" spans="1:54" ht="15.75" customHeight="1" outlineLevel="1" x14ac:dyDescent="0.35">
      <c r="B82" s="5"/>
      <c r="C82" s="5"/>
      <c r="D82" s="5" t="s">
        <v>155</v>
      </c>
      <c r="E82" s="5"/>
      <c r="F82" s="5"/>
      <c r="G82" s="5"/>
      <c r="H82" s="5"/>
      <c r="I82" s="5"/>
      <c r="J82" s="5"/>
      <c r="K82" s="5"/>
      <c r="N82" s="1">
        <f t="shared" si="44"/>
        <v>0</v>
      </c>
      <c r="Q82" s="1">
        <f t="shared" ref="Q82:BA82" si="57">Q156</f>
        <v>0</v>
      </c>
      <c r="R82" s="1">
        <f t="shared" si="57"/>
        <v>0</v>
      </c>
      <c r="S82" s="1">
        <f t="shared" si="57"/>
        <v>0</v>
      </c>
      <c r="T82" s="1">
        <f t="shared" si="57"/>
        <v>0</v>
      </c>
      <c r="U82" s="1">
        <f t="shared" si="57"/>
        <v>0</v>
      </c>
      <c r="V82" s="1">
        <f t="shared" si="57"/>
        <v>0</v>
      </c>
      <c r="W82" s="1">
        <f t="shared" si="57"/>
        <v>0</v>
      </c>
      <c r="X82" s="1">
        <f t="shared" si="57"/>
        <v>0</v>
      </c>
      <c r="Y82" s="1">
        <f t="shared" si="57"/>
        <v>0</v>
      </c>
      <c r="Z82" s="1">
        <f t="shared" si="57"/>
        <v>0</v>
      </c>
      <c r="AA82" s="1">
        <f t="shared" si="57"/>
        <v>0</v>
      </c>
      <c r="AB82" s="1">
        <f t="shared" si="57"/>
        <v>0</v>
      </c>
      <c r="AC82" s="1">
        <f t="shared" si="57"/>
        <v>0</v>
      </c>
      <c r="AD82" s="1">
        <f t="shared" si="57"/>
        <v>0</v>
      </c>
      <c r="AE82" s="1">
        <f t="shared" si="57"/>
        <v>0</v>
      </c>
      <c r="AF82" s="1">
        <f t="shared" si="57"/>
        <v>0</v>
      </c>
      <c r="AG82" s="1">
        <f t="shared" si="57"/>
        <v>0</v>
      </c>
      <c r="AH82" s="1">
        <f t="shared" si="57"/>
        <v>0</v>
      </c>
      <c r="AI82" s="1">
        <f t="shared" si="57"/>
        <v>0</v>
      </c>
      <c r="AJ82" s="1">
        <f t="shared" si="57"/>
        <v>0</v>
      </c>
      <c r="AK82" s="1">
        <f t="shared" si="57"/>
        <v>0</v>
      </c>
      <c r="AL82" s="1">
        <f t="shared" si="57"/>
        <v>0</v>
      </c>
      <c r="AM82" s="1">
        <f t="shared" si="57"/>
        <v>0</v>
      </c>
      <c r="AN82" s="1">
        <f t="shared" si="57"/>
        <v>0</v>
      </c>
      <c r="AO82" s="1">
        <f t="shared" si="57"/>
        <v>0</v>
      </c>
      <c r="AP82" s="1">
        <f t="shared" si="57"/>
        <v>0</v>
      </c>
      <c r="AQ82" s="1">
        <f t="shared" si="57"/>
        <v>0</v>
      </c>
      <c r="AR82" s="1">
        <f t="shared" si="57"/>
        <v>0</v>
      </c>
      <c r="AS82" s="1">
        <f t="shared" si="57"/>
        <v>0</v>
      </c>
      <c r="AT82" s="1">
        <f t="shared" si="57"/>
        <v>0</v>
      </c>
      <c r="AU82" s="1">
        <f t="shared" si="57"/>
        <v>0</v>
      </c>
      <c r="AV82" s="1">
        <f t="shared" si="57"/>
        <v>0</v>
      </c>
      <c r="AW82" s="1">
        <f t="shared" si="57"/>
        <v>0</v>
      </c>
      <c r="AX82" s="1">
        <f t="shared" si="57"/>
        <v>0</v>
      </c>
      <c r="AY82" s="1">
        <f t="shared" si="57"/>
        <v>0</v>
      </c>
      <c r="AZ82" s="1">
        <f t="shared" si="57"/>
        <v>0</v>
      </c>
      <c r="BA82" s="1">
        <f t="shared" si="57"/>
        <v>0</v>
      </c>
    </row>
    <row r="83" spans="1:54" ht="15.75" customHeight="1" x14ac:dyDescent="0.35">
      <c r="B83" s="5"/>
      <c r="C83" s="5" t="s">
        <v>17</v>
      </c>
      <c r="D83" s="5"/>
      <c r="E83" s="5"/>
      <c r="F83" s="5"/>
      <c r="G83" s="5"/>
      <c r="H83" s="5"/>
      <c r="I83" s="5"/>
      <c r="J83" s="5"/>
      <c r="K83" s="5"/>
      <c r="N83" s="1">
        <f t="shared" si="44"/>
        <v>0</v>
      </c>
      <c r="Q83" s="1">
        <f t="shared" ref="Q83:BA83" si="58">-Q88</f>
        <v>0</v>
      </c>
      <c r="R83" s="1">
        <f t="shared" si="58"/>
        <v>0</v>
      </c>
      <c r="S83" s="1">
        <f t="shared" si="58"/>
        <v>0</v>
      </c>
      <c r="T83" s="1">
        <f t="shared" si="58"/>
        <v>0</v>
      </c>
      <c r="U83" s="1">
        <f t="shared" si="58"/>
        <v>0</v>
      </c>
      <c r="V83" s="1">
        <f t="shared" si="58"/>
        <v>0</v>
      </c>
      <c r="W83" s="1">
        <f t="shared" si="58"/>
        <v>0</v>
      </c>
      <c r="X83" s="1">
        <f t="shared" si="58"/>
        <v>0</v>
      </c>
      <c r="Y83" s="1">
        <f>-Y88</f>
        <v>0</v>
      </c>
      <c r="Z83" s="1">
        <f t="shared" si="58"/>
        <v>0</v>
      </c>
      <c r="AA83" s="1">
        <f t="shared" si="58"/>
        <v>0</v>
      </c>
      <c r="AB83" s="1">
        <f t="shared" si="58"/>
        <v>0</v>
      </c>
      <c r="AC83" s="1">
        <f t="shared" si="58"/>
        <v>0</v>
      </c>
      <c r="AD83" s="1">
        <f t="shared" si="58"/>
        <v>0</v>
      </c>
      <c r="AE83" s="1">
        <f t="shared" si="58"/>
        <v>0</v>
      </c>
      <c r="AF83" s="1">
        <f t="shared" si="58"/>
        <v>0</v>
      </c>
      <c r="AG83" s="1">
        <f t="shared" si="58"/>
        <v>0</v>
      </c>
      <c r="AH83" s="1">
        <f t="shared" si="58"/>
        <v>0</v>
      </c>
      <c r="AI83" s="1">
        <f t="shared" si="58"/>
        <v>0</v>
      </c>
      <c r="AJ83" s="1">
        <f t="shared" si="58"/>
        <v>0</v>
      </c>
      <c r="AK83" s="1">
        <f t="shared" si="58"/>
        <v>0</v>
      </c>
      <c r="AL83" s="1">
        <f t="shared" si="58"/>
        <v>0</v>
      </c>
      <c r="AM83" s="1">
        <f t="shared" si="58"/>
        <v>0</v>
      </c>
      <c r="AN83" s="1">
        <f t="shared" si="58"/>
        <v>0</v>
      </c>
      <c r="AO83" s="1">
        <f t="shared" si="58"/>
        <v>0</v>
      </c>
      <c r="AP83" s="1">
        <f t="shared" si="58"/>
        <v>0</v>
      </c>
      <c r="AQ83" s="1">
        <f t="shared" si="58"/>
        <v>0</v>
      </c>
      <c r="AR83" s="1">
        <f t="shared" si="58"/>
        <v>0</v>
      </c>
      <c r="AS83" s="1">
        <f t="shared" si="58"/>
        <v>0</v>
      </c>
      <c r="AT83" s="1">
        <f t="shared" si="58"/>
        <v>0</v>
      </c>
      <c r="AU83" s="1">
        <f t="shared" si="58"/>
        <v>0</v>
      </c>
      <c r="AV83" s="1">
        <f t="shared" si="58"/>
        <v>0</v>
      </c>
      <c r="AW83" s="1">
        <f t="shared" si="58"/>
        <v>0</v>
      </c>
      <c r="AX83" s="1">
        <f t="shared" si="58"/>
        <v>0</v>
      </c>
      <c r="AY83" s="1">
        <f t="shared" si="58"/>
        <v>0</v>
      </c>
      <c r="AZ83" s="1">
        <f t="shared" si="58"/>
        <v>0</v>
      </c>
      <c r="BA83" s="1">
        <f t="shared" si="58"/>
        <v>0</v>
      </c>
    </row>
    <row r="84" spans="1:54" ht="15.75" customHeight="1" x14ac:dyDescent="0.35">
      <c r="B84" s="5" t="s">
        <v>27</v>
      </c>
      <c r="C84" s="5"/>
      <c r="D84" s="5"/>
      <c r="E84" s="5"/>
      <c r="F84" s="5"/>
      <c r="G84" s="5"/>
      <c r="H84" s="5"/>
      <c r="I84" s="5"/>
      <c r="J84" s="5"/>
      <c r="K84" s="5"/>
      <c r="N84" s="1">
        <f>SUM(N65,N66,N78,N72,N75,N83)</f>
        <v>0</v>
      </c>
      <c r="Q84" s="1">
        <f t="shared" ref="Q84:BA84" si="59">SUM(Q65,Q66,Q78,Q72,Q75,Q83)</f>
        <v>0</v>
      </c>
      <c r="R84" s="1">
        <f t="shared" si="59"/>
        <v>0</v>
      </c>
      <c r="S84" s="1">
        <f t="shared" si="59"/>
        <v>0</v>
      </c>
      <c r="T84" s="1">
        <f t="shared" si="59"/>
        <v>0</v>
      </c>
      <c r="U84" s="1">
        <f t="shared" si="59"/>
        <v>0</v>
      </c>
      <c r="V84" s="1">
        <f t="shared" si="59"/>
        <v>0</v>
      </c>
      <c r="W84" s="1">
        <f t="shared" si="59"/>
        <v>0</v>
      </c>
      <c r="X84" s="1">
        <f t="shared" si="59"/>
        <v>0</v>
      </c>
      <c r="Y84" s="1">
        <f t="shared" si="59"/>
        <v>0</v>
      </c>
      <c r="Z84" s="1">
        <f t="shared" si="59"/>
        <v>0</v>
      </c>
      <c r="AA84" s="1">
        <f t="shared" si="59"/>
        <v>0</v>
      </c>
      <c r="AB84" s="1">
        <f t="shared" si="59"/>
        <v>0</v>
      </c>
      <c r="AC84" s="1">
        <f t="shared" si="59"/>
        <v>0</v>
      </c>
      <c r="AD84" s="1">
        <f t="shared" si="59"/>
        <v>0</v>
      </c>
      <c r="AE84" s="1">
        <f t="shared" si="59"/>
        <v>0</v>
      </c>
      <c r="AF84" s="1">
        <f t="shared" si="59"/>
        <v>0</v>
      </c>
      <c r="AG84" s="1">
        <f t="shared" si="59"/>
        <v>0</v>
      </c>
      <c r="AH84" s="1">
        <f t="shared" si="59"/>
        <v>0</v>
      </c>
      <c r="AI84" s="1">
        <f t="shared" si="59"/>
        <v>0</v>
      </c>
      <c r="AJ84" s="1">
        <f t="shared" si="59"/>
        <v>0</v>
      </c>
      <c r="AK84" s="1">
        <f t="shared" si="59"/>
        <v>0</v>
      </c>
      <c r="AL84" s="1">
        <f t="shared" si="59"/>
        <v>0</v>
      </c>
      <c r="AM84" s="1">
        <f t="shared" si="59"/>
        <v>0</v>
      </c>
      <c r="AN84" s="1">
        <f t="shared" si="59"/>
        <v>0</v>
      </c>
      <c r="AO84" s="1">
        <f t="shared" si="59"/>
        <v>0</v>
      </c>
      <c r="AP84" s="1">
        <f t="shared" si="59"/>
        <v>0</v>
      </c>
      <c r="AQ84" s="1">
        <f t="shared" si="59"/>
        <v>0</v>
      </c>
      <c r="AR84" s="1">
        <f t="shared" si="59"/>
        <v>0</v>
      </c>
      <c r="AS84" s="1">
        <f t="shared" si="59"/>
        <v>0</v>
      </c>
      <c r="AT84" s="1">
        <f t="shared" si="59"/>
        <v>0</v>
      </c>
      <c r="AU84" s="1">
        <f t="shared" si="59"/>
        <v>0</v>
      </c>
      <c r="AV84" s="1">
        <f t="shared" si="59"/>
        <v>0</v>
      </c>
      <c r="AW84" s="1">
        <f t="shared" si="59"/>
        <v>0</v>
      </c>
      <c r="AX84" s="1">
        <f t="shared" si="59"/>
        <v>0</v>
      </c>
      <c r="AY84" s="1">
        <f t="shared" si="59"/>
        <v>0</v>
      </c>
      <c r="AZ84" s="1">
        <f t="shared" si="59"/>
        <v>0</v>
      </c>
      <c r="BA84" s="1">
        <f t="shared" si="59"/>
        <v>0</v>
      </c>
    </row>
    <row r="85" spans="1:54" x14ac:dyDescent="0.35"/>
    <row r="86" spans="1:54" ht="15.75" customHeight="1" thickBot="1" x14ac:dyDescent="0.4">
      <c r="A86" s="44" t="s">
        <v>152</v>
      </c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5"/>
    </row>
    <row r="87" spans="1:54" ht="15" thickTop="1" x14ac:dyDescent="0.35"/>
    <row r="88" spans="1:54" ht="15.75" customHeight="1" x14ac:dyDescent="0.35">
      <c r="B88" s="9" t="s">
        <v>153</v>
      </c>
      <c r="C88" s="9"/>
      <c r="D88" s="9"/>
      <c r="E88" s="9"/>
      <c r="F88" s="9"/>
      <c r="G88" s="9"/>
      <c r="H88" s="9"/>
      <c r="I88" s="9"/>
      <c r="J88" s="9"/>
      <c r="K88" s="9"/>
      <c r="L88" s="8"/>
      <c r="M88" s="8"/>
      <c r="N88" s="10">
        <f>SUM(Q88:BA88)</f>
        <v>0</v>
      </c>
      <c r="O88" s="8"/>
      <c r="P88" s="8"/>
      <c r="Q88" s="10">
        <f t="shared" ref="Q88:BA88" si="60">SUM(Q89,Q101,Q95,Q98)</f>
        <v>0</v>
      </c>
      <c r="R88" s="10">
        <f t="shared" si="60"/>
        <v>0</v>
      </c>
      <c r="S88" s="10">
        <f t="shared" si="60"/>
        <v>0</v>
      </c>
      <c r="T88" s="10">
        <f t="shared" si="60"/>
        <v>0</v>
      </c>
      <c r="U88" s="10">
        <f t="shared" si="60"/>
        <v>0</v>
      </c>
      <c r="V88" s="10">
        <f t="shared" si="60"/>
        <v>0</v>
      </c>
      <c r="W88" s="10">
        <f t="shared" si="60"/>
        <v>0</v>
      </c>
      <c r="X88" s="10">
        <f>SUM(X89,X101,X95,X98)</f>
        <v>0</v>
      </c>
      <c r="Y88" s="10">
        <f t="shared" si="60"/>
        <v>0</v>
      </c>
      <c r="Z88" s="10">
        <f t="shared" si="60"/>
        <v>0</v>
      </c>
      <c r="AA88" s="10">
        <f t="shared" si="60"/>
        <v>0</v>
      </c>
      <c r="AB88" s="10">
        <f t="shared" si="60"/>
        <v>0</v>
      </c>
      <c r="AC88" s="10">
        <f t="shared" si="60"/>
        <v>0</v>
      </c>
      <c r="AD88" s="10">
        <f t="shared" si="60"/>
        <v>0</v>
      </c>
      <c r="AE88" s="10">
        <f t="shared" si="60"/>
        <v>0</v>
      </c>
      <c r="AF88" s="10">
        <f t="shared" si="60"/>
        <v>0</v>
      </c>
      <c r="AG88" s="10">
        <f t="shared" si="60"/>
        <v>0</v>
      </c>
      <c r="AH88" s="10">
        <f t="shared" si="60"/>
        <v>0</v>
      </c>
      <c r="AI88" s="10">
        <f t="shared" si="60"/>
        <v>0</v>
      </c>
      <c r="AJ88" s="10">
        <f t="shared" si="60"/>
        <v>0</v>
      </c>
      <c r="AK88" s="10">
        <f t="shared" si="60"/>
        <v>0</v>
      </c>
      <c r="AL88" s="10">
        <f t="shared" si="60"/>
        <v>0</v>
      </c>
      <c r="AM88" s="10">
        <f t="shared" si="60"/>
        <v>0</v>
      </c>
      <c r="AN88" s="10">
        <f t="shared" si="60"/>
        <v>0</v>
      </c>
      <c r="AO88" s="10">
        <f t="shared" si="60"/>
        <v>0</v>
      </c>
      <c r="AP88" s="10">
        <f t="shared" si="60"/>
        <v>0</v>
      </c>
      <c r="AQ88" s="10">
        <f t="shared" si="60"/>
        <v>0</v>
      </c>
      <c r="AR88" s="10">
        <f t="shared" si="60"/>
        <v>0</v>
      </c>
      <c r="AS88" s="10">
        <f t="shared" si="60"/>
        <v>0</v>
      </c>
      <c r="AT88" s="10">
        <f t="shared" si="60"/>
        <v>0</v>
      </c>
      <c r="AU88" s="10">
        <f t="shared" si="60"/>
        <v>0</v>
      </c>
      <c r="AV88" s="10">
        <f t="shared" si="60"/>
        <v>0</v>
      </c>
      <c r="AW88" s="10">
        <f t="shared" si="60"/>
        <v>0</v>
      </c>
      <c r="AX88" s="10">
        <f t="shared" si="60"/>
        <v>0</v>
      </c>
      <c r="AY88" s="10">
        <f t="shared" si="60"/>
        <v>0</v>
      </c>
      <c r="AZ88" s="10">
        <f t="shared" si="60"/>
        <v>0</v>
      </c>
      <c r="BA88" s="10">
        <f t="shared" si="60"/>
        <v>0</v>
      </c>
    </row>
    <row r="89" spans="1:54" ht="15.75" customHeight="1" x14ac:dyDescent="0.35">
      <c r="B89" s="5"/>
      <c r="C89" s="5" t="s">
        <v>148</v>
      </c>
      <c r="D89" s="5"/>
      <c r="E89" s="5"/>
      <c r="F89" s="5"/>
      <c r="G89" s="5"/>
      <c r="H89" s="5"/>
      <c r="I89" s="5"/>
      <c r="J89" s="5"/>
      <c r="K89" s="5"/>
      <c r="N89" s="11">
        <f>SUM(Q89:BA89)</f>
        <v>0</v>
      </c>
      <c r="Q89" s="11">
        <f>IFERROR(SUM(SUM($Q$67:Q$71,-ABS(Założenia!$O$167),-ABS(Założenia!$O$168))/SUM(OEt.w3)*OEt.w3,ABS(SUM(Założenia!$O$167:$O$168))*OEp.w3),0)</f>
        <v>0</v>
      </c>
      <c r="R89" s="11">
        <f>IFERROR(SUM(SUM($Q$67:R$71,-ABS(Założenia!$O$167),-ABS(Założenia!$O$168))/SUM(OEt.w3)*OEt.w3,ABS(SUM(Założenia!$O$167:$O$168))*OEp.w3),0)</f>
        <v>0</v>
      </c>
      <c r="S89" s="11">
        <f>IFERROR(SUM(SUM($Q$67:S$71,-ABS(Założenia!$O$167),-ABS(Założenia!$O$168))/SUM(OEt.w3)*OEt.w3,ABS(SUM(Założenia!$O$167:$O$168))*OEp.w3),0)</f>
        <v>0</v>
      </c>
      <c r="T89" s="11">
        <f>IFERROR(SUM(SUM($Q$67:T$71,-ABS(Założenia!$O$167),-ABS(Założenia!$O$168))/SUM(OEt.w3)*OEt.w3,ABS(SUM(Założenia!$O$167:$O$168))*OEp.w3),0)</f>
        <v>0</v>
      </c>
      <c r="U89" s="11">
        <f>IFERROR(SUM(SUM($Q$67:U$71,-ABS(Założenia!$O$167),-ABS(Założenia!$O$168))/SUM(OEt.w3)*OEt.w3,ABS(SUM(Założenia!$O$167:$O$168))*OEp.w3),0)</f>
        <v>0</v>
      </c>
      <c r="V89" s="11">
        <f>IFERROR(SUM(SUM($Q$67:V$71,-ABS(Założenia!$O$167),-ABS(Założenia!$O$168))/SUM(OEt.w3)*OEt.w3,ABS(SUM(Założenia!$O$167:$O$168))*OEp.w3),0)</f>
        <v>0</v>
      </c>
      <c r="W89" s="11">
        <f>IFERROR(SUM(SUM($Q$67:W$71,-ABS(Założenia!$O$167),-ABS(Założenia!$O$168))/SUM(OEt.w3)*OEt.w3,ABS(SUM(Założenia!$O$167:$O$168))*OEp.w3),0)</f>
        <v>0</v>
      </c>
      <c r="X89" s="11">
        <f>IFERROR(SUM(SUM($Q$67:X$71,-ABS(Założenia!$O$167),-ABS(Założenia!$O$168))/SUM(OEt.w3)*OEt.w3,ABS(SUM(Założenia!$O$167:$O$168))*OEp.w3),0)</f>
        <v>0</v>
      </c>
      <c r="Y89" s="11">
        <f>IFERROR(SUM(SUM($Q$67:Y$71,-ABS(Założenia!$O$167),-ABS(Założenia!$O$168))/SUM(OEt.w3)*OEt.w3,ABS(SUM(Założenia!$O$167:$O$168))*OEp.w3),0)</f>
        <v>0</v>
      </c>
      <c r="Z89" s="11">
        <f>IFERROR(SUM(SUM($Q$67:Z$71,-ABS(Założenia!$O$167),-ABS(Założenia!$O$168))/SUM(OEt.w3)*OEt.w3,ABS(SUM(Założenia!$O$167:$O$168))*OEp.w3),0)</f>
        <v>0</v>
      </c>
      <c r="AA89" s="11">
        <f>IFERROR(SUM(SUM($Q$67:AA$71,-ABS(Założenia!$O$167),-ABS(Założenia!$O$168))/SUM(OEt.w3)*OEt.w3,ABS(SUM(Założenia!$O$167:$O$168))*OEp.w3),0)</f>
        <v>0</v>
      </c>
      <c r="AB89" s="11">
        <f>IFERROR(SUM(SUM($Q$67:AB$71,-ABS(Założenia!$O$167),-ABS(Założenia!$O$168))/SUM(OEt.w3)*OEt.w3,ABS(SUM(Założenia!$O$167:$O$168))*OEp.w3),0)</f>
        <v>0</v>
      </c>
      <c r="AC89" s="11">
        <f>IFERROR(SUM(SUM($Q$67:AC$71,-ABS(Założenia!$O$167),-ABS(Założenia!$O$168))/SUM(OEt.w3)*OEt.w3,ABS(SUM(Założenia!$O$167:$O$168))*OEp.w3),0)</f>
        <v>0</v>
      </c>
      <c r="AD89" s="11">
        <f>IFERROR(SUM(SUM($Q$67:AD$71,-ABS(Założenia!$O$167),-ABS(Założenia!$O$168))/SUM(OEt.w3)*OEt.w3,ABS(SUM(Założenia!$O$167:$O$168))*OEp.w3),0)</f>
        <v>0</v>
      </c>
      <c r="AE89" s="11">
        <f>IFERROR(SUM(SUM($Q$67:AE$71,-ABS(Założenia!$O$167),-ABS(Założenia!$O$168))/SUM(OEt.w3)*OEt.w3,ABS(SUM(Założenia!$O$167:$O$168))*OEp.w3),0)</f>
        <v>0</v>
      </c>
      <c r="AF89" s="11">
        <f>IFERROR(SUM(SUM($Q$67:AF$71,-ABS(Założenia!$O$167),-ABS(Założenia!$O$168))/SUM(OEt.w3)*OEt.w3,ABS(SUM(Założenia!$O$167:$O$168))*OEp.w3),0)</f>
        <v>0</v>
      </c>
      <c r="AG89" s="11">
        <f>IFERROR(SUM(SUM($Q$67:AG$71,-ABS(Założenia!$O$167),-ABS(Założenia!$O$168))/SUM(OEt.w3)*OEt.w3,ABS(SUM(Założenia!$O$167:$O$168))*OEp.w3),0)</f>
        <v>0</v>
      </c>
      <c r="AH89" s="11">
        <f>IFERROR(SUM(SUM($Q$67:AH$71,-ABS(Założenia!$O$167),-ABS(Założenia!$O$168))/SUM(OEt.w3)*OEt.w3,ABS(SUM(Założenia!$O$167:$O$168))*OEp.w3),0)</f>
        <v>0</v>
      </c>
      <c r="AI89" s="11">
        <f>IFERROR(SUM(SUM($Q$67:AI$71,-ABS(Założenia!$O$167),-ABS(Założenia!$O$168))/SUM(OEt.w3)*OEt.w3,ABS(SUM(Założenia!$O$167:$O$168))*OEp.w3),0)</f>
        <v>0</v>
      </c>
      <c r="AJ89" s="11">
        <f>IFERROR(SUM(SUM($Q$67:AJ$71,-ABS(Założenia!$O$167),-ABS(Założenia!$O$168))/SUM(OEt.w3)*OEt.w3,ABS(SUM(Założenia!$O$167:$O$168))*OEp.w3),0)</f>
        <v>0</v>
      </c>
      <c r="AK89" s="11">
        <f>IFERROR(SUM(SUM($Q$67:AK$71,-ABS(Założenia!$O$167),-ABS(Założenia!$O$168))/SUM(OEt.w3)*OEt.w3,ABS(SUM(Założenia!$O$167:$O$168))*OEp.w3),0)</f>
        <v>0</v>
      </c>
      <c r="AL89" s="11">
        <f>IFERROR(SUM(SUM($Q$67:AL$71,-ABS(Założenia!$O$167),-ABS(Założenia!$O$168))/SUM(OEt.w3)*OEt.w3,ABS(SUM(Założenia!$O$167:$O$168))*OEp.w3),0)</f>
        <v>0</v>
      </c>
      <c r="AM89" s="11">
        <f>IFERROR(SUM(SUM($Q$67:AM$71,-ABS(Założenia!$O$167),-ABS(Założenia!$O$168))/SUM(OEt.w3)*OEt.w3,ABS(SUM(Założenia!$O$167:$O$168))*OEp.w3),0)</f>
        <v>0</v>
      </c>
      <c r="AN89" s="11">
        <f>IFERROR(SUM(SUM($Q$67:AN$71,-ABS(Założenia!$O$167),-ABS(Założenia!$O$168))/SUM(OEt.w3)*OEt.w3,ABS(SUM(Założenia!$O$167:$O$168))*OEp.w3),0)</f>
        <v>0</v>
      </c>
      <c r="AO89" s="11">
        <f>IFERROR(SUM(SUM($Q$67:AO$71,-ABS(Założenia!$O$167),-ABS(Założenia!$O$168))/SUM(OEt.w3)*OEt.w3,ABS(SUM(Założenia!$O$167:$O$168))*OEp.w3),0)</f>
        <v>0</v>
      </c>
      <c r="AP89" s="11">
        <f>IFERROR(SUM(SUM($Q$67:AP$71,-ABS(Założenia!$O$167),-ABS(Założenia!$O$168))/SUM(OEt.w3)*OEt.w3,ABS(SUM(Założenia!$O$167:$O$168))*OEp.w3),0)</f>
        <v>0</v>
      </c>
      <c r="AQ89" s="11">
        <f>IFERROR(SUM(SUM($Q$67:AQ$71,-ABS(Założenia!$O$167),-ABS(Założenia!$O$168))/SUM(OEt.w3)*OEt.w3,ABS(SUM(Założenia!$O$167:$O$168))*OEp.w3),0)</f>
        <v>0</v>
      </c>
      <c r="AR89" s="11">
        <f>IFERROR(SUM(SUM($Q$67:AR$71,-ABS(Założenia!$O$167),-ABS(Założenia!$O$168))/SUM(OEt.w3)*OEt.w3,ABS(SUM(Założenia!$O$167:$O$168))*OEp.w3),0)</f>
        <v>0</v>
      </c>
      <c r="AS89" s="11">
        <f>IFERROR(SUM(SUM($Q$67:AS$71,-ABS(Założenia!$O$167),-ABS(Założenia!$O$168))/SUM(OEt.w3)*OEt.w3,ABS(SUM(Założenia!$O$167:$O$168))*OEp.w3),0)</f>
        <v>0</v>
      </c>
      <c r="AT89" s="11">
        <f>IFERROR(SUM(SUM($Q$67:AT$71,-ABS(Założenia!$O$167),-ABS(Założenia!$O$168))/SUM(OEt.w3)*OEt.w3,ABS(SUM(Założenia!$O$167:$O$168))*OEp.w3),0)</f>
        <v>0</v>
      </c>
      <c r="AU89" s="11">
        <f>IFERROR(SUM(SUM($Q$67:AU$71,-ABS(Założenia!$O$167),-ABS(Założenia!$O$168))/SUM(OEt.w3)*OEt.w3,ABS(SUM(Założenia!$O$167:$O$168))*OEp.w3),0)</f>
        <v>0</v>
      </c>
      <c r="AV89" s="11">
        <f>IFERROR(SUM(SUM($Q$67:AV$71,-ABS(Założenia!$O$167),-ABS(Założenia!$O$168))/SUM(OEt.w3)*OEt.w3,ABS(SUM(Założenia!$O$167:$O$168))*OEp.w3),0)</f>
        <v>0</v>
      </c>
      <c r="AW89" s="11">
        <f>IFERROR(SUM(SUM($Q$67:AW$71,-ABS(Założenia!$O$167),-ABS(Założenia!$O$168))/SUM(OEt.w3)*OEt.w3,ABS(SUM(Założenia!$O$167:$O$168))*OEp.w3),0)</f>
        <v>0</v>
      </c>
      <c r="AX89" s="11">
        <f>IFERROR(SUM(SUM($Q$67:AX$71,-ABS(Założenia!$O$167),-ABS(Założenia!$O$168))/SUM(OEt.w3)*OEt.w3,ABS(SUM(Założenia!$O$167:$O$168))*OEp.w3),0)</f>
        <v>0</v>
      </c>
      <c r="AY89" s="11">
        <f>IFERROR(SUM(SUM($Q$67:AY$71,-ABS(Założenia!$O$167),-ABS(Założenia!$O$168))/SUM(OEt.w3)*OEt.w3,ABS(SUM(Założenia!$O$167:$O$168))*OEp.w3),0)</f>
        <v>0</v>
      </c>
      <c r="AZ89" s="11">
        <f>IFERROR(SUM(SUM($Q$67:AZ$71,-ABS(Założenia!$O$167),-ABS(Założenia!$O$168))/SUM(OEt.w3)*OEt.w3,ABS(SUM(Założenia!$O$167:$O$168))*OEp.w3),0)</f>
        <v>0</v>
      </c>
      <c r="BA89" s="11">
        <f>IFERROR(SUM(SUM($Q$67:BA$71,-ABS(Założenia!$O$167),-ABS(Założenia!$O$168))/SUM(OEt.w3)*OEt.w3,ABS(SUM(Założenia!$O$167:$O$168))*OEp.w3),0)</f>
        <v>0</v>
      </c>
    </row>
    <row r="90" spans="1:54" ht="15.75" customHeight="1" x14ac:dyDescent="0.35">
      <c r="B90" s="5"/>
      <c r="C90" s="5"/>
      <c r="D90" s="5" t="s">
        <v>99</v>
      </c>
      <c r="E90" s="5"/>
      <c r="F90" s="5"/>
      <c r="G90" s="5"/>
      <c r="H90" s="5"/>
      <c r="I90" s="5"/>
      <c r="J90" s="5"/>
      <c r="K90" s="5"/>
      <c r="N90" s="14">
        <f>N67</f>
        <v>0</v>
      </c>
      <c r="Q90" s="11">
        <f>IFERROR($N90/$N$89*Q$89,0)</f>
        <v>0</v>
      </c>
      <c r="R90" s="11">
        <f t="shared" ref="R90:BA94" si="61">IFERROR($N90/$N$89*R$89,0)</f>
        <v>0</v>
      </c>
      <c r="S90" s="11">
        <f t="shared" si="61"/>
        <v>0</v>
      </c>
      <c r="T90" s="11">
        <f t="shared" si="61"/>
        <v>0</v>
      </c>
      <c r="U90" s="11">
        <f t="shared" si="61"/>
        <v>0</v>
      </c>
      <c r="V90" s="11">
        <f t="shared" si="61"/>
        <v>0</v>
      </c>
      <c r="W90" s="11">
        <f t="shared" si="61"/>
        <v>0</v>
      </c>
      <c r="X90" s="11">
        <f t="shared" si="61"/>
        <v>0</v>
      </c>
      <c r="Y90" s="11">
        <f t="shared" si="61"/>
        <v>0</v>
      </c>
      <c r="Z90" s="11">
        <f t="shared" si="61"/>
        <v>0</v>
      </c>
      <c r="AA90" s="11">
        <f t="shared" si="61"/>
        <v>0</v>
      </c>
      <c r="AB90" s="11">
        <f t="shared" si="61"/>
        <v>0</v>
      </c>
      <c r="AC90" s="11">
        <f t="shared" si="61"/>
        <v>0</v>
      </c>
      <c r="AD90" s="11">
        <f t="shared" si="61"/>
        <v>0</v>
      </c>
      <c r="AE90" s="11">
        <f t="shared" si="61"/>
        <v>0</v>
      </c>
      <c r="AF90" s="11">
        <f t="shared" si="61"/>
        <v>0</v>
      </c>
      <c r="AG90" s="11">
        <f t="shared" si="61"/>
        <v>0</v>
      </c>
      <c r="AH90" s="11">
        <f t="shared" si="61"/>
        <v>0</v>
      </c>
      <c r="AI90" s="11">
        <f t="shared" si="61"/>
        <v>0</v>
      </c>
      <c r="AJ90" s="11">
        <f t="shared" si="61"/>
        <v>0</v>
      </c>
      <c r="AK90" s="11">
        <f t="shared" si="61"/>
        <v>0</v>
      </c>
      <c r="AL90" s="11">
        <f t="shared" si="61"/>
        <v>0</v>
      </c>
      <c r="AM90" s="11">
        <f t="shared" si="61"/>
        <v>0</v>
      </c>
      <c r="AN90" s="11">
        <f t="shared" si="61"/>
        <v>0</v>
      </c>
      <c r="AO90" s="11">
        <f t="shared" si="61"/>
        <v>0</v>
      </c>
      <c r="AP90" s="11">
        <f t="shared" si="61"/>
        <v>0</v>
      </c>
      <c r="AQ90" s="11">
        <f t="shared" si="61"/>
        <v>0</v>
      </c>
      <c r="AR90" s="11">
        <f t="shared" si="61"/>
        <v>0</v>
      </c>
      <c r="AS90" s="11">
        <f t="shared" si="61"/>
        <v>0</v>
      </c>
      <c r="AT90" s="11">
        <f t="shared" si="61"/>
        <v>0</v>
      </c>
      <c r="AU90" s="11">
        <f t="shared" si="61"/>
        <v>0</v>
      </c>
      <c r="AV90" s="11">
        <f t="shared" si="61"/>
        <v>0</v>
      </c>
      <c r="AW90" s="11">
        <f t="shared" si="61"/>
        <v>0</v>
      </c>
      <c r="AX90" s="11">
        <f t="shared" si="61"/>
        <v>0</v>
      </c>
      <c r="AY90" s="11">
        <f t="shared" si="61"/>
        <v>0</v>
      </c>
      <c r="AZ90" s="11">
        <f t="shared" si="61"/>
        <v>0</v>
      </c>
      <c r="BA90" s="11">
        <f t="shared" si="61"/>
        <v>0</v>
      </c>
    </row>
    <row r="91" spans="1:54" ht="15.75" customHeight="1" x14ac:dyDescent="0.35">
      <c r="B91" s="5"/>
      <c r="C91" s="5"/>
      <c r="D91" s="5" t="s">
        <v>100</v>
      </c>
      <c r="E91" s="5"/>
      <c r="F91" s="5"/>
      <c r="G91" s="5"/>
      <c r="H91" s="5"/>
      <c r="I91" s="5"/>
      <c r="J91" s="5"/>
      <c r="K91" s="5"/>
      <c r="N91" s="14">
        <f>N68</f>
        <v>0</v>
      </c>
      <c r="Q91" s="11">
        <f>IFERROR($N91/$N$89*Q$89,0)</f>
        <v>0</v>
      </c>
      <c r="R91" s="11">
        <f t="shared" si="61"/>
        <v>0</v>
      </c>
      <c r="S91" s="11">
        <f t="shared" si="61"/>
        <v>0</v>
      </c>
      <c r="T91" s="11">
        <f t="shared" si="61"/>
        <v>0</v>
      </c>
      <c r="U91" s="11">
        <f t="shared" si="61"/>
        <v>0</v>
      </c>
      <c r="V91" s="11">
        <f t="shared" si="61"/>
        <v>0</v>
      </c>
      <c r="W91" s="11">
        <f t="shared" si="61"/>
        <v>0</v>
      </c>
      <c r="X91" s="11">
        <f t="shared" si="61"/>
        <v>0</v>
      </c>
      <c r="Y91" s="11">
        <f t="shared" si="61"/>
        <v>0</v>
      </c>
      <c r="Z91" s="11">
        <f t="shared" si="61"/>
        <v>0</v>
      </c>
      <c r="AA91" s="11">
        <f t="shared" si="61"/>
        <v>0</v>
      </c>
      <c r="AB91" s="11">
        <f t="shared" si="61"/>
        <v>0</v>
      </c>
      <c r="AC91" s="11">
        <f t="shared" si="61"/>
        <v>0</v>
      </c>
      <c r="AD91" s="11">
        <f t="shared" si="61"/>
        <v>0</v>
      </c>
      <c r="AE91" s="11">
        <f t="shared" si="61"/>
        <v>0</v>
      </c>
      <c r="AF91" s="11">
        <f t="shared" si="61"/>
        <v>0</v>
      </c>
      <c r="AG91" s="11">
        <f t="shared" si="61"/>
        <v>0</v>
      </c>
      <c r="AH91" s="11">
        <f t="shared" si="61"/>
        <v>0</v>
      </c>
      <c r="AI91" s="11">
        <f t="shared" si="61"/>
        <v>0</v>
      </c>
      <c r="AJ91" s="11">
        <f t="shared" si="61"/>
        <v>0</v>
      </c>
      <c r="AK91" s="11">
        <f t="shared" si="61"/>
        <v>0</v>
      </c>
      <c r="AL91" s="11">
        <f t="shared" si="61"/>
        <v>0</v>
      </c>
      <c r="AM91" s="11">
        <f t="shared" si="61"/>
        <v>0</v>
      </c>
      <c r="AN91" s="11">
        <f t="shared" si="61"/>
        <v>0</v>
      </c>
      <c r="AO91" s="11">
        <f t="shared" si="61"/>
        <v>0</v>
      </c>
      <c r="AP91" s="11">
        <f t="shared" si="61"/>
        <v>0</v>
      </c>
      <c r="AQ91" s="11">
        <f t="shared" si="61"/>
        <v>0</v>
      </c>
      <c r="AR91" s="11">
        <f t="shared" si="61"/>
        <v>0</v>
      </c>
      <c r="AS91" s="11">
        <f t="shared" si="61"/>
        <v>0</v>
      </c>
      <c r="AT91" s="11">
        <f t="shared" si="61"/>
        <v>0</v>
      </c>
      <c r="AU91" s="11">
        <f t="shared" si="61"/>
        <v>0</v>
      </c>
      <c r="AV91" s="11">
        <f t="shared" si="61"/>
        <v>0</v>
      </c>
      <c r="AW91" s="11">
        <f t="shared" si="61"/>
        <v>0</v>
      </c>
      <c r="AX91" s="11">
        <f t="shared" si="61"/>
        <v>0</v>
      </c>
      <c r="AY91" s="11">
        <f t="shared" si="61"/>
        <v>0</v>
      </c>
      <c r="AZ91" s="11">
        <f t="shared" si="61"/>
        <v>0</v>
      </c>
      <c r="BA91" s="11">
        <f t="shared" si="61"/>
        <v>0</v>
      </c>
    </row>
    <row r="92" spans="1:54" ht="15.75" customHeight="1" x14ac:dyDescent="0.35">
      <c r="B92" s="5"/>
      <c r="C92" s="5"/>
      <c r="D92" s="5" t="s">
        <v>66</v>
      </c>
      <c r="E92" s="5"/>
      <c r="F92" s="5"/>
      <c r="G92" s="5"/>
      <c r="H92" s="5"/>
      <c r="I92" s="5"/>
      <c r="J92" s="5"/>
      <c r="K92" s="5"/>
      <c r="N92" s="14">
        <f>N69</f>
        <v>0</v>
      </c>
      <c r="Q92" s="11">
        <f>IFERROR($N92/$N$89*Q$89,0)</f>
        <v>0</v>
      </c>
      <c r="R92" s="11">
        <f t="shared" si="61"/>
        <v>0</v>
      </c>
      <c r="S92" s="11">
        <f t="shared" si="61"/>
        <v>0</v>
      </c>
      <c r="T92" s="11">
        <f t="shared" si="61"/>
        <v>0</v>
      </c>
      <c r="U92" s="11">
        <f t="shared" si="61"/>
        <v>0</v>
      </c>
      <c r="V92" s="11">
        <f t="shared" si="61"/>
        <v>0</v>
      </c>
      <c r="W92" s="11">
        <f t="shared" si="61"/>
        <v>0</v>
      </c>
      <c r="X92" s="11">
        <f t="shared" si="61"/>
        <v>0</v>
      </c>
      <c r="Y92" s="11">
        <f t="shared" si="61"/>
        <v>0</v>
      </c>
      <c r="Z92" s="11">
        <f t="shared" si="61"/>
        <v>0</v>
      </c>
      <c r="AA92" s="11">
        <f t="shared" si="61"/>
        <v>0</v>
      </c>
      <c r="AB92" s="11">
        <f t="shared" si="61"/>
        <v>0</v>
      </c>
      <c r="AC92" s="11">
        <f t="shared" si="61"/>
        <v>0</v>
      </c>
      <c r="AD92" s="11">
        <f t="shared" si="61"/>
        <v>0</v>
      </c>
      <c r="AE92" s="11">
        <f t="shared" si="61"/>
        <v>0</v>
      </c>
      <c r="AF92" s="11">
        <f t="shared" si="61"/>
        <v>0</v>
      </c>
      <c r="AG92" s="11">
        <f t="shared" si="61"/>
        <v>0</v>
      </c>
      <c r="AH92" s="11">
        <f t="shared" si="61"/>
        <v>0</v>
      </c>
      <c r="AI92" s="11">
        <f t="shared" si="61"/>
        <v>0</v>
      </c>
      <c r="AJ92" s="11">
        <f t="shared" si="61"/>
        <v>0</v>
      </c>
      <c r="AK92" s="11">
        <f t="shared" si="61"/>
        <v>0</v>
      </c>
      <c r="AL92" s="11">
        <f t="shared" si="61"/>
        <v>0</v>
      </c>
      <c r="AM92" s="11">
        <f t="shared" si="61"/>
        <v>0</v>
      </c>
      <c r="AN92" s="11">
        <f t="shared" si="61"/>
        <v>0</v>
      </c>
      <c r="AO92" s="11">
        <f t="shared" si="61"/>
        <v>0</v>
      </c>
      <c r="AP92" s="11">
        <f t="shared" si="61"/>
        <v>0</v>
      </c>
      <c r="AQ92" s="11">
        <f t="shared" si="61"/>
        <v>0</v>
      </c>
      <c r="AR92" s="11">
        <f t="shared" si="61"/>
        <v>0</v>
      </c>
      <c r="AS92" s="11">
        <f t="shared" si="61"/>
        <v>0</v>
      </c>
      <c r="AT92" s="11">
        <f t="shared" si="61"/>
        <v>0</v>
      </c>
      <c r="AU92" s="11">
        <f t="shared" si="61"/>
        <v>0</v>
      </c>
      <c r="AV92" s="11">
        <f t="shared" si="61"/>
        <v>0</v>
      </c>
      <c r="AW92" s="11">
        <f t="shared" si="61"/>
        <v>0</v>
      </c>
      <c r="AX92" s="11">
        <f t="shared" si="61"/>
        <v>0</v>
      </c>
      <c r="AY92" s="11">
        <f t="shared" si="61"/>
        <v>0</v>
      </c>
      <c r="AZ92" s="11">
        <f t="shared" si="61"/>
        <v>0</v>
      </c>
      <c r="BA92" s="11">
        <f t="shared" si="61"/>
        <v>0</v>
      </c>
    </row>
    <row r="93" spans="1:54" ht="15.75" customHeight="1" x14ac:dyDescent="0.35">
      <c r="B93" s="5"/>
      <c r="C93" s="5"/>
      <c r="D93" s="5" t="s">
        <v>72</v>
      </c>
      <c r="E93" s="5"/>
      <c r="F93" s="5"/>
      <c r="G93" s="5"/>
      <c r="H93" s="5"/>
      <c r="I93" s="5"/>
      <c r="J93" s="5"/>
      <c r="K93" s="5"/>
      <c r="N93" s="14">
        <f>N70</f>
        <v>0</v>
      </c>
      <c r="Q93" s="11">
        <f>IFERROR($N93/$N$89*Q$89,0)</f>
        <v>0</v>
      </c>
      <c r="R93" s="11">
        <f t="shared" si="61"/>
        <v>0</v>
      </c>
      <c r="S93" s="11">
        <f t="shared" si="61"/>
        <v>0</v>
      </c>
      <c r="T93" s="11">
        <f t="shared" si="61"/>
        <v>0</v>
      </c>
      <c r="U93" s="11">
        <f t="shared" si="61"/>
        <v>0</v>
      </c>
      <c r="V93" s="11">
        <f t="shared" si="61"/>
        <v>0</v>
      </c>
      <c r="W93" s="11">
        <f t="shared" si="61"/>
        <v>0</v>
      </c>
      <c r="X93" s="11">
        <f t="shared" si="61"/>
        <v>0</v>
      </c>
      <c r="Y93" s="11">
        <f t="shared" si="61"/>
        <v>0</v>
      </c>
      <c r="Z93" s="11">
        <f t="shared" si="61"/>
        <v>0</v>
      </c>
      <c r="AA93" s="11">
        <f t="shared" si="61"/>
        <v>0</v>
      </c>
      <c r="AB93" s="11">
        <f t="shared" si="61"/>
        <v>0</v>
      </c>
      <c r="AC93" s="11">
        <f t="shared" si="61"/>
        <v>0</v>
      </c>
      <c r="AD93" s="11">
        <f t="shared" si="61"/>
        <v>0</v>
      </c>
      <c r="AE93" s="11">
        <f t="shared" si="61"/>
        <v>0</v>
      </c>
      <c r="AF93" s="11">
        <f t="shared" si="61"/>
        <v>0</v>
      </c>
      <c r="AG93" s="11">
        <f t="shared" si="61"/>
        <v>0</v>
      </c>
      <c r="AH93" s="11">
        <f t="shared" si="61"/>
        <v>0</v>
      </c>
      <c r="AI93" s="11">
        <f t="shared" si="61"/>
        <v>0</v>
      </c>
      <c r="AJ93" s="11">
        <f t="shared" si="61"/>
        <v>0</v>
      </c>
      <c r="AK93" s="11">
        <f t="shared" si="61"/>
        <v>0</v>
      </c>
      <c r="AL93" s="11">
        <f t="shared" si="61"/>
        <v>0</v>
      </c>
      <c r="AM93" s="11">
        <f t="shared" si="61"/>
        <v>0</v>
      </c>
      <c r="AN93" s="11">
        <f t="shared" si="61"/>
        <v>0</v>
      </c>
      <c r="AO93" s="11">
        <f t="shared" si="61"/>
        <v>0</v>
      </c>
      <c r="AP93" s="11">
        <f t="shared" si="61"/>
        <v>0</v>
      </c>
      <c r="AQ93" s="11">
        <f t="shared" si="61"/>
        <v>0</v>
      </c>
      <c r="AR93" s="11">
        <f t="shared" si="61"/>
        <v>0</v>
      </c>
      <c r="AS93" s="11">
        <f t="shared" si="61"/>
        <v>0</v>
      </c>
      <c r="AT93" s="11">
        <f t="shared" si="61"/>
        <v>0</v>
      </c>
      <c r="AU93" s="11">
        <f t="shared" si="61"/>
        <v>0</v>
      </c>
      <c r="AV93" s="11">
        <f t="shared" si="61"/>
        <v>0</v>
      </c>
      <c r="AW93" s="11">
        <f t="shared" si="61"/>
        <v>0</v>
      </c>
      <c r="AX93" s="11">
        <f t="shared" si="61"/>
        <v>0</v>
      </c>
      <c r="AY93" s="11">
        <f t="shared" si="61"/>
        <v>0</v>
      </c>
      <c r="AZ93" s="11">
        <f t="shared" si="61"/>
        <v>0</v>
      </c>
      <c r="BA93" s="11">
        <f t="shared" si="61"/>
        <v>0</v>
      </c>
    </row>
    <row r="94" spans="1:54" ht="15.75" customHeight="1" x14ac:dyDescent="0.35">
      <c r="B94" s="5"/>
      <c r="C94" s="5"/>
      <c r="D94" s="5" t="s">
        <v>50</v>
      </c>
      <c r="E94" s="5"/>
      <c r="F94" s="5"/>
      <c r="G94" s="5"/>
      <c r="H94" s="5"/>
      <c r="I94" s="5"/>
      <c r="J94" s="5"/>
      <c r="K94" s="5"/>
      <c r="N94" s="14">
        <f>N71</f>
        <v>0</v>
      </c>
      <c r="Q94" s="11">
        <f>IFERROR($N94/$N$89*Q$89,0)</f>
        <v>0</v>
      </c>
      <c r="R94" s="11">
        <f t="shared" si="61"/>
        <v>0</v>
      </c>
      <c r="S94" s="11">
        <f t="shared" si="61"/>
        <v>0</v>
      </c>
      <c r="T94" s="11">
        <f t="shared" si="61"/>
        <v>0</v>
      </c>
      <c r="U94" s="11">
        <f t="shared" si="61"/>
        <v>0</v>
      </c>
      <c r="V94" s="11">
        <f t="shared" si="61"/>
        <v>0</v>
      </c>
      <c r="W94" s="11">
        <f t="shared" si="61"/>
        <v>0</v>
      </c>
      <c r="X94" s="11">
        <f t="shared" si="61"/>
        <v>0</v>
      </c>
      <c r="Y94" s="11">
        <f t="shared" si="61"/>
        <v>0</v>
      </c>
      <c r="Z94" s="11">
        <f t="shared" si="61"/>
        <v>0</v>
      </c>
      <c r="AA94" s="11">
        <f t="shared" si="61"/>
        <v>0</v>
      </c>
      <c r="AB94" s="11">
        <f t="shared" si="61"/>
        <v>0</v>
      </c>
      <c r="AC94" s="11">
        <f t="shared" si="61"/>
        <v>0</v>
      </c>
      <c r="AD94" s="11">
        <f t="shared" si="61"/>
        <v>0</v>
      </c>
      <c r="AE94" s="11">
        <f t="shared" si="61"/>
        <v>0</v>
      </c>
      <c r="AF94" s="11">
        <f t="shared" si="61"/>
        <v>0</v>
      </c>
      <c r="AG94" s="11">
        <f t="shared" si="61"/>
        <v>0</v>
      </c>
      <c r="AH94" s="11">
        <f t="shared" si="61"/>
        <v>0</v>
      </c>
      <c r="AI94" s="11">
        <f t="shared" si="61"/>
        <v>0</v>
      </c>
      <c r="AJ94" s="11">
        <f t="shared" si="61"/>
        <v>0</v>
      </c>
      <c r="AK94" s="11">
        <f t="shared" si="61"/>
        <v>0</v>
      </c>
      <c r="AL94" s="11">
        <f t="shared" si="61"/>
        <v>0</v>
      </c>
      <c r="AM94" s="11">
        <f t="shared" si="61"/>
        <v>0</v>
      </c>
      <c r="AN94" s="11">
        <f t="shared" si="61"/>
        <v>0</v>
      </c>
      <c r="AO94" s="11">
        <f t="shared" si="61"/>
        <v>0</v>
      </c>
      <c r="AP94" s="11">
        <f t="shared" si="61"/>
        <v>0</v>
      </c>
      <c r="AQ94" s="11">
        <f t="shared" si="61"/>
        <v>0</v>
      </c>
      <c r="AR94" s="11">
        <f t="shared" si="61"/>
        <v>0</v>
      </c>
      <c r="AS94" s="11">
        <f t="shared" si="61"/>
        <v>0</v>
      </c>
      <c r="AT94" s="11">
        <f t="shared" si="61"/>
        <v>0</v>
      </c>
      <c r="AU94" s="11">
        <f t="shared" si="61"/>
        <v>0</v>
      </c>
      <c r="AV94" s="11">
        <f t="shared" si="61"/>
        <v>0</v>
      </c>
      <c r="AW94" s="11">
        <f t="shared" si="61"/>
        <v>0</v>
      </c>
      <c r="AX94" s="11">
        <f t="shared" si="61"/>
        <v>0</v>
      </c>
      <c r="AY94" s="11">
        <f t="shared" si="61"/>
        <v>0</v>
      </c>
      <c r="AZ94" s="11">
        <f t="shared" si="61"/>
        <v>0</v>
      </c>
      <c r="BA94" s="11">
        <f t="shared" si="61"/>
        <v>0</v>
      </c>
    </row>
    <row r="95" spans="1:54" ht="15.75" customHeight="1" x14ac:dyDescent="0.35">
      <c r="B95" s="5"/>
      <c r="C95" s="5" t="s">
        <v>150</v>
      </c>
      <c r="D95" s="5"/>
      <c r="E95" s="5"/>
      <c r="F95" s="5"/>
      <c r="G95" s="5"/>
      <c r="H95" s="5"/>
      <c r="I95" s="5"/>
      <c r="J95" s="5"/>
      <c r="K95" s="5"/>
      <c r="N95" s="1">
        <f t="shared" ref="N95:N107" si="62">SUM(Q95:BA95)</f>
        <v>0</v>
      </c>
      <c r="Q95" s="1">
        <f t="shared" ref="Q95:BA95" si="63">SUM(Q96:Q97)</f>
        <v>0</v>
      </c>
      <c r="R95" s="1">
        <f t="shared" si="63"/>
        <v>0</v>
      </c>
      <c r="S95" s="1">
        <f t="shared" si="63"/>
        <v>0</v>
      </c>
      <c r="T95" s="1">
        <f t="shared" si="63"/>
        <v>0</v>
      </c>
      <c r="U95" s="1">
        <f t="shared" si="63"/>
        <v>0</v>
      </c>
      <c r="V95" s="1">
        <f t="shared" si="63"/>
        <v>0</v>
      </c>
      <c r="W95" s="1">
        <f t="shared" si="63"/>
        <v>0</v>
      </c>
      <c r="X95" s="1">
        <f t="shared" si="63"/>
        <v>0</v>
      </c>
      <c r="Y95" s="1">
        <f t="shared" si="63"/>
        <v>0</v>
      </c>
      <c r="Z95" s="1">
        <f t="shared" si="63"/>
        <v>0</v>
      </c>
      <c r="AA95" s="1">
        <f t="shared" si="63"/>
        <v>0</v>
      </c>
      <c r="AB95" s="1">
        <f t="shared" si="63"/>
        <v>0</v>
      </c>
      <c r="AC95" s="1">
        <f t="shared" si="63"/>
        <v>0</v>
      </c>
      <c r="AD95" s="1">
        <f t="shared" si="63"/>
        <v>0</v>
      </c>
      <c r="AE95" s="1">
        <f t="shared" si="63"/>
        <v>0</v>
      </c>
      <c r="AF95" s="1">
        <f t="shared" si="63"/>
        <v>0</v>
      </c>
      <c r="AG95" s="1">
        <f t="shared" si="63"/>
        <v>0</v>
      </c>
      <c r="AH95" s="1">
        <f t="shared" si="63"/>
        <v>0</v>
      </c>
      <c r="AI95" s="1">
        <f t="shared" si="63"/>
        <v>0</v>
      </c>
      <c r="AJ95" s="1">
        <f t="shared" si="63"/>
        <v>0</v>
      </c>
      <c r="AK95" s="1">
        <f t="shared" si="63"/>
        <v>0</v>
      </c>
      <c r="AL95" s="1">
        <f t="shared" si="63"/>
        <v>0</v>
      </c>
      <c r="AM95" s="1">
        <f t="shared" si="63"/>
        <v>0</v>
      </c>
      <c r="AN95" s="1">
        <f t="shared" si="63"/>
        <v>0</v>
      </c>
      <c r="AO95" s="1">
        <f t="shared" si="63"/>
        <v>0</v>
      </c>
      <c r="AP95" s="1">
        <f t="shared" si="63"/>
        <v>0</v>
      </c>
      <c r="AQ95" s="1">
        <f t="shared" si="63"/>
        <v>0</v>
      </c>
      <c r="AR95" s="1">
        <f t="shared" si="63"/>
        <v>0</v>
      </c>
      <c r="AS95" s="1">
        <f t="shared" si="63"/>
        <v>0</v>
      </c>
      <c r="AT95" s="1">
        <f t="shared" si="63"/>
        <v>0</v>
      </c>
      <c r="AU95" s="1">
        <f t="shared" si="63"/>
        <v>0</v>
      </c>
      <c r="AV95" s="1">
        <f t="shared" si="63"/>
        <v>0</v>
      </c>
      <c r="AW95" s="1">
        <f t="shared" si="63"/>
        <v>0</v>
      </c>
      <c r="AX95" s="1">
        <f t="shared" si="63"/>
        <v>0</v>
      </c>
      <c r="AY95" s="1">
        <f t="shared" si="63"/>
        <v>0</v>
      </c>
      <c r="AZ95" s="1">
        <f t="shared" si="63"/>
        <v>0</v>
      </c>
      <c r="BA95" s="1">
        <f t="shared" si="63"/>
        <v>0</v>
      </c>
    </row>
    <row r="96" spans="1:54" ht="15.75" customHeight="1" x14ac:dyDescent="0.35">
      <c r="B96" s="5"/>
      <c r="C96" s="5"/>
      <c r="D96" s="5" t="s">
        <v>6</v>
      </c>
      <c r="E96" s="5"/>
      <c r="F96" s="5"/>
      <c r="G96" s="5"/>
      <c r="H96" s="5"/>
      <c r="I96" s="5"/>
      <c r="J96" s="5"/>
      <c r="K96" s="5"/>
      <c r="N96" s="1">
        <f t="shared" si="62"/>
        <v>0</v>
      </c>
      <c r="Q96" s="1">
        <f t="shared" ref="Q96:BA97" si="64">Q73</f>
        <v>0</v>
      </c>
      <c r="R96" s="1">
        <f t="shared" si="64"/>
        <v>0</v>
      </c>
      <c r="S96" s="1">
        <f t="shared" si="64"/>
        <v>0</v>
      </c>
      <c r="T96" s="1">
        <f t="shared" si="64"/>
        <v>0</v>
      </c>
      <c r="U96" s="1">
        <f t="shared" si="64"/>
        <v>0</v>
      </c>
      <c r="V96" s="1">
        <f t="shared" si="64"/>
        <v>0</v>
      </c>
      <c r="W96" s="1">
        <f t="shared" si="64"/>
        <v>0</v>
      </c>
      <c r="X96" s="1">
        <f t="shared" si="64"/>
        <v>0</v>
      </c>
      <c r="Y96" s="1">
        <f t="shared" si="64"/>
        <v>0</v>
      </c>
      <c r="Z96" s="1">
        <f t="shared" si="64"/>
        <v>0</v>
      </c>
      <c r="AA96" s="1">
        <f t="shared" si="64"/>
        <v>0</v>
      </c>
      <c r="AB96" s="1">
        <f t="shared" si="64"/>
        <v>0</v>
      </c>
      <c r="AC96" s="1">
        <f t="shared" si="64"/>
        <v>0</v>
      </c>
      <c r="AD96" s="1">
        <f t="shared" si="64"/>
        <v>0</v>
      </c>
      <c r="AE96" s="1">
        <f t="shared" si="64"/>
        <v>0</v>
      </c>
      <c r="AF96" s="1">
        <f t="shared" si="64"/>
        <v>0</v>
      </c>
      <c r="AG96" s="1">
        <f t="shared" si="64"/>
        <v>0</v>
      </c>
      <c r="AH96" s="1">
        <f t="shared" si="64"/>
        <v>0</v>
      </c>
      <c r="AI96" s="1">
        <f t="shared" si="64"/>
        <v>0</v>
      </c>
      <c r="AJ96" s="1">
        <f t="shared" si="64"/>
        <v>0</v>
      </c>
      <c r="AK96" s="1">
        <f t="shared" si="64"/>
        <v>0</v>
      </c>
      <c r="AL96" s="1">
        <f t="shared" si="64"/>
        <v>0</v>
      </c>
      <c r="AM96" s="1">
        <f t="shared" si="64"/>
        <v>0</v>
      </c>
      <c r="AN96" s="1">
        <f t="shared" si="64"/>
        <v>0</v>
      </c>
      <c r="AO96" s="1">
        <f t="shared" si="64"/>
        <v>0</v>
      </c>
      <c r="AP96" s="1">
        <f t="shared" si="64"/>
        <v>0</v>
      </c>
      <c r="AQ96" s="1">
        <f t="shared" si="64"/>
        <v>0</v>
      </c>
      <c r="AR96" s="1">
        <f t="shared" si="64"/>
        <v>0</v>
      </c>
      <c r="AS96" s="1">
        <f t="shared" si="64"/>
        <v>0</v>
      </c>
      <c r="AT96" s="1">
        <f t="shared" si="64"/>
        <v>0</v>
      </c>
      <c r="AU96" s="1">
        <f t="shared" si="64"/>
        <v>0</v>
      </c>
      <c r="AV96" s="1">
        <f t="shared" si="64"/>
        <v>0</v>
      </c>
      <c r="AW96" s="1">
        <f t="shared" si="64"/>
        <v>0</v>
      </c>
      <c r="AX96" s="1">
        <f t="shared" si="64"/>
        <v>0</v>
      </c>
      <c r="AY96" s="1">
        <f t="shared" si="64"/>
        <v>0</v>
      </c>
      <c r="AZ96" s="1">
        <f t="shared" si="64"/>
        <v>0</v>
      </c>
      <c r="BA96" s="1">
        <f t="shared" si="64"/>
        <v>0</v>
      </c>
    </row>
    <row r="97" spans="1:54" ht="15.75" customHeight="1" x14ac:dyDescent="0.35">
      <c r="B97" s="5"/>
      <c r="C97" s="5"/>
      <c r="D97" s="5" t="s">
        <v>142</v>
      </c>
      <c r="E97" s="5"/>
      <c r="F97" s="5"/>
      <c r="G97" s="5"/>
      <c r="H97" s="5"/>
      <c r="I97" s="5"/>
      <c r="J97" s="5"/>
      <c r="K97" s="5"/>
      <c r="N97" s="1">
        <f t="shared" si="62"/>
        <v>0</v>
      </c>
      <c r="Q97" s="1">
        <f t="shared" si="64"/>
        <v>0</v>
      </c>
      <c r="R97" s="1">
        <f t="shared" si="64"/>
        <v>0</v>
      </c>
      <c r="S97" s="1">
        <f t="shared" si="64"/>
        <v>0</v>
      </c>
      <c r="T97" s="1">
        <f t="shared" si="64"/>
        <v>0</v>
      </c>
      <c r="U97" s="1">
        <f t="shared" si="64"/>
        <v>0</v>
      </c>
      <c r="V97" s="1">
        <f t="shared" si="64"/>
        <v>0</v>
      </c>
      <c r="W97" s="1">
        <f t="shared" si="64"/>
        <v>0</v>
      </c>
      <c r="X97" s="1">
        <f t="shared" si="64"/>
        <v>0</v>
      </c>
      <c r="Y97" s="1">
        <f t="shared" si="64"/>
        <v>0</v>
      </c>
      <c r="Z97" s="1">
        <f t="shared" si="64"/>
        <v>0</v>
      </c>
      <c r="AA97" s="1">
        <f t="shared" si="64"/>
        <v>0</v>
      </c>
      <c r="AB97" s="1">
        <f t="shared" si="64"/>
        <v>0</v>
      </c>
      <c r="AC97" s="1">
        <f t="shared" si="64"/>
        <v>0</v>
      </c>
      <c r="AD97" s="1">
        <f t="shared" si="64"/>
        <v>0</v>
      </c>
      <c r="AE97" s="1">
        <f t="shared" si="64"/>
        <v>0</v>
      </c>
      <c r="AF97" s="1">
        <f t="shared" si="64"/>
        <v>0</v>
      </c>
      <c r="AG97" s="1">
        <f t="shared" si="64"/>
        <v>0</v>
      </c>
      <c r="AH97" s="1">
        <f t="shared" si="64"/>
        <v>0</v>
      </c>
      <c r="AI97" s="1">
        <f t="shared" si="64"/>
        <v>0</v>
      </c>
      <c r="AJ97" s="1">
        <f t="shared" si="64"/>
        <v>0</v>
      </c>
      <c r="AK97" s="1">
        <f t="shared" si="64"/>
        <v>0</v>
      </c>
      <c r="AL97" s="1">
        <f t="shared" si="64"/>
        <v>0</v>
      </c>
      <c r="AM97" s="1">
        <f t="shared" si="64"/>
        <v>0</v>
      </c>
      <c r="AN97" s="1">
        <f t="shared" si="64"/>
        <v>0</v>
      </c>
      <c r="AO97" s="1">
        <f t="shared" si="64"/>
        <v>0</v>
      </c>
      <c r="AP97" s="1">
        <f t="shared" si="64"/>
        <v>0</v>
      </c>
      <c r="AQ97" s="1">
        <f t="shared" si="64"/>
        <v>0</v>
      </c>
      <c r="AR97" s="1">
        <f t="shared" si="64"/>
        <v>0</v>
      </c>
      <c r="AS97" s="1">
        <f t="shared" si="64"/>
        <v>0</v>
      </c>
      <c r="AT97" s="1">
        <f t="shared" si="64"/>
        <v>0</v>
      </c>
      <c r="AU97" s="1">
        <f t="shared" si="64"/>
        <v>0</v>
      </c>
      <c r="AV97" s="1">
        <f t="shared" si="64"/>
        <v>0</v>
      </c>
      <c r="AW97" s="1">
        <f t="shared" si="64"/>
        <v>0</v>
      </c>
      <c r="AX97" s="1">
        <f t="shared" si="64"/>
        <v>0</v>
      </c>
      <c r="AY97" s="1">
        <f t="shared" si="64"/>
        <v>0</v>
      </c>
      <c r="AZ97" s="1">
        <f t="shared" si="64"/>
        <v>0</v>
      </c>
      <c r="BA97" s="1">
        <f t="shared" si="64"/>
        <v>0</v>
      </c>
    </row>
    <row r="98" spans="1:54" ht="15.75" customHeight="1" x14ac:dyDescent="0.35">
      <c r="B98" s="5"/>
      <c r="C98" s="5" t="s">
        <v>151</v>
      </c>
      <c r="D98" s="5"/>
      <c r="E98" s="5"/>
      <c r="F98" s="5"/>
      <c r="G98" s="5"/>
      <c r="H98" s="5"/>
      <c r="I98" s="5"/>
      <c r="J98" s="5"/>
      <c r="K98" s="5"/>
      <c r="N98" s="1">
        <f t="shared" si="62"/>
        <v>0</v>
      </c>
      <c r="Q98" s="1">
        <f t="shared" ref="Q98:BA98" si="65">SUM(Q99:Q100)</f>
        <v>0</v>
      </c>
      <c r="R98" s="1">
        <f t="shared" si="65"/>
        <v>0</v>
      </c>
      <c r="S98" s="1">
        <f t="shared" si="65"/>
        <v>0</v>
      </c>
      <c r="T98" s="1">
        <f t="shared" si="65"/>
        <v>0</v>
      </c>
      <c r="U98" s="1">
        <f t="shared" si="65"/>
        <v>0</v>
      </c>
      <c r="V98" s="1">
        <f t="shared" si="65"/>
        <v>0</v>
      </c>
      <c r="W98" s="1">
        <f t="shared" si="65"/>
        <v>0</v>
      </c>
      <c r="X98" s="1">
        <f t="shared" si="65"/>
        <v>0</v>
      </c>
      <c r="Y98" s="1">
        <f t="shared" si="65"/>
        <v>0</v>
      </c>
      <c r="Z98" s="1">
        <f t="shared" si="65"/>
        <v>0</v>
      </c>
      <c r="AA98" s="1">
        <f t="shared" si="65"/>
        <v>0</v>
      </c>
      <c r="AB98" s="1">
        <f t="shared" si="65"/>
        <v>0</v>
      </c>
      <c r="AC98" s="1">
        <f t="shared" si="65"/>
        <v>0</v>
      </c>
      <c r="AD98" s="1">
        <f t="shared" si="65"/>
        <v>0</v>
      </c>
      <c r="AE98" s="1">
        <f t="shared" si="65"/>
        <v>0</v>
      </c>
      <c r="AF98" s="1">
        <f t="shared" si="65"/>
        <v>0</v>
      </c>
      <c r="AG98" s="1">
        <f t="shared" si="65"/>
        <v>0</v>
      </c>
      <c r="AH98" s="1">
        <f t="shared" si="65"/>
        <v>0</v>
      </c>
      <c r="AI98" s="1">
        <f t="shared" si="65"/>
        <v>0</v>
      </c>
      <c r="AJ98" s="1">
        <f t="shared" si="65"/>
        <v>0</v>
      </c>
      <c r="AK98" s="1">
        <f t="shared" si="65"/>
        <v>0</v>
      </c>
      <c r="AL98" s="1">
        <f t="shared" si="65"/>
        <v>0</v>
      </c>
      <c r="AM98" s="1">
        <f t="shared" si="65"/>
        <v>0</v>
      </c>
      <c r="AN98" s="1">
        <f t="shared" si="65"/>
        <v>0</v>
      </c>
      <c r="AO98" s="1">
        <f t="shared" si="65"/>
        <v>0</v>
      </c>
      <c r="AP98" s="1">
        <f t="shared" si="65"/>
        <v>0</v>
      </c>
      <c r="AQ98" s="1">
        <f t="shared" si="65"/>
        <v>0</v>
      </c>
      <c r="AR98" s="1">
        <f t="shared" si="65"/>
        <v>0</v>
      </c>
      <c r="AS98" s="1">
        <f t="shared" si="65"/>
        <v>0</v>
      </c>
      <c r="AT98" s="1">
        <f t="shared" si="65"/>
        <v>0</v>
      </c>
      <c r="AU98" s="1">
        <f t="shared" si="65"/>
        <v>0</v>
      </c>
      <c r="AV98" s="1">
        <f t="shared" si="65"/>
        <v>0</v>
      </c>
      <c r="AW98" s="1">
        <f t="shared" si="65"/>
        <v>0</v>
      </c>
      <c r="AX98" s="1">
        <f t="shared" si="65"/>
        <v>0</v>
      </c>
      <c r="AY98" s="1">
        <f t="shared" si="65"/>
        <v>0</v>
      </c>
      <c r="AZ98" s="1">
        <f t="shared" si="65"/>
        <v>0</v>
      </c>
      <c r="BA98" s="1">
        <f t="shared" si="65"/>
        <v>0</v>
      </c>
    </row>
    <row r="99" spans="1:54" ht="15.75" customHeight="1" x14ac:dyDescent="0.35">
      <c r="B99" s="5"/>
      <c r="C99" s="5"/>
      <c r="D99" s="5" t="s">
        <v>147</v>
      </c>
      <c r="E99" s="5"/>
      <c r="F99" s="5"/>
      <c r="G99" s="5"/>
      <c r="H99" s="5"/>
      <c r="I99" s="5"/>
      <c r="J99" s="5"/>
      <c r="K99" s="5"/>
      <c r="N99" s="1">
        <f t="shared" si="62"/>
        <v>0</v>
      </c>
      <c r="Q99" s="1">
        <f t="shared" ref="Q99:BA100" si="66">Q76</f>
        <v>0</v>
      </c>
      <c r="R99" s="1">
        <f t="shared" si="66"/>
        <v>0</v>
      </c>
      <c r="S99" s="1">
        <f t="shared" si="66"/>
        <v>0</v>
      </c>
      <c r="T99" s="1">
        <f t="shared" si="66"/>
        <v>0</v>
      </c>
      <c r="U99" s="1">
        <f t="shared" si="66"/>
        <v>0</v>
      </c>
      <c r="V99" s="1">
        <f t="shared" si="66"/>
        <v>0</v>
      </c>
      <c r="W99" s="1">
        <f t="shared" si="66"/>
        <v>0</v>
      </c>
      <c r="X99" s="1">
        <f t="shared" si="66"/>
        <v>0</v>
      </c>
      <c r="Y99" s="1">
        <f t="shared" si="66"/>
        <v>0</v>
      </c>
      <c r="Z99" s="1">
        <f t="shared" si="66"/>
        <v>0</v>
      </c>
      <c r="AA99" s="1">
        <f t="shared" si="66"/>
        <v>0</v>
      </c>
      <c r="AB99" s="1">
        <f t="shared" si="66"/>
        <v>0</v>
      </c>
      <c r="AC99" s="1">
        <f t="shared" si="66"/>
        <v>0</v>
      </c>
      <c r="AD99" s="1">
        <f t="shared" si="66"/>
        <v>0</v>
      </c>
      <c r="AE99" s="1">
        <f t="shared" si="66"/>
        <v>0</v>
      </c>
      <c r="AF99" s="1">
        <f t="shared" si="66"/>
        <v>0</v>
      </c>
      <c r="AG99" s="1">
        <f t="shared" si="66"/>
        <v>0</v>
      </c>
      <c r="AH99" s="1">
        <f t="shared" si="66"/>
        <v>0</v>
      </c>
      <c r="AI99" s="1">
        <f t="shared" si="66"/>
        <v>0</v>
      </c>
      <c r="AJ99" s="1">
        <f t="shared" si="66"/>
        <v>0</v>
      </c>
      <c r="AK99" s="1">
        <f t="shared" si="66"/>
        <v>0</v>
      </c>
      <c r="AL99" s="1">
        <f t="shared" si="66"/>
        <v>0</v>
      </c>
      <c r="AM99" s="1">
        <f t="shared" si="66"/>
        <v>0</v>
      </c>
      <c r="AN99" s="1">
        <f t="shared" si="66"/>
        <v>0</v>
      </c>
      <c r="AO99" s="1">
        <f t="shared" si="66"/>
        <v>0</v>
      </c>
      <c r="AP99" s="1">
        <f t="shared" si="66"/>
        <v>0</v>
      </c>
      <c r="AQ99" s="1">
        <f t="shared" si="66"/>
        <v>0</v>
      </c>
      <c r="AR99" s="1">
        <f t="shared" si="66"/>
        <v>0</v>
      </c>
      <c r="AS99" s="1">
        <f t="shared" si="66"/>
        <v>0</v>
      </c>
      <c r="AT99" s="1">
        <f t="shared" si="66"/>
        <v>0</v>
      </c>
      <c r="AU99" s="1">
        <f t="shared" si="66"/>
        <v>0</v>
      </c>
      <c r="AV99" s="1">
        <f t="shared" si="66"/>
        <v>0</v>
      </c>
      <c r="AW99" s="1">
        <f t="shared" si="66"/>
        <v>0</v>
      </c>
      <c r="AX99" s="1">
        <f t="shared" si="66"/>
        <v>0</v>
      </c>
      <c r="AY99" s="1">
        <f t="shared" si="66"/>
        <v>0</v>
      </c>
      <c r="AZ99" s="1">
        <f t="shared" si="66"/>
        <v>0</v>
      </c>
      <c r="BA99" s="1">
        <f t="shared" si="66"/>
        <v>0</v>
      </c>
    </row>
    <row r="100" spans="1:54" ht="15.75" customHeight="1" x14ac:dyDescent="0.35">
      <c r="B100" s="5"/>
      <c r="C100" s="5"/>
      <c r="D100" s="5" t="s">
        <v>52</v>
      </c>
      <c r="E100" s="5"/>
      <c r="F100" s="5"/>
      <c r="G100" s="5"/>
      <c r="H100" s="5"/>
      <c r="I100" s="5"/>
      <c r="J100" s="5"/>
      <c r="K100" s="5"/>
      <c r="N100" s="1">
        <f t="shared" si="62"/>
        <v>0</v>
      </c>
      <c r="Q100" s="1">
        <f t="shared" si="66"/>
        <v>0</v>
      </c>
      <c r="R100" s="1">
        <f t="shared" si="66"/>
        <v>0</v>
      </c>
      <c r="S100" s="1">
        <f t="shared" si="66"/>
        <v>0</v>
      </c>
      <c r="T100" s="1">
        <f t="shared" si="66"/>
        <v>0</v>
      </c>
      <c r="U100" s="1">
        <f t="shared" si="66"/>
        <v>0</v>
      </c>
      <c r="V100" s="1">
        <f t="shared" si="66"/>
        <v>0</v>
      </c>
      <c r="W100" s="1">
        <f t="shared" si="66"/>
        <v>0</v>
      </c>
      <c r="X100" s="1">
        <f t="shared" si="66"/>
        <v>0</v>
      </c>
      <c r="Y100" s="1">
        <f t="shared" si="66"/>
        <v>0</v>
      </c>
      <c r="Z100" s="1">
        <f t="shared" si="66"/>
        <v>0</v>
      </c>
      <c r="AA100" s="1">
        <f t="shared" si="66"/>
        <v>0</v>
      </c>
      <c r="AB100" s="1">
        <f t="shared" si="66"/>
        <v>0</v>
      </c>
      <c r="AC100" s="1">
        <f t="shared" si="66"/>
        <v>0</v>
      </c>
      <c r="AD100" s="1">
        <f t="shared" si="66"/>
        <v>0</v>
      </c>
      <c r="AE100" s="1">
        <f t="shared" si="66"/>
        <v>0</v>
      </c>
      <c r="AF100" s="1">
        <f t="shared" si="66"/>
        <v>0</v>
      </c>
      <c r="AG100" s="1">
        <f t="shared" si="66"/>
        <v>0</v>
      </c>
      <c r="AH100" s="1">
        <f t="shared" si="66"/>
        <v>0</v>
      </c>
      <c r="AI100" s="1">
        <f t="shared" si="66"/>
        <v>0</v>
      </c>
      <c r="AJ100" s="1">
        <f t="shared" si="66"/>
        <v>0</v>
      </c>
      <c r="AK100" s="1">
        <f t="shared" si="66"/>
        <v>0</v>
      </c>
      <c r="AL100" s="1">
        <f t="shared" si="66"/>
        <v>0</v>
      </c>
      <c r="AM100" s="1">
        <f t="shared" si="66"/>
        <v>0</v>
      </c>
      <c r="AN100" s="1">
        <f t="shared" si="66"/>
        <v>0</v>
      </c>
      <c r="AO100" s="1">
        <f t="shared" si="66"/>
        <v>0</v>
      </c>
      <c r="AP100" s="1">
        <f t="shared" si="66"/>
        <v>0</v>
      </c>
      <c r="AQ100" s="1">
        <f t="shared" si="66"/>
        <v>0</v>
      </c>
      <c r="AR100" s="1">
        <f t="shared" si="66"/>
        <v>0</v>
      </c>
      <c r="AS100" s="1">
        <f t="shared" si="66"/>
        <v>0</v>
      </c>
      <c r="AT100" s="1">
        <f t="shared" si="66"/>
        <v>0</v>
      </c>
      <c r="AU100" s="1">
        <f t="shared" si="66"/>
        <v>0</v>
      </c>
      <c r="AV100" s="1">
        <f t="shared" si="66"/>
        <v>0</v>
      </c>
      <c r="AW100" s="1">
        <f t="shared" si="66"/>
        <v>0</v>
      </c>
      <c r="AX100" s="1">
        <f t="shared" si="66"/>
        <v>0</v>
      </c>
      <c r="AY100" s="1">
        <f t="shared" si="66"/>
        <v>0</v>
      </c>
      <c r="AZ100" s="1">
        <f t="shared" si="66"/>
        <v>0</v>
      </c>
      <c r="BA100" s="1">
        <f t="shared" si="66"/>
        <v>0</v>
      </c>
    </row>
    <row r="101" spans="1:54" ht="15.75" customHeight="1" x14ac:dyDescent="0.35">
      <c r="B101" s="5"/>
      <c r="C101" s="5" t="s">
        <v>28</v>
      </c>
      <c r="D101" s="5"/>
      <c r="E101" s="5"/>
      <c r="F101" s="5"/>
      <c r="G101" s="5"/>
      <c r="H101" s="5"/>
      <c r="I101" s="5"/>
      <c r="J101" s="5"/>
      <c r="K101" s="5"/>
      <c r="N101" s="1">
        <f t="shared" si="62"/>
        <v>0</v>
      </c>
      <c r="Q101" s="1">
        <f t="shared" ref="Q101:BA101" si="67">SUM(Q102,Q105)</f>
        <v>0</v>
      </c>
      <c r="R101" s="1">
        <f t="shared" si="67"/>
        <v>0</v>
      </c>
      <c r="S101" s="1">
        <f t="shared" si="67"/>
        <v>0</v>
      </c>
      <c r="T101" s="1">
        <f t="shared" si="67"/>
        <v>0</v>
      </c>
      <c r="U101" s="1">
        <f t="shared" si="67"/>
        <v>0</v>
      </c>
      <c r="V101" s="1">
        <f t="shared" si="67"/>
        <v>0</v>
      </c>
      <c r="W101" s="1">
        <f t="shared" si="67"/>
        <v>0</v>
      </c>
      <c r="X101" s="1">
        <f t="shared" si="67"/>
        <v>0</v>
      </c>
      <c r="Y101" s="1">
        <f t="shared" si="67"/>
        <v>0</v>
      </c>
      <c r="Z101" s="1">
        <f t="shared" si="67"/>
        <v>0</v>
      </c>
      <c r="AA101" s="1">
        <f t="shared" si="67"/>
        <v>0</v>
      </c>
      <c r="AB101" s="1">
        <f t="shared" si="67"/>
        <v>0</v>
      </c>
      <c r="AC101" s="1">
        <f t="shared" si="67"/>
        <v>0</v>
      </c>
      <c r="AD101" s="1">
        <f t="shared" si="67"/>
        <v>0</v>
      </c>
      <c r="AE101" s="1">
        <f t="shared" si="67"/>
        <v>0</v>
      </c>
      <c r="AF101" s="1">
        <f t="shared" si="67"/>
        <v>0</v>
      </c>
      <c r="AG101" s="1">
        <f t="shared" si="67"/>
        <v>0</v>
      </c>
      <c r="AH101" s="1">
        <f t="shared" si="67"/>
        <v>0</v>
      </c>
      <c r="AI101" s="1">
        <f t="shared" si="67"/>
        <v>0</v>
      </c>
      <c r="AJ101" s="1">
        <f t="shared" si="67"/>
        <v>0</v>
      </c>
      <c r="AK101" s="1">
        <f t="shared" si="67"/>
        <v>0</v>
      </c>
      <c r="AL101" s="1">
        <f t="shared" si="67"/>
        <v>0</v>
      </c>
      <c r="AM101" s="1">
        <f t="shared" si="67"/>
        <v>0</v>
      </c>
      <c r="AN101" s="1">
        <f t="shared" si="67"/>
        <v>0</v>
      </c>
      <c r="AO101" s="1">
        <f t="shared" si="67"/>
        <v>0</v>
      </c>
      <c r="AP101" s="1">
        <f t="shared" si="67"/>
        <v>0</v>
      </c>
      <c r="AQ101" s="1">
        <f t="shared" si="67"/>
        <v>0</v>
      </c>
      <c r="AR101" s="1">
        <f t="shared" si="67"/>
        <v>0</v>
      </c>
      <c r="AS101" s="1">
        <f t="shared" si="67"/>
        <v>0</v>
      </c>
      <c r="AT101" s="1">
        <f t="shared" si="67"/>
        <v>0</v>
      </c>
      <c r="AU101" s="1">
        <f t="shared" si="67"/>
        <v>0</v>
      </c>
      <c r="AV101" s="1">
        <f t="shared" si="67"/>
        <v>0</v>
      </c>
      <c r="AW101" s="1">
        <f t="shared" si="67"/>
        <v>0</v>
      </c>
      <c r="AX101" s="1">
        <f t="shared" si="67"/>
        <v>0</v>
      </c>
      <c r="AY101" s="1">
        <f t="shared" si="67"/>
        <v>0</v>
      </c>
      <c r="AZ101" s="1">
        <f t="shared" si="67"/>
        <v>0</v>
      </c>
      <c r="BA101" s="1">
        <f t="shared" si="67"/>
        <v>0</v>
      </c>
    </row>
    <row r="102" spans="1:54" ht="15.75" customHeight="1" x14ac:dyDescent="0.35">
      <c r="B102" s="5"/>
      <c r="D102" s="5" t="s">
        <v>149</v>
      </c>
      <c r="E102" s="5"/>
      <c r="F102" s="5"/>
      <c r="G102" s="5"/>
      <c r="H102" s="5"/>
      <c r="I102" s="5"/>
      <c r="J102" s="5"/>
      <c r="K102" s="5"/>
      <c r="N102" s="1">
        <f t="shared" si="62"/>
        <v>0</v>
      </c>
      <c r="Q102" s="11">
        <f t="shared" ref="Q102:BA102" si="68">SUM(Q103:Q104)</f>
        <v>0</v>
      </c>
      <c r="R102" s="11">
        <f t="shared" si="68"/>
        <v>0</v>
      </c>
      <c r="S102" s="11">
        <f t="shared" si="68"/>
        <v>0</v>
      </c>
      <c r="T102" s="11">
        <f t="shared" si="68"/>
        <v>0</v>
      </c>
      <c r="U102" s="11">
        <f t="shared" si="68"/>
        <v>0</v>
      </c>
      <c r="V102" s="11">
        <f t="shared" si="68"/>
        <v>0</v>
      </c>
      <c r="W102" s="11">
        <f t="shared" si="68"/>
        <v>0</v>
      </c>
      <c r="X102" s="11">
        <f t="shared" si="68"/>
        <v>0</v>
      </c>
      <c r="Y102" s="11">
        <f t="shared" si="68"/>
        <v>0</v>
      </c>
      <c r="Z102" s="11">
        <f t="shared" si="68"/>
        <v>0</v>
      </c>
      <c r="AA102" s="11">
        <f t="shared" si="68"/>
        <v>0</v>
      </c>
      <c r="AB102" s="11">
        <f t="shared" si="68"/>
        <v>0</v>
      </c>
      <c r="AC102" s="11">
        <f t="shared" si="68"/>
        <v>0</v>
      </c>
      <c r="AD102" s="11">
        <f t="shared" si="68"/>
        <v>0</v>
      </c>
      <c r="AE102" s="11">
        <f t="shared" si="68"/>
        <v>0</v>
      </c>
      <c r="AF102" s="11">
        <f t="shared" si="68"/>
        <v>0</v>
      </c>
      <c r="AG102" s="11">
        <f t="shared" si="68"/>
        <v>0</v>
      </c>
      <c r="AH102" s="11">
        <f t="shared" si="68"/>
        <v>0</v>
      </c>
      <c r="AI102" s="11">
        <f t="shared" si="68"/>
        <v>0</v>
      </c>
      <c r="AJ102" s="11">
        <f t="shared" si="68"/>
        <v>0</v>
      </c>
      <c r="AK102" s="11">
        <f t="shared" si="68"/>
        <v>0</v>
      </c>
      <c r="AL102" s="11">
        <f t="shared" si="68"/>
        <v>0</v>
      </c>
      <c r="AM102" s="11">
        <f t="shared" si="68"/>
        <v>0</v>
      </c>
      <c r="AN102" s="11">
        <f t="shared" si="68"/>
        <v>0</v>
      </c>
      <c r="AO102" s="11">
        <f t="shared" si="68"/>
        <v>0</v>
      </c>
      <c r="AP102" s="11">
        <f t="shared" si="68"/>
        <v>0</v>
      </c>
      <c r="AQ102" s="11">
        <f t="shared" si="68"/>
        <v>0</v>
      </c>
      <c r="AR102" s="11">
        <f t="shared" si="68"/>
        <v>0</v>
      </c>
      <c r="AS102" s="11">
        <f t="shared" si="68"/>
        <v>0</v>
      </c>
      <c r="AT102" s="11">
        <f t="shared" si="68"/>
        <v>0</v>
      </c>
      <c r="AU102" s="11">
        <f t="shared" si="68"/>
        <v>0</v>
      </c>
      <c r="AV102" s="11">
        <f t="shared" si="68"/>
        <v>0</v>
      </c>
      <c r="AW102" s="11">
        <f t="shared" si="68"/>
        <v>0</v>
      </c>
      <c r="AX102" s="11">
        <f t="shared" si="68"/>
        <v>0</v>
      </c>
      <c r="AY102" s="11">
        <f t="shared" si="68"/>
        <v>0</v>
      </c>
      <c r="AZ102" s="11">
        <f t="shared" si="68"/>
        <v>0</v>
      </c>
      <c r="BA102" s="11">
        <f t="shared" si="68"/>
        <v>0</v>
      </c>
    </row>
    <row r="103" spans="1:54" ht="15.75" customHeight="1" x14ac:dyDescent="0.35">
      <c r="B103" s="5"/>
      <c r="D103" s="5"/>
      <c r="E103" s="5" t="s">
        <v>157</v>
      </c>
      <c r="F103" s="5"/>
      <c r="G103" s="5"/>
      <c r="H103" s="5"/>
      <c r="I103" s="5"/>
      <c r="J103" s="5"/>
      <c r="K103" s="5"/>
      <c r="N103" s="1">
        <f t="shared" si="62"/>
        <v>0</v>
      </c>
      <c r="Q103" s="11">
        <f>IFERROR(SUM($Q$80:Q$80)/SUM(OEt.w3)*OEt.w3,0)</f>
        <v>0</v>
      </c>
      <c r="R103" s="11">
        <f>IFERROR(SUM($Q$80:R$80)/SUM(OEt.w3)*OEt.w3,0)</f>
        <v>0</v>
      </c>
      <c r="S103" s="11">
        <f>IFERROR(SUM($Q$80:S$80)/SUM(OEt.w3)*OEt.w3,0)</f>
        <v>0</v>
      </c>
      <c r="T103" s="11">
        <f>IFERROR(SUM($Q$80:T$80)/SUM(OEt.w3)*OEt.w3,0)</f>
        <v>0</v>
      </c>
      <c r="U103" s="11">
        <f>IFERROR(SUM($Q$80:U$80)/SUM(OEt.w3)*OEt.w3,0)</f>
        <v>0</v>
      </c>
      <c r="V103" s="11">
        <f>IFERROR(SUM($Q$80:V$80)/SUM(OEt.w3)*OEt.w3,0)</f>
        <v>0</v>
      </c>
      <c r="W103" s="11">
        <f>IFERROR(SUM($Q$80:W$80)/SUM(OEt.w3)*OEt.w3,0)</f>
        <v>0</v>
      </c>
      <c r="X103" s="11">
        <f>IFERROR(SUM($Q$80:X$80)/SUM(OEt.w3)*OEt.w3,0)</f>
        <v>0</v>
      </c>
      <c r="Y103" s="11">
        <f>IFERROR(SUM($Q$80:Y$80)/SUM(OEt.w3)*OEt.w3,0)</f>
        <v>0</v>
      </c>
      <c r="Z103" s="11">
        <f>IFERROR(SUM($Q$80:Z$80)/SUM(OEt.w3)*OEt.w3,0)</f>
        <v>0</v>
      </c>
      <c r="AA103" s="11">
        <f>IFERROR(SUM($Q$80:AA$80)/SUM(OEt.w3)*OEt.w3,0)</f>
        <v>0</v>
      </c>
      <c r="AB103" s="11">
        <f>IFERROR(SUM($Q$80:AB$80)/SUM(OEt.w3)*OEt.w3,0)</f>
        <v>0</v>
      </c>
      <c r="AC103" s="11">
        <f>IFERROR(SUM($Q$80:AC$80)/SUM(OEt.w3)*OEt.w3,0)</f>
        <v>0</v>
      </c>
      <c r="AD103" s="11">
        <f>IFERROR(SUM($Q$80:AD$80)/SUM(OEt.w3)*OEt.w3,0)</f>
        <v>0</v>
      </c>
      <c r="AE103" s="11">
        <f>IFERROR(SUM($Q$80:AE$80)/SUM(OEt.w3)*OEt.w3,0)</f>
        <v>0</v>
      </c>
      <c r="AF103" s="11">
        <f>IFERROR(SUM($Q$80:AF$80)/SUM(OEt.w3)*OEt.w3,0)</f>
        <v>0</v>
      </c>
      <c r="AG103" s="11">
        <f>IFERROR(SUM($Q$80:AG$80)/SUM(OEt.w3)*OEt.w3,0)</f>
        <v>0</v>
      </c>
      <c r="AH103" s="11">
        <f>IFERROR(SUM($Q$80:AH$80)/SUM(OEt.w3)*OEt.w3,0)</f>
        <v>0</v>
      </c>
      <c r="AI103" s="11">
        <f>IFERROR(SUM($Q$80:AI$80)/SUM(OEt.w3)*OEt.w3,0)</f>
        <v>0</v>
      </c>
      <c r="AJ103" s="11">
        <f>IFERROR(SUM($Q$80:AJ$80)/SUM(OEt.w3)*OEt.w3,0)</f>
        <v>0</v>
      </c>
      <c r="AK103" s="11">
        <f>IFERROR(SUM($Q$80:AK$80)/SUM(OEt.w3)*OEt.w3,0)</f>
        <v>0</v>
      </c>
      <c r="AL103" s="11">
        <f>IFERROR(SUM($Q$80:AL$80)/SUM(OEt.w3)*OEt.w3,0)</f>
        <v>0</v>
      </c>
      <c r="AM103" s="11">
        <f>IFERROR(SUM($Q$80:AM$80)/SUM(OEt.w3)*OEt.w3,0)</f>
        <v>0</v>
      </c>
      <c r="AN103" s="11">
        <f>IFERROR(SUM($Q$80:AN$80)/SUM(OEt.w3)*OEt.w3,0)</f>
        <v>0</v>
      </c>
      <c r="AO103" s="11">
        <f>IFERROR(SUM($Q$80:AO$80)/SUM(OEt.w3)*OEt.w3,0)</f>
        <v>0</v>
      </c>
      <c r="AP103" s="11">
        <f>IFERROR(SUM($Q$80:AP$80)/SUM(OEt.w3)*OEt.w3,0)</f>
        <v>0</v>
      </c>
      <c r="AQ103" s="11">
        <f>IFERROR(SUM($Q$80:AQ$80)/SUM(OEt.w3)*OEt.w3,0)</f>
        <v>0</v>
      </c>
      <c r="AR103" s="11">
        <f>IFERROR(SUM($Q$80:AR$80)/SUM(OEt.w3)*OEt.w3,0)</f>
        <v>0</v>
      </c>
      <c r="AS103" s="11">
        <f>IFERROR(SUM($Q$80:AS$80)/SUM(OEt.w3)*OEt.w3,0)</f>
        <v>0</v>
      </c>
      <c r="AT103" s="11">
        <f>IFERROR(SUM($Q$80:AT$80)/SUM(OEt.w3)*OEt.w3,0)</f>
        <v>0</v>
      </c>
      <c r="AU103" s="11">
        <f>IFERROR(SUM($Q$80:AU$80)/SUM(OEt.w3)*OEt.w3,0)</f>
        <v>0</v>
      </c>
      <c r="AV103" s="11">
        <f>IFERROR(SUM($Q$80:AV$80)/SUM(OEt.w3)*OEt.w3,0)</f>
        <v>0</v>
      </c>
      <c r="AW103" s="11">
        <f>IFERROR(SUM($Q$80:AW$80)/SUM(OEt.w3)*OEt.w3,0)</f>
        <v>0</v>
      </c>
      <c r="AX103" s="11">
        <f>IFERROR(SUM($Q$80:AX$80)/SUM(OEt.w3)*OEt.w3,0)</f>
        <v>0</v>
      </c>
      <c r="AY103" s="11">
        <f>IFERROR(SUM($Q$80:AY$80)/SUM(OEt.w3)*OEt.w3,0)</f>
        <v>0</v>
      </c>
      <c r="AZ103" s="11">
        <f>IFERROR(SUM($Q$80:AZ$80)/SUM(OEt.w3)*OEt.w3,0)</f>
        <v>0</v>
      </c>
      <c r="BA103" s="11">
        <f>IFERROR(SUM($Q$80:BA$80)/SUM(OEt.w3)*OEt.w3,0)</f>
        <v>0</v>
      </c>
    </row>
    <row r="104" spans="1:54" ht="15.75" customHeight="1" x14ac:dyDescent="0.35">
      <c r="B104" s="5"/>
      <c r="D104" s="5"/>
      <c r="E104" s="5" t="s">
        <v>158</v>
      </c>
      <c r="F104" s="5"/>
      <c r="G104" s="5"/>
      <c r="H104" s="5"/>
      <c r="I104" s="5"/>
      <c r="J104" s="5"/>
      <c r="K104" s="5"/>
      <c r="N104" s="1">
        <f t="shared" si="62"/>
        <v>0</v>
      </c>
      <c r="Q104" s="11">
        <f t="shared" ref="Q104:BA104" si="69">Q168</f>
        <v>0</v>
      </c>
      <c r="R104" s="11">
        <f t="shared" si="69"/>
        <v>0</v>
      </c>
      <c r="S104" s="11">
        <f t="shared" si="69"/>
        <v>0</v>
      </c>
      <c r="T104" s="11">
        <f t="shared" si="69"/>
        <v>0</v>
      </c>
      <c r="U104" s="11">
        <f t="shared" si="69"/>
        <v>0</v>
      </c>
      <c r="V104" s="11">
        <f t="shared" si="69"/>
        <v>0</v>
      </c>
      <c r="W104" s="11">
        <f t="shared" si="69"/>
        <v>0</v>
      </c>
      <c r="X104" s="11">
        <f t="shared" si="69"/>
        <v>0</v>
      </c>
      <c r="Y104" s="11">
        <f t="shared" si="69"/>
        <v>0</v>
      </c>
      <c r="Z104" s="11">
        <f t="shared" si="69"/>
        <v>0</v>
      </c>
      <c r="AA104" s="11">
        <f t="shared" si="69"/>
        <v>0</v>
      </c>
      <c r="AB104" s="11">
        <f t="shared" si="69"/>
        <v>0</v>
      </c>
      <c r="AC104" s="11">
        <f t="shared" si="69"/>
        <v>0</v>
      </c>
      <c r="AD104" s="11">
        <f t="shared" si="69"/>
        <v>0</v>
      </c>
      <c r="AE104" s="11">
        <f t="shared" si="69"/>
        <v>0</v>
      </c>
      <c r="AF104" s="11">
        <f t="shared" si="69"/>
        <v>0</v>
      </c>
      <c r="AG104" s="11">
        <f t="shared" si="69"/>
        <v>0</v>
      </c>
      <c r="AH104" s="11">
        <f t="shared" si="69"/>
        <v>0</v>
      </c>
      <c r="AI104" s="11">
        <f t="shared" si="69"/>
        <v>0</v>
      </c>
      <c r="AJ104" s="11">
        <f t="shared" si="69"/>
        <v>0</v>
      </c>
      <c r="AK104" s="11">
        <f t="shared" si="69"/>
        <v>0</v>
      </c>
      <c r="AL104" s="11">
        <f t="shared" si="69"/>
        <v>0</v>
      </c>
      <c r="AM104" s="11">
        <f t="shared" si="69"/>
        <v>0</v>
      </c>
      <c r="AN104" s="11">
        <f t="shared" si="69"/>
        <v>0</v>
      </c>
      <c r="AO104" s="11">
        <f t="shared" si="69"/>
        <v>0</v>
      </c>
      <c r="AP104" s="11">
        <f t="shared" si="69"/>
        <v>0</v>
      </c>
      <c r="AQ104" s="11">
        <f t="shared" si="69"/>
        <v>0</v>
      </c>
      <c r="AR104" s="11">
        <f t="shared" si="69"/>
        <v>0</v>
      </c>
      <c r="AS104" s="11">
        <f t="shared" si="69"/>
        <v>0</v>
      </c>
      <c r="AT104" s="11">
        <f t="shared" si="69"/>
        <v>0</v>
      </c>
      <c r="AU104" s="11">
        <f t="shared" si="69"/>
        <v>0</v>
      </c>
      <c r="AV104" s="11">
        <f t="shared" si="69"/>
        <v>0</v>
      </c>
      <c r="AW104" s="11">
        <f t="shared" si="69"/>
        <v>0</v>
      </c>
      <c r="AX104" s="11">
        <f t="shared" si="69"/>
        <v>0</v>
      </c>
      <c r="AY104" s="11">
        <f t="shared" si="69"/>
        <v>0</v>
      </c>
      <c r="AZ104" s="11">
        <f t="shared" si="69"/>
        <v>0</v>
      </c>
      <c r="BA104" s="11">
        <f t="shared" si="69"/>
        <v>0</v>
      </c>
    </row>
    <row r="105" spans="1:54" ht="15.75" customHeight="1" x14ac:dyDescent="0.35">
      <c r="B105" s="5"/>
      <c r="C105" s="5"/>
      <c r="D105" s="5" t="s">
        <v>155</v>
      </c>
      <c r="E105" s="5"/>
      <c r="F105" s="5"/>
      <c r="G105" s="5"/>
      <c r="H105" s="5"/>
      <c r="I105" s="5"/>
      <c r="J105" s="5"/>
      <c r="K105" s="5"/>
      <c r="N105" s="1">
        <f t="shared" si="62"/>
        <v>0</v>
      </c>
      <c r="Q105" s="1">
        <f t="shared" ref="Q105:BA105" si="70">SUM(Q106:Q107)</f>
        <v>0</v>
      </c>
      <c r="R105" s="1">
        <f t="shared" si="70"/>
        <v>0</v>
      </c>
      <c r="S105" s="1">
        <f t="shared" si="70"/>
        <v>0</v>
      </c>
      <c r="T105" s="1">
        <f t="shared" si="70"/>
        <v>0</v>
      </c>
      <c r="U105" s="1">
        <f t="shared" si="70"/>
        <v>0</v>
      </c>
      <c r="V105" s="1">
        <f t="shared" si="70"/>
        <v>0</v>
      </c>
      <c r="W105" s="1">
        <f t="shared" si="70"/>
        <v>0</v>
      </c>
      <c r="X105" s="1">
        <f t="shared" si="70"/>
        <v>0</v>
      </c>
      <c r="Y105" s="1">
        <f t="shared" si="70"/>
        <v>0</v>
      </c>
      <c r="Z105" s="1">
        <f t="shared" si="70"/>
        <v>0</v>
      </c>
      <c r="AA105" s="1">
        <f t="shared" si="70"/>
        <v>0</v>
      </c>
      <c r="AB105" s="1">
        <f t="shared" si="70"/>
        <v>0</v>
      </c>
      <c r="AC105" s="1">
        <f t="shared" si="70"/>
        <v>0</v>
      </c>
      <c r="AD105" s="1">
        <f t="shared" si="70"/>
        <v>0</v>
      </c>
      <c r="AE105" s="1">
        <f t="shared" si="70"/>
        <v>0</v>
      </c>
      <c r="AF105" s="1">
        <f t="shared" si="70"/>
        <v>0</v>
      </c>
      <c r="AG105" s="1">
        <f t="shared" si="70"/>
        <v>0</v>
      </c>
      <c r="AH105" s="1">
        <f t="shared" si="70"/>
        <v>0</v>
      </c>
      <c r="AI105" s="1">
        <f t="shared" si="70"/>
        <v>0</v>
      </c>
      <c r="AJ105" s="1">
        <f t="shared" si="70"/>
        <v>0</v>
      </c>
      <c r="AK105" s="1">
        <f t="shared" si="70"/>
        <v>0</v>
      </c>
      <c r="AL105" s="1">
        <f t="shared" si="70"/>
        <v>0</v>
      </c>
      <c r="AM105" s="1">
        <f t="shared" si="70"/>
        <v>0</v>
      </c>
      <c r="AN105" s="1">
        <f t="shared" si="70"/>
        <v>0</v>
      </c>
      <c r="AO105" s="1">
        <f t="shared" si="70"/>
        <v>0</v>
      </c>
      <c r="AP105" s="1">
        <f t="shared" si="70"/>
        <v>0</v>
      </c>
      <c r="AQ105" s="1">
        <f t="shared" si="70"/>
        <v>0</v>
      </c>
      <c r="AR105" s="1">
        <f t="shared" si="70"/>
        <v>0</v>
      </c>
      <c r="AS105" s="1">
        <f t="shared" si="70"/>
        <v>0</v>
      </c>
      <c r="AT105" s="1">
        <f t="shared" si="70"/>
        <v>0</v>
      </c>
      <c r="AU105" s="1">
        <f t="shared" si="70"/>
        <v>0</v>
      </c>
      <c r="AV105" s="1">
        <f t="shared" si="70"/>
        <v>0</v>
      </c>
      <c r="AW105" s="1">
        <f t="shared" si="70"/>
        <v>0</v>
      </c>
      <c r="AX105" s="1">
        <f t="shared" si="70"/>
        <v>0</v>
      </c>
      <c r="AY105" s="1">
        <f t="shared" si="70"/>
        <v>0</v>
      </c>
      <c r="AZ105" s="1">
        <f t="shared" si="70"/>
        <v>0</v>
      </c>
      <c r="BA105" s="1">
        <f t="shared" si="70"/>
        <v>0</v>
      </c>
    </row>
    <row r="106" spans="1:54" ht="15.75" customHeight="1" x14ac:dyDescent="0.35">
      <c r="B106" s="5"/>
      <c r="D106" s="5"/>
      <c r="E106" s="5" t="s">
        <v>6</v>
      </c>
      <c r="F106" s="5"/>
      <c r="G106" s="5"/>
      <c r="H106" s="5"/>
      <c r="I106" s="5"/>
      <c r="J106" s="5"/>
      <c r="K106" s="5"/>
      <c r="N106" s="1">
        <f t="shared" si="62"/>
        <v>0</v>
      </c>
      <c r="Q106" s="1">
        <f t="shared" ref="Q106:BA107" si="71">Q157</f>
        <v>0</v>
      </c>
      <c r="R106" s="1">
        <f t="shared" si="71"/>
        <v>0</v>
      </c>
      <c r="S106" s="1">
        <f t="shared" si="71"/>
        <v>0</v>
      </c>
      <c r="T106" s="1">
        <f t="shared" si="71"/>
        <v>0</v>
      </c>
      <c r="U106" s="1">
        <f t="shared" si="71"/>
        <v>0</v>
      </c>
      <c r="V106" s="1">
        <f t="shared" si="71"/>
        <v>0</v>
      </c>
      <c r="W106" s="1">
        <f t="shared" si="71"/>
        <v>0</v>
      </c>
      <c r="X106" s="1">
        <f t="shared" si="71"/>
        <v>0</v>
      </c>
      <c r="Y106" s="1">
        <f t="shared" si="71"/>
        <v>0</v>
      </c>
      <c r="Z106" s="1">
        <f t="shared" si="71"/>
        <v>0</v>
      </c>
      <c r="AA106" s="1">
        <f t="shared" si="71"/>
        <v>0</v>
      </c>
      <c r="AB106" s="1">
        <f t="shared" si="71"/>
        <v>0</v>
      </c>
      <c r="AC106" s="1">
        <f t="shared" si="71"/>
        <v>0</v>
      </c>
      <c r="AD106" s="1">
        <f t="shared" si="71"/>
        <v>0</v>
      </c>
      <c r="AE106" s="1">
        <f t="shared" si="71"/>
        <v>0</v>
      </c>
      <c r="AF106" s="1">
        <f t="shared" si="71"/>
        <v>0</v>
      </c>
      <c r="AG106" s="1">
        <f t="shared" si="71"/>
        <v>0</v>
      </c>
      <c r="AH106" s="1">
        <f t="shared" si="71"/>
        <v>0</v>
      </c>
      <c r="AI106" s="1">
        <f t="shared" si="71"/>
        <v>0</v>
      </c>
      <c r="AJ106" s="1">
        <f t="shared" si="71"/>
        <v>0</v>
      </c>
      <c r="AK106" s="1">
        <f t="shared" si="71"/>
        <v>0</v>
      </c>
      <c r="AL106" s="1">
        <f t="shared" si="71"/>
        <v>0</v>
      </c>
      <c r="AM106" s="1">
        <f t="shared" si="71"/>
        <v>0</v>
      </c>
      <c r="AN106" s="1">
        <f t="shared" si="71"/>
        <v>0</v>
      </c>
      <c r="AO106" s="1">
        <f t="shared" si="71"/>
        <v>0</v>
      </c>
      <c r="AP106" s="1">
        <f t="shared" si="71"/>
        <v>0</v>
      </c>
      <c r="AQ106" s="1">
        <f t="shared" si="71"/>
        <v>0</v>
      </c>
      <c r="AR106" s="1">
        <f t="shared" si="71"/>
        <v>0</v>
      </c>
      <c r="AS106" s="1">
        <f t="shared" si="71"/>
        <v>0</v>
      </c>
      <c r="AT106" s="1">
        <f t="shared" si="71"/>
        <v>0</v>
      </c>
      <c r="AU106" s="1">
        <f t="shared" si="71"/>
        <v>0</v>
      </c>
      <c r="AV106" s="1">
        <f t="shared" si="71"/>
        <v>0</v>
      </c>
      <c r="AW106" s="1">
        <f t="shared" si="71"/>
        <v>0</v>
      </c>
      <c r="AX106" s="1">
        <f t="shared" si="71"/>
        <v>0</v>
      </c>
      <c r="AY106" s="1">
        <f t="shared" si="71"/>
        <v>0</v>
      </c>
      <c r="AZ106" s="1">
        <f t="shared" si="71"/>
        <v>0</v>
      </c>
      <c r="BA106" s="1">
        <f t="shared" si="71"/>
        <v>0</v>
      </c>
    </row>
    <row r="107" spans="1:54" ht="15.75" customHeight="1" x14ac:dyDescent="0.35">
      <c r="B107" s="5"/>
      <c r="D107" s="5"/>
      <c r="E107" s="5" t="s">
        <v>142</v>
      </c>
      <c r="F107" s="5"/>
      <c r="G107" s="5"/>
      <c r="H107" s="5"/>
      <c r="I107" s="5"/>
      <c r="J107" s="5"/>
      <c r="K107" s="5"/>
      <c r="N107" s="1">
        <f t="shared" si="62"/>
        <v>0</v>
      </c>
      <c r="Q107" s="1">
        <f t="shared" si="71"/>
        <v>0</v>
      </c>
      <c r="R107" s="1">
        <f t="shared" si="71"/>
        <v>0</v>
      </c>
      <c r="S107" s="1">
        <f t="shared" si="71"/>
        <v>0</v>
      </c>
      <c r="T107" s="1">
        <f t="shared" si="71"/>
        <v>0</v>
      </c>
      <c r="U107" s="1">
        <f t="shared" si="71"/>
        <v>0</v>
      </c>
      <c r="V107" s="1">
        <f t="shared" si="71"/>
        <v>0</v>
      </c>
      <c r="W107" s="1">
        <f t="shared" si="71"/>
        <v>0</v>
      </c>
      <c r="X107" s="1">
        <f t="shared" si="71"/>
        <v>0</v>
      </c>
      <c r="Y107" s="1">
        <f t="shared" si="71"/>
        <v>0</v>
      </c>
      <c r="Z107" s="1">
        <f t="shared" si="71"/>
        <v>0</v>
      </c>
      <c r="AA107" s="1">
        <f t="shared" si="71"/>
        <v>0</v>
      </c>
      <c r="AB107" s="1">
        <f t="shared" si="71"/>
        <v>0</v>
      </c>
      <c r="AC107" s="1">
        <f t="shared" si="71"/>
        <v>0</v>
      </c>
      <c r="AD107" s="1">
        <f t="shared" si="71"/>
        <v>0</v>
      </c>
      <c r="AE107" s="1">
        <f t="shared" si="71"/>
        <v>0</v>
      </c>
      <c r="AF107" s="1">
        <f t="shared" si="71"/>
        <v>0</v>
      </c>
      <c r="AG107" s="1">
        <f t="shared" si="71"/>
        <v>0</v>
      </c>
      <c r="AH107" s="1">
        <f t="shared" si="71"/>
        <v>0</v>
      </c>
      <c r="AI107" s="1">
        <f t="shared" si="71"/>
        <v>0</v>
      </c>
      <c r="AJ107" s="1">
        <f t="shared" si="71"/>
        <v>0</v>
      </c>
      <c r="AK107" s="1">
        <f t="shared" si="71"/>
        <v>0</v>
      </c>
      <c r="AL107" s="1">
        <f t="shared" si="71"/>
        <v>0</v>
      </c>
      <c r="AM107" s="1">
        <f t="shared" si="71"/>
        <v>0</v>
      </c>
      <c r="AN107" s="1">
        <f t="shared" si="71"/>
        <v>0</v>
      </c>
      <c r="AO107" s="1">
        <f t="shared" si="71"/>
        <v>0</v>
      </c>
      <c r="AP107" s="1">
        <f t="shared" si="71"/>
        <v>0</v>
      </c>
      <c r="AQ107" s="1">
        <f t="shared" si="71"/>
        <v>0</v>
      </c>
      <c r="AR107" s="1">
        <f t="shared" si="71"/>
        <v>0</v>
      </c>
      <c r="AS107" s="1">
        <f t="shared" si="71"/>
        <v>0</v>
      </c>
      <c r="AT107" s="1">
        <f t="shared" si="71"/>
        <v>0</v>
      </c>
      <c r="AU107" s="1">
        <f t="shared" si="71"/>
        <v>0</v>
      </c>
      <c r="AV107" s="1">
        <f t="shared" si="71"/>
        <v>0</v>
      </c>
      <c r="AW107" s="1">
        <f t="shared" si="71"/>
        <v>0</v>
      </c>
      <c r="AX107" s="1">
        <f t="shared" si="71"/>
        <v>0</v>
      </c>
      <c r="AY107" s="1">
        <f t="shared" si="71"/>
        <v>0</v>
      </c>
      <c r="AZ107" s="1">
        <f t="shared" si="71"/>
        <v>0</v>
      </c>
      <c r="BA107" s="1">
        <f t="shared" si="71"/>
        <v>0</v>
      </c>
    </row>
    <row r="108" spans="1:54" x14ac:dyDescent="0.35">
      <c r="C108" s="5"/>
    </row>
    <row r="109" spans="1:54" ht="15.75" customHeight="1" thickBot="1" x14ac:dyDescent="0.4">
      <c r="A109" s="44" t="s">
        <v>29</v>
      </c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5"/>
    </row>
    <row r="110" spans="1:54" ht="15" thickTop="1" x14ac:dyDescent="0.35">
      <c r="C110" s="5"/>
    </row>
    <row r="111" spans="1:54" ht="15.75" customHeight="1" x14ac:dyDescent="0.35">
      <c r="B111" s="8" t="s">
        <v>14</v>
      </c>
      <c r="C111" s="9"/>
      <c r="D111" s="9"/>
      <c r="E111" s="9"/>
      <c r="F111" s="9"/>
      <c r="G111" s="9"/>
      <c r="H111" s="9"/>
      <c r="I111" s="9"/>
      <c r="J111" s="9"/>
      <c r="K111" s="9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</row>
    <row r="112" spans="1:54" ht="15.75" customHeight="1" x14ac:dyDescent="0.35">
      <c r="C112" s="5" t="s">
        <v>26</v>
      </c>
      <c r="D112" s="5"/>
      <c r="E112" s="5"/>
      <c r="F112" s="5"/>
      <c r="G112" s="5"/>
      <c r="H112" s="5"/>
      <c r="I112" s="5"/>
      <c r="J112" s="5"/>
      <c r="K112" s="5"/>
      <c r="N112" s="11">
        <f>Q112</f>
        <v>0</v>
      </c>
      <c r="Q112" s="14">
        <v>0</v>
      </c>
      <c r="R112" s="11">
        <f t="shared" ref="R112:BA112" si="72">Q117</f>
        <v>0</v>
      </c>
      <c r="S112" s="11">
        <f t="shared" si="72"/>
        <v>0</v>
      </c>
      <c r="T112" s="11">
        <f t="shared" si="72"/>
        <v>0</v>
      </c>
      <c r="U112" s="11">
        <f t="shared" si="72"/>
        <v>0</v>
      </c>
      <c r="V112" s="11">
        <f t="shared" si="72"/>
        <v>0</v>
      </c>
      <c r="W112" s="11">
        <f t="shared" si="72"/>
        <v>0</v>
      </c>
      <c r="X112" s="11">
        <f t="shared" si="72"/>
        <v>0</v>
      </c>
      <c r="Y112" s="11">
        <f t="shared" si="72"/>
        <v>0</v>
      </c>
      <c r="Z112" s="11">
        <f t="shared" si="72"/>
        <v>0</v>
      </c>
      <c r="AA112" s="11">
        <f t="shared" si="72"/>
        <v>0</v>
      </c>
      <c r="AB112" s="11">
        <f t="shared" si="72"/>
        <v>0</v>
      </c>
      <c r="AC112" s="11">
        <f t="shared" si="72"/>
        <v>0</v>
      </c>
      <c r="AD112" s="11">
        <f t="shared" si="72"/>
        <v>0</v>
      </c>
      <c r="AE112" s="11">
        <f t="shared" si="72"/>
        <v>0</v>
      </c>
      <c r="AF112" s="11">
        <f t="shared" si="72"/>
        <v>0</v>
      </c>
      <c r="AG112" s="11">
        <f t="shared" si="72"/>
        <v>0</v>
      </c>
      <c r="AH112" s="11">
        <f t="shared" si="72"/>
        <v>0</v>
      </c>
      <c r="AI112" s="11">
        <f t="shared" si="72"/>
        <v>0</v>
      </c>
      <c r="AJ112" s="11">
        <f t="shared" si="72"/>
        <v>0</v>
      </c>
      <c r="AK112" s="11">
        <f t="shared" si="72"/>
        <v>0</v>
      </c>
      <c r="AL112" s="11">
        <f t="shared" si="72"/>
        <v>0</v>
      </c>
      <c r="AM112" s="11">
        <f t="shared" si="72"/>
        <v>0</v>
      </c>
      <c r="AN112" s="11">
        <f t="shared" si="72"/>
        <v>0</v>
      </c>
      <c r="AO112" s="11">
        <f t="shared" si="72"/>
        <v>0</v>
      </c>
      <c r="AP112" s="11">
        <f t="shared" si="72"/>
        <v>0</v>
      </c>
      <c r="AQ112" s="11">
        <f t="shared" si="72"/>
        <v>0</v>
      </c>
      <c r="AR112" s="11">
        <f t="shared" si="72"/>
        <v>0</v>
      </c>
      <c r="AS112" s="11">
        <f t="shared" si="72"/>
        <v>0</v>
      </c>
      <c r="AT112" s="11">
        <f t="shared" si="72"/>
        <v>0</v>
      </c>
      <c r="AU112" s="11">
        <f t="shared" si="72"/>
        <v>0</v>
      </c>
      <c r="AV112" s="11">
        <f t="shared" si="72"/>
        <v>0</v>
      </c>
      <c r="AW112" s="11">
        <f t="shared" si="72"/>
        <v>0</v>
      </c>
      <c r="AX112" s="11">
        <f t="shared" si="72"/>
        <v>0</v>
      </c>
      <c r="AY112" s="11">
        <f t="shared" si="72"/>
        <v>0</v>
      </c>
      <c r="AZ112" s="11">
        <f t="shared" si="72"/>
        <v>0</v>
      </c>
      <c r="BA112" s="11">
        <f t="shared" si="72"/>
        <v>0</v>
      </c>
    </row>
    <row r="113" spans="2:53" ht="15.75" customHeight="1" x14ac:dyDescent="0.35">
      <c r="B113" s="5"/>
      <c r="C113" s="5"/>
      <c r="D113" s="5" t="s">
        <v>105</v>
      </c>
      <c r="E113" s="5"/>
      <c r="F113" s="5"/>
      <c r="G113" s="5"/>
      <c r="H113" s="5"/>
      <c r="I113" s="5"/>
      <c r="J113" s="5"/>
      <c r="K113" s="5"/>
      <c r="N113" s="1">
        <f>SUM(Q113:BA113)</f>
        <v>0</v>
      </c>
      <c r="Q113" s="1">
        <f t="shared" ref="Q113:BA113" si="73">Q181</f>
        <v>0</v>
      </c>
      <c r="R113" s="1">
        <f t="shared" si="73"/>
        <v>0</v>
      </c>
      <c r="S113" s="1">
        <f t="shared" si="73"/>
        <v>0</v>
      </c>
      <c r="T113" s="1">
        <f t="shared" si="73"/>
        <v>0</v>
      </c>
      <c r="U113" s="1">
        <f t="shared" si="73"/>
        <v>0</v>
      </c>
      <c r="V113" s="1">
        <f t="shared" si="73"/>
        <v>0</v>
      </c>
      <c r="W113" s="1">
        <f t="shared" si="73"/>
        <v>0</v>
      </c>
      <c r="X113" s="1">
        <f t="shared" si="73"/>
        <v>0</v>
      </c>
      <c r="Y113" s="1">
        <f t="shared" si="73"/>
        <v>0</v>
      </c>
      <c r="Z113" s="1">
        <f t="shared" si="73"/>
        <v>0</v>
      </c>
      <c r="AA113" s="1">
        <f t="shared" si="73"/>
        <v>0</v>
      </c>
      <c r="AB113" s="1">
        <f t="shared" si="73"/>
        <v>0</v>
      </c>
      <c r="AC113" s="1">
        <f t="shared" si="73"/>
        <v>0</v>
      </c>
      <c r="AD113" s="1">
        <f t="shared" si="73"/>
        <v>0</v>
      </c>
      <c r="AE113" s="1">
        <f t="shared" si="73"/>
        <v>0</v>
      </c>
      <c r="AF113" s="1">
        <f t="shared" si="73"/>
        <v>0</v>
      </c>
      <c r="AG113" s="1">
        <f t="shared" si="73"/>
        <v>0</v>
      </c>
      <c r="AH113" s="1">
        <f t="shared" si="73"/>
        <v>0</v>
      </c>
      <c r="AI113" s="1">
        <f t="shared" si="73"/>
        <v>0</v>
      </c>
      <c r="AJ113" s="1">
        <f t="shared" si="73"/>
        <v>0</v>
      </c>
      <c r="AK113" s="1">
        <f t="shared" si="73"/>
        <v>0</v>
      </c>
      <c r="AL113" s="1">
        <f t="shared" si="73"/>
        <v>0</v>
      </c>
      <c r="AM113" s="1">
        <f t="shared" si="73"/>
        <v>0</v>
      </c>
      <c r="AN113" s="1">
        <f t="shared" si="73"/>
        <v>0</v>
      </c>
      <c r="AO113" s="1">
        <f t="shared" si="73"/>
        <v>0</v>
      </c>
      <c r="AP113" s="1">
        <f t="shared" si="73"/>
        <v>0</v>
      </c>
      <c r="AQ113" s="1">
        <f t="shared" si="73"/>
        <v>0</v>
      </c>
      <c r="AR113" s="1">
        <f t="shared" si="73"/>
        <v>0</v>
      </c>
      <c r="AS113" s="1">
        <f t="shared" si="73"/>
        <v>0</v>
      </c>
      <c r="AT113" s="1">
        <f t="shared" si="73"/>
        <v>0</v>
      </c>
      <c r="AU113" s="1">
        <f t="shared" si="73"/>
        <v>0</v>
      </c>
      <c r="AV113" s="1">
        <f t="shared" si="73"/>
        <v>0</v>
      </c>
      <c r="AW113" s="1">
        <f t="shared" si="73"/>
        <v>0</v>
      </c>
      <c r="AX113" s="1">
        <f t="shared" si="73"/>
        <v>0</v>
      </c>
      <c r="AY113" s="1">
        <f t="shared" si="73"/>
        <v>0</v>
      </c>
      <c r="AZ113" s="1">
        <f t="shared" si="73"/>
        <v>0</v>
      </c>
      <c r="BA113" s="1">
        <f t="shared" si="73"/>
        <v>0</v>
      </c>
    </row>
    <row r="114" spans="2:53" ht="15.75" customHeight="1" x14ac:dyDescent="0.35">
      <c r="B114" s="5"/>
      <c r="C114" s="5"/>
      <c r="D114" s="5" t="s">
        <v>46</v>
      </c>
      <c r="E114" s="5"/>
      <c r="F114" s="5"/>
      <c r="G114" s="5"/>
      <c r="H114" s="5"/>
      <c r="I114" s="5"/>
      <c r="J114" s="5"/>
      <c r="K114" s="5"/>
      <c r="N114" s="1">
        <f>SUM(Q114:BA114)</f>
        <v>0</v>
      </c>
      <c r="Q114" s="1">
        <f t="shared" ref="Q114:BA114" si="74">Q21</f>
        <v>0</v>
      </c>
      <c r="R114" s="1">
        <f t="shared" si="74"/>
        <v>0</v>
      </c>
      <c r="S114" s="1">
        <f t="shared" si="74"/>
        <v>0</v>
      </c>
      <c r="T114" s="1">
        <f t="shared" si="74"/>
        <v>0</v>
      </c>
      <c r="U114" s="1">
        <f t="shared" si="74"/>
        <v>0</v>
      </c>
      <c r="V114" s="1">
        <f t="shared" si="74"/>
        <v>0</v>
      </c>
      <c r="W114" s="1">
        <f t="shared" si="74"/>
        <v>0</v>
      </c>
      <c r="X114" s="1">
        <f t="shared" si="74"/>
        <v>0</v>
      </c>
      <c r="Y114" s="1">
        <f t="shared" si="74"/>
        <v>0</v>
      </c>
      <c r="Z114" s="1">
        <f t="shared" si="74"/>
        <v>0</v>
      </c>
      <c r="AA114" s="1">
        <f t="shared" si="74"/>
        <v>0</v>
      </c>
      <c r="AB114" s="1">
        <f t="shared" si="74"/>
        <v>0</v>
      </c>
      <c r="AC114" s="1">
        <f t="shared" si="74"/>
        <v>0</v>
      </c>
      <c r="AD114" s="1">
        <f t="shared" si="74"/>
        <v>0</v>
      </c>
      <c r="AE114" s="1">
        <f t="shared" si="74"/>
        <v>0</v>
      </c>
      <c r="AF114" s="1">
        <f t="shared" si="74"/>
        <v>0</v>
      </c>
      <c r="AG114" s="1">
        <f t="shared" si="74"/>
        <v>0</v>
      </c>
      <c r="AH114" s="1">
        <f t="shared" si="74"/>
        <v>0</v>
      </c>
      <c r="AI114" s="1">
        <f t="shared" si="74"/>
        <v>0</v>
      </c>
      <c r="AJ114" s="1">
        <f t="shared" si="74"/>
        <v>0</v>
      </c>
      <c r="AK114" s="1">
        <f t="shared" si="74"/>
        <v>0</v>
      </c>
      <c r="AL114" s="1">
        <f t="shared" si="74"/>
        <v>0</v>
      </c>
      <c r="AM114" s="1">
        <f t="shared" si="74"/>
        <v>0</v>
      </c>
      <c r="AN114" s="1">
        <f t="shared" si="74"/>
        <v>0</v>
      </c>
      <c r="AO114" s="1">
        <f t="shared" si="74"/>
        <v>0</v>
      </c>
      <c r="AP114" s="1">
        <f t="shared" si="74"/>
        <v>0</v>
      </c>
      <c r="AQ114" s="1">
        <f t="shared" si="74"/>
        <v>0</v>
      </c>
      <c r="AR114" s="1">
        <f t="shared" si="74"/>
        <v>0</v>
      </c>
      <c r="AS114" s="1">
        <f t="shared" si="74"/>
        <v>0</v>
      </c>
      <c r="AT114" s="1">
        <f t="shared" si="74"/>
        <v>0</v>
      </c>
      <c r="AU114" s="1">
        <f t="shared" si="74"/>
        <v>0</v>
      </c>
      <c r="AV114" s="1">
        <f t="shared" si="74"/>
        <v>0</v>
      </c>
      <c r="AW114" s="1">
        <f t="shared" si="74"/>
        <v>0</v>
      </c>
      <c r="AX114" s="1">
        <f t="shared" si="74"/>
        <v>0</v>
      </c>
      <c r="AY114" s="1">
        <f t="shared" si="74"/>
        <v>0</v>
      </c>
      <c r="AZ114" s="1">
        <f t="shared" si="74"/>
        <v>0</v>
      </c>
      <c r="BA114" s="1">
        <f t="shared" si="74"/>
        <v>0</v>
      </c>
    </row>
    <row r="115" spans="2:53" ht="15.75" customHeight="1" x14ac:dyDescent="0.35">
      <c r="B115" s="5"/>
      <c r="C115" s="5"/>
      <c r="D115" s="5" t="s">
        <v>47</v>
      </c>
      <c r="E115" s="5"/>
      <c r="F115" s="5"/>
      <c r="G115" s="5"/>
      <c r="H115" s="5"/>
      <c r="I115" s="5"/>
      <c r="J115" s="5"/>
      <c r="K115" s="5"/>
      <c r="N115" s="1">
        <f>SUM(Q115:BA115)</f>
        <v>0</v>
      </c>
      <c r="Q115" s="1">
        <f t="shared" ref="Q115:BA115" si="75">Q194</f>
        <v>0</v>
      </c>
      <c r="R115" s="1">
        <f t="shared" si="75"/>
        <v>0</v>
      </c>
      <c r="S115" s="1">
        <f t="shared" si="75"/>
        <v>0</v>
      </c>
      <c r="T115" s="1">
        <f t="shared" si="75"/>
        <v>0</v>
      </c>
      <c r="U115" s="1">
        <f t="shared" si="75"/>
        <v>0</v>
      </c>
      <c r="V115" s="1">
        <f t="shared" si="75"/>
        <v>0</v>
      </c>
      <c r="W115" s="1">
        <f t="shared" si="75"/>
        <v>0</v>
      </c>
      <c r="X115" s="1">
        <f t="shared" si="75"/>
        <v>0</v>
      </c>
      <c r="Y115" s="1">
        <f t="shared" si="75"/>
        <v>0</v>
      </c>
      <c r="Z115" s="1">
        <f t="shared" si="75"/>
        <v>0</v>
      </c>
      <c r="AA115" s="1">
        <f t="shared" si="75"/>
        <v>0</v>
      </c>
      <c r="AB115" s="1">
        <f t="shared" si="75"/>
        <v>0</v>
      </c>
      <c r="AC115" s="1">
        <f t="shared" si="75"/>
        <v>0</v>
      </c>
      <c r="AD115" s="1">
        <f t="shared" si="75"/>
        <v>0</v>
      </c>
      <c r="AE115" s="1">
        <f t="shared" si="75"/>
        <v>0</v>
      </c>
      <c r="AF115" s="1">
        <f t="shared" si="75"/>
        <v>0</v>
      </c>
      <c r="AG115" s="1">
        <f t="shared" si="75"/>
        <v>0</v>
      </c>
      <c r="AH115" s="1">
        <f t="shared" si="75"/>
        <v>0</v>
      </c>
      <c r="AI115" s="1">
        <f t="shared" si="75"/>
        <v>0</v>
      </c>
      <c r="AJ115" s="1">
        <f t="shared" si="75"/>
        <v>0</v>
      </c>
      <c r="AK115" s="1">
        <f t="shared" si="75"/>
        <v>0</v>
      </c>
      <c r="AL115" s="1">
        <f t="shared" si="75"/>
        <v>0</v>
      </c>
      <c r="AM115" s="1">
        <f t="shared" si="75"/>
        <v>0</v>
      </c>
      <c r="AN115" s="1">
        <f t="shared" si="75"/>
        <v>0</v>
      </c>
      <c r="AO115" s="1">
        <f t="shared" si="75"/>
        <v>0</v>
      </c>
      <c r="AP115" s="1">
        <f t="shared" si="75"/>
        <v>0</v>
      </c>
      <c r="AQ115" s="1">
        <f t="shared" si="75"/>
        <v>0</v>
      </c>
      <c r="AR115" s="1">
        <f t="shared" si="75"/>
        <v>0</v>
      </c>
      <c r="AS115" s="1">
        <f t="shared" si="75"/>
        <v>0</v>
      </c>
      <c r="AT115" s="1">
        <f t="shared" si="75"/>
        <v>0</v>
      </c>
      <c r="AU115" s="1">
        <f t="shared" si="75"/>
        <v>0</v>
      </c>
      <c r="AV115" s="1">
        <f t="shared" si="75"/>
        <v>0</v>
      </c>
      <c r="AW115" s="1">
        <f t="shared" si="75"/>
        <v>0</v>
      </c>
      <c r="AX115" s="1">
        <f t="shared" si="75"/>
        <v>0</v>
      </c>
      <c r="AY115" s="1">
        <f t="shared" si="75"/>
        <v>0</v>
      </c>
      <c r="AZ115" s="1">
        <f t="shared" si="75"/>
        <v>0</v>
      </c>
      <c r="BA115" s="1">
        <f t="shared" si="75"/>
        <v>0</v>
      </c>
    </row>
    <row r="116" spans="2:53" ht="15.75" customHeight="1" x14ac:dyDescent="0.35">
      <c r="B116" s="5"/>
      <c r="C116" s="5"/>
      <c r="D116" s="5" t="s">
        <v>48</v>
      </c>
      <c r="E116" s="5"/>
      <c r="F116" s="5"/>
      <c r="G116" s="5"/>
      <c r="H116" s="5"/>
      <c r="I116" s="5"/>
      <c r="J116" s="5"/>
      <c r="K116" s="5"/>
      <c r="N116" s="1">
        <f>SUM(Q116:BA116)</f>
        <v>0</v>
      </c>
      <c r="Q116" s="1">
        <f t="shared" ref="Q116:BA116" si="76">Q200</f>
        <v>0</v>
      </c>
      <c r="R116" s="1">
        <f t="shared" si="76"/>
        <v>0</v>
      </c>
      <c r="S116" s="1">
        <f t="shared" si="76"/>
        <v>0</v>
      </c>
      <c r="T116" s="1">
        <f t="shared" si="76"/>
        <v>0</v>
      </c>
      <c r="U116" s="1">
        <f t="shared" si="76"/>
        <v>0</v>
      </c>
      <c r="V116" s="1">
        <f t="shared" si="76"/>
        <v>0</v>
      </c>
      <c r="W116" s="1">
        <f t="shared" si="76"/>
        <v>0</v>
      </c>
      <c r="X116" s="1">
        <f t="shared" si="76"/>
        <v>0</v>
      </c>
      <c r="Y116" s="1">
        <f t="shared" si="76"/>
        <v>0</v>
      </c>
      <c r="Z116" s="1">
        <f t="shared" si="76"/>
        <v>0</v>
      </c>
      <c r="AA116" s="1">
        <f t="shared" si="76"/>
        <v>0</v>
      </c>
      <c r="AB116" s="1">
        <f t="shared" si="76"/>
        <v>0</v>
      </c>
      <c r="AC116" s="1">
        <f t="shared" si="76"/>
        <v>0</v>
      </c>
      <c r="AD116" s="1">
        <f t="shared" si="76"/>
        <v>0</v>
      </c>
      <c r="AE116" s="1">
        <f t="shared" si="76"/>
        <v>0</v>
      </c>
      <c r="AF116" s="1">
        <f t="shared" si="76"/>
        <v>0</v>
      </c>
      <c r="AG116" s="1">
        <f t="shared" si="76"/>
        <v>0</v>
      </c>
      <c r="AH116" s="1">
        <f t="shared" si="76"/>
        <v>0</v>
      </c>
      <c r="AI116" s="1">
        <f t="shared" si="76"/>
        <v>0</v>
      </c>
      <c r="AJ116" s="1">
        <f t="shared" si="76"/>
        <v>0</v>
      </c>
      <c r="AK116" s="1">
        <f t="shared" si="76"/>
        <v>0</v>
      </c>
      <c r="AL116" s="1">
        <f t="shared" si="76"/>
        <v>0</v>
      </c>
      <c r="AM116" s="1">
        <f t="shared" si="76"/>
        <v>0</v>
      </c>
      <c r="AN116" s="1">
        <f t="shared" si="76"/>
        <v>0</v>
      </c>
      <c r="AO116" s="1">
        <f t="shared" si="76"/>
        <v>0</v>
      </c>
      <c r="AP116" s="1">
        <f t="shared" si="76"/>
        <v>0</v>
      </c>
      <c r="AQ116" s="1">
        <f t="shared" si="76"/>
        <v>0</v>
      </c>
      <c r="AR116" s="1">
        <f t="shared" si="76"/>
        <v>0</v>
      </c>
      <c r="AS116" s="1">
        <f t="shared" si="76"/>
        <v>0</v>
      </c>
      <c r="AT116" s="1">
        <f t="shared" si="76"/>
        <v>0</v>
      </c>
      <c r="AU116" s="1">
        <f t="shared" si="76"/>
        <v>0</v>
      </c>
      <c r="AV116" s="1">
        <f t="shared" si="76"/>
        <v>0</v>
      </c>
      <c r="AW116" s="1">
        <f t="shared" si="76"/>
        <v>0</v>
      </c>
      <c r="AX116" s="1">
        <f t="shared" si="76"/>
        <v>0</v>
      </c>
      <c r="AY116" s="1">
        <f t="shared" si="76"/>
        <v>0</v>
      </c>
      <c r="AZ116" s="1">
        <f t="shared" si="76"/>
        <v>0</v>
      </c>
      <c r="BA116" s="1">
        <f t="shared" si="76"/>
        <v>0</v>
      </c>
    </row>
    <row r="117" spans="2:53" ht="15.75" customHeight="1" x14ac:dyDescent="0.35">
      <c r="C117" s="5" t="s">
        <v>27</v>
      </c>
      <c r="D117" s="5"/>
      <c r="E117" s="5"/>
      <c r="F117" s="5"/>
      <c r="G117" s="5"/>
      <c r="H117" s="5"/>
      <c r="I117" s="5"/>
      <c r="J117" s="5"/>
      <c r="K117" s="5"/>
      <c r="N117" s="1">
        <f>BA117</f>
        <v>0</v>
      </c>
      <c r="Q117" s="1">
        <f t="shared" ref="Q117:BA117" si="77">SUM(Q112:Q116)</f>
        <v>0</v>
      </c>
      <c r="R117" s="1">
        <f t="shared" si="77"/>
        <v>0</v>
      </c>
      <c r="S117" s="1">
        <f t="shared" si="77"/>
        <v>0</v>
      </c>
      <c r="T117" s="1">
        <f t="shared" si="77"/>
        <v>0</v>
      </c>
      <c r="U117" s="1">
        <f t="shared" si="77"/>
        <v>0</v>
      </c>
      <c r="V117" s="1">
        <f t="shared" si="77"/>
        <v>0</v>
      </c>
      <c r="W117" s="1">
        <f t="shared" si="77"/>
        <v>0</v>
      </c>
      <c r="X117" s="1">
        <f t="shared" si="77"/>
        <v>0</v>
      </c>
      <c r="Y117" s="1">
        <f t="shared" si="77"/>
        <v>0</v>
      </c>
      <c r="Z117" s="1">
        <f t="shared" si="77"/>
        <v>0</v>
      </c>
      <c r="AA117" s="1">
        <f t="shared" si="77"/>
        <v>0</v>
      </c>
      <c r="AB117" s="1">
        <f t="shared" si="77"/>
        <v>0</v>
      </c>
      <c r="AC117" s="1">
        <f t="shared" si="77"/>
        <v>0</v>
      </c>
      <c r="AD117" s="1">
        <f t="shared" si="77"/>
        <v>0</v>
      </c>
      <c r="AE117" s="1">
        <f t="shared" si="77"/>
        <v>0</v>
      </c>
      <c r="AF117" s="1">
        <f t="shared" si="77"/>
        <v>0</v>
      </c>
      <c r="AG117" s="1">
        <f t="shared" si="77"/>
        <v>0</v>
      </c>
      <c r="AH117" s="1">
        <f t="shared" si="77"/>
        <v>0</v>
      </c>
      <c r="AI117" s="1">
        <f t="shared" si="77"/>
        <v>0</v>
      </c>
      <c r="AJ117" s="1">
        <f t="shared" si="77"/>
        <v>0</v>
      </c>
      <c r="AK117" s="1">
        <f t="shared" si="77"/>
        <v>0</v>
      </c>
      <c r="AL117" s="1">
        <f t="shared" si="77"/>
        <v>0</v>
      </c>
      <c r="AM117" s="1">
        <f t="shared" si="77"/>
        <v>0</v>
      </c>
      <c r="AN117" s="1">
        <f t="shared" si="77"/>
        <v>0</v>
      </c>
      <c r="AO117" s="1">
        <f t="shared" si="77"/>
        <v>0</v>
      </c>
      <c r="AP117" s="1">
        <f t="shared" si="77"/>
        <v>0</v>
      </c>
      <c r="AQ117" s="1">
        <f t="shared" si="77"/>
        <v>0</v>
      </c>
      <c r="AR117" s="1">
        <f t="shared" si="77"/>
        <v>0</v>
      </c>
      <c r="AS117" s="1">
        <f t="shared" si="77"/>
        <v>0</v>
      </c>
      <c r="AT117" s="1">
        <f t="shared" si="77"/>
        <v>0</v>
      </c>
      <c r="AU117" s="1">
        <f t="shared" si="77"/>
        <v>0</v>
      </c>
      <c r="AV117" s="1">
        <f t="shared" si="77"/>
        <v>0</v>
      </c>
      <c r="AW117" s="1">
        <f t="shared" si="77"/>
        <v>0</v>
      </c>
      <c r="AX117" s="1">
        <f t="shared" si="77"/>
        <v>0</v>
      </c>
      <c r="AY117" s="1">
        <f t="shared" si="77"/>
        <v>0</v>
      </c>
      <c r="AZ117" s="1">
        <f t="shared" si="77"/>
        <v>0</v>
      </c>
      <c r="BA117" s="1">
        <f t="shared" si="77"/>
        <v>0</v>
      </c>
    </row>
    <row r="118" spans="2:53" x14ac:dyDescent="0.35">
      <c r="C118" s="5"/>
    </row>
    <row r="119" spans="2:53" ht="17.25" customHeight="1" x14ac:dyDescent="0.35">
      <c r="C119" s="8" t="s">
        <v>118</v>
      </c>
      <c r="D119" s="8"/>
      <c r="E119" s="9"/>
      <c r="F119" s="9"/>
      <c r="G119" s="9"/>
      <c r="H119" s="9"/>
      <c r="I119" s="9"/>
      <c r="J119" s="9"/>
      <c r="K119" s="9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</row>
    <row r="120" spans="2:53" ht="15.75" customHeight="1" x14ac:dyDescent="0.35">
      <c r="D120" s="2" t="s">
        <v>26</v>
      </c>
      <c r="E120" s="5"/>
      <c r="F120" s="5"/>
      <c r="G120" s="5"/>
      <c r="H120" s="5"/>
      <c r="I120" s="5"/>
      <c r="J120" s="5"/>
      <c r="K120" s="5"/>
      <c r="N120" s="11">
        <f>Q120</f>
        <v>0</v>
      </c>
      <c r="Q120" s="14">
        <v>0</v>
      </c>
      <c r="R120" s="11">
        <f t="shared" ref="R120:BA120" si="78">Q130</f>
        <v>0</v>
      </c>
      <c r="S120" s="11">
        <f t="shared" si="78"/>
        <v>0</v>
      </c>
      <c r="T120" s="11">
        <f t="shared" si="78"/>
        <v>0</v>
      </c>
      <c r="U120" s="11">
        <f t="shared" si="78"/>
        <v>0</v>
      </c>
      <c r="V120" s="11">
        <f t="shared" si="78"/>
        <v>0</v>
      </c>
      <c r="W120" s="11">
        <f t="shared" si="78"/>
        <v>0</v>
      </c>
      <c r="X120" s="11">
        <f t="shared" si="78"/>
        <v>0</v>
      </c>
      <c r="Y120" s="11">
        <f t="shared" si="78"/>
        <v>0</v>
      </c>
      <c r="Z120" s="11">
        <f t="shared" si="78"/>
        <v>0</v>
      </c>
      <c r="AA120" s="11">
        <f t="shared" si="78"/>
        <v>0</v>
      </c>
      <c r="AB120" s="11">
        <f t="shared" si="78"/>
        <v>0</v>
      </c>
      <c r="AC120" s="11">
        <f t="shared" si="78"/>
        <v>0</v>
      </c>
      <c r="AD120" s="11">
        <f t="shared" si="78"/>
        <v>0</v>
      </c>
      <c r="AE120" s="11">
        <f t="shared" si="78"/>
        <v>0</v>
      </c>
      <c r="AF120" s="11">
        <f t="shared" si="78"/>
        <v>0</v>
      </c>
      <c r="AG120" s="11">
        <f t="shared" si="78"/>
        <v>0</v>
      </c>
      <c r="AH120" s="11">
        <f t="shared" si="78"/>
        <v>0</v>
      </c>
      <c r="AI120" s="11">
        <f t="shared" si="78"/>
        <v>0</v>
      </c>
      <c r="AJ120" s="11">
        <f t="shared" si="78"/>
        <v>0</v>
      </c>
      <c r="AK120" s="11">
        <f t="shared" si="78"/>
        <v>0</v>
      </c>
      <c r="AL120" s="11">
        <f t="shared" si="78"/>
        <v>0</v>
      </c>
      <c r="AM120" s="11">
        <f t="shared" si="78"/>
        <v>0</v>
      </c>
      <c r="AN120" s="11">
        <f t="shared" si="78"/>
        <v>0</v>
      </c>
      <c r="AO120" s="11">
        <f t="shared" si="78"/>
        <v>0</v>
      </c>
      <c r="AP120" s="11">
        <f t="shared" si="78"/>
        <v>0</v>
      </c>
      <c r="AQ120" s="11">
        <f t="shared" si="78"/>
        <v>0</v>
      </c>
      <c r="AR120" s="11">
        <f t="shared" si="78"/>
        <v>0</v>
      </c>
      <c r="AS120" s="11">
        <f t="shared" si="78"/>
        <v>0</v>
      </c>
      <c r="AT120" s="11">
        <f t="shared" si="78"/>
        <v>0</v>
      </c>
      <c r="AU120" s="11">
        <f t="shared" si="78"/>
        <v>0</v>
      </c>
      <c r="AV120" s="11">
        <f t="shared" si="78"/>
        <v>0</v>
      </c>
      <c r="AW120" s="11">
        <f t="shared" si="78"/>
        <v>0</v>
      </c>
      <c r="AX120" s="11">
        <f t="shared" si="78"/>
        <v>0</v>
      </c>
      <c r="AY120" s="11">
        <f t="shared" si="78"/>
        <v>0</v>
      </c>
      <c r="AZ120" s="11">
        <f t="shared" si="78"/>
        <v>0</v>
      </c>
      <c r="BA120" s="11">
        <f t="shared" si="78"/>
        <v>0</v>
      </c>
    </row>
    <row r="121" spans="2:53" ht="15.75" customHeight="1" x14ac:dyDescent="0.35">
      <c r="E121" s="5" t="s">
        <v>30</v>
      </c>
      <c r="F121" s="5"/>
      <c r="G121" s="5"/>
      <c r="H121" s="5"/>
      <c r="I121" s="5"/>
      <c r="J121" s="5"/>
      <c r="K121" s="5"/>
      <c r="N121" s="1">
        <f t="shared" ref="N121:N129" si="79">SUM(Q121:BA121)</f>
        <v>0</v>
      </c>
      <c r="Q121" s="1">
        <f t="shared" ref="Q121:BA121" si="80">SUM(Q122:Q125)</f>
        <v>0</v>
      </c>
      <c r="R121" s="1">
        <f t="shared" si="80"/>
        <v>0</v>
      </c>
      <c r="S121" s="1">
        <f t="shared" si="80"/>
        <v>0</v>
      </c>
      <c r="T121" s="1">
        <f t="shared" si="80"/>
        <v>0</v>
      </c>
      <c r="U121" s="1">
        <f t="shared" si="80"/>
        <v>0</v>
      </c>
      <c r="V121" s="1">
        <f t="shared" si="80"/>
        <v>0</v>
      </c>
      <c r="W121" s="1">
        <f t="shared" si="80"/>
        <v>0</v>
      </c>
      <c r="X121" s="1">
        <f t="shared" si="80"/>
        <v>0</v>
      </c>
      <c r="Y121" s="1">
        <f t="shared" si="80"/>
        <v>0</v>
      </c>
      <c r="Z121" s="1">
        <f t="shared" si="80"/>
        <v>0</v>
      </c>
      <c r="AA121" s="1">
        <f t="shared" si="80"/>
        <v>0</v>
      </c>
      <c r="AB121" s="1">
        <f t="shared" si="80"/>
        <v>0</v>
      </c>
      <c r="AC121" s="1">
        <f t="shared" si="80"/>
        <v>0</v>
      </c>
      <c r="AD121" s="1">
        <f t="shared" si="80"/>
        <v>0</v>
      </c>
      <c r="AE121" s="1">
        <f t="shared" si="80"/>
        <v>0</v>
      </c>
      <c r="AF121" s="1">
        <f t="shared" si="80"/>
        <v>0</v>
      </c>
      <c r="AG121" s="1">
        <f t="shared" si="80"/>
        <v>0</v>
      </c>
      <c r="AH121" s="1">
        <f t="shared" si="80"/>
        <v>0</v>
      </c>
      <c r="AI121" s="1">
        <f t="shared" si="80"/>
        <v>0</v>
      </c>
      <c r="AJ121" s="1">
        <f t="shared" si="80"/>
        <v>0</v>
      </c>
      <c r="AK121" s="1">
        <f t="shared" si="80"/>
        <v>0</v>
      </c>
      <c r="AL121" s="1">
        <f t="shared" si="80"/>
        <v>0</v>
      </c>
      <c r="AM121" s="1">
        <f t="shared" si="80"/>
        <v>0</v>
      </c>
      <c r="AN121" s="1">
        <f t="shared" si="80"/>
        <v>0</v>
      </c>
      <c r="AO121" s="1">
        <f t="shared" si="80"/>
        <v>0</v>
      </c>
      <c r="AP121" s="1">
        <f t="shared" si="80"/>
        <v>0</v>
      </c>
      <c r="AQ121" s="1">
        <f t="shared" si="80"/>
        <v>0</v>
      </c>
      <c r="AR121" s="1">
        <f t="shared" si="80"/>
        <v>0</v>
      </c>
      <c r="AS121" s="1">
        <f t="shared" si="80"/>
        <v>0</v>
      </c>
      <c r="AT121" s="1">
        <f t="shared" si="80"/>
        <v>0</v>
      </c>
      <c r="AU121" s="1">
        <f t="shared" si="80"/>
        <v>0</v>
      </c>
      <c r="AV121" s="1">
        <f t="shared" si="80"/>
        <v>0</v>
      </c>
      <c r="AW121" s="1">
        <f t="shared" si="80"/>
        <v>0</v>
      </c>
      <c r="AX121" s="1">
        <f t="shared" si="80"/>
        <v>0</v>
      </c>
      <c r="AY121" s="1">
        <f t="shared" si="80"/>
        <v>0</v>
      </c>
      <c r="AZ121" s="1">
        <f t="shared" si="80"/>
        <v>0</v>
      </c>
      <c r="BA121" s="1">
        <f t="shared" si="80"/>
        <v>0</v>
      </c>
    </row>
    <row r="122" spans="2:53" ht="15.75" customHeight="1" x14ac:dyDescent="0.35">
      <c r="F122" s="5" t="s">
        <v>67</v>
      </c>
      <c r="G122" s="5"/>
      <c r="H122" s="5"/>
      <c r="I122" s="5"/>
      <c r="J122" s="5"/>
      <c r="K122" s="5"/>
      <c r="N122" s="1">
        <f t="shared" si="79"/>
        <v>0</v>
      </c>
      <c r="Q122" s="1">
        <f t="shared" ref="Q122:BA122" si="81">Q183</f>
        <v>0</v>
      </c>
      <c r="R122" s="1">
        <f t="shared" si="81"/>
        <v>0</v>
      </c>
      <c r="S122" s="1">
        <f t="shared" si="81"/>
        <v>0</v>
      </c>
      <c r="T122" s="1">
        <f t="shared" si="81"/>
        <v>0</v>
      </c>
      <c r="U122" s="1">
        <f t="shared" si="81"/>
        <v>0</v>
      </c>
      <c r="V122" s="1">
        <f t="shared" si="81"/>
        <v>0</v>
      </c>
      <c r="W122" s="1">
        <f t="shared" si="81"/>
        <v>0</v>
      </c>
      <c r="X122" s="1">
        <f t="shared" si="81"/>
        <v>0</v>
      </c>
      <c r="Y122" s="1">
        <f t="shared" si="81"/>
        <v>0</v>
      </c>
      <c r="Z122" s="1">
        <f t="shared" si="81"/>
        <v>0</v>
      </c>
      <c r="AA122" s="1">
        <f t="shared" si="81"/>
        <v>0</v>
      </c>
      <c r="AB122" s="1">
        <f t="shared" si="81"/>
        <v>0</v>
      </c>
      <c r="AC122" s="1">
        <f t="shared" si="81"/>
        <v>0</v>
      </c>
      <c r="AD122" s="1">
        <f t="shared" si="81"/>
        <v>0</v>
      </c>
      <c r="AE122" s="1">
        <f t="shared" si="81"/>
        <v>0</v>
      </c>
      <c r="AF122" s="1">
        <f t="shared" si="81"/>
        <v>0</v>
      </c>
      <c r="AG122" s="1">
        <f t="shared" si="81"/>
        <v>0</v>
      </c>
      <c r="AH122" s="1">
        <f t="shared" si="81"/>
        <v>0</v>
      </c>
      <c r="AI122" s="1">
        <f t="shared" si="81"/>
        <v>0</v>
      </c>
      <c r="AJ122" s="1">
        <f t="shared" si="81"/>
        <v>0</v>
      </c>
      <c r="AK122" s="1">
        <f t="shared" si="81"/>
        <v>0</v>
      </c>
      <c r="AL122" s="1">
        <f t="shared" si="81"/>
        <v>0</v>
      </c>
      <c r="AM122" s="1">
        <f t="shared" si="81"/>
        <v>0</v>
      </c>
      <c r="AN122" s="1">
        <f t="shared" si="81"/>
        <v>0</v>
      </c>
      <c r="AO122" s="1">
        <f t="shared" si="81"/>
        <v>0</v>
      </c>
      <c r="AP122" s="1">
        <f t="shared" si="81"/>
        <v>0</v>
      </c>
      <c r="AQ122" s="1">
        <f t="shared" si="81"/>
        <v>0</v>
      </c>
      <c r="AR122" s="1">
        <f t="shared" si="81"/>
        <v>0</v>
      </c>
      <c r="AS122" s="1">
        <f t="shared" si="81"/>
        <v>0</v>
      </c>
      <c r="AT122" s="1">
        <f t="shared" si="81"/>
        <v>0</v>
      </c>
      <c r="AU122" s="1">
        <f t="shared" si="81"/>
        <v>0</v>
      </c>
      <c r="AV122" s="1">
        <f t="shared" si="81"/>
        <v>0</v>
      </c>
      <c r="AW122" s="1">
        <f t="shared" si="81"/>
        <v>0</v>
      </c>
      <c r="AX122" s="1">
        <f t="shared" si="81"/>
        <v>0</v>
      </c>
      <c r="AY122" s="1">
        <f t="shared" si="81"/>
        <v>0</v>
      </c>
      <c r="AZ122" s="1">
        <f t="shared" si="81"/>
        <v>0</v>
      </c>
      <c r="BA122" s="1">
        <f t="shared" si="81"/>
        <v>0</v>
      </c>
    </row>
    <row r="123" spans="2:53" ht="15.75" customHeight="1" x14ac:dyDescent="0.35">
      <c r="F123" s="5" t="s">
        <v>71</v>
      </c>
      <c r="G123" s="5"/>
      <c r="H123" s="5"/>
      <c r="I123" s="5"/>
      <c r="J123" s="5"/>
      <c r="K123" s="5"/>
      <c r="N123" s="1">
        <f t="shared" si="79"/>
        <v>0</v>
      </c>
      <c r="Q123" s="1">
        <f>SUM($Q$175:$BA$175)*'zakładka techniczna'!$N$20*'zakładka techniczna'!$N$25*OPp.w3</f>
        <v>0</v>
      </c>
      <c r="R123" s="1">
        <f>SUM($Q$175:$BA$175)*'zakładka techniczna'!$N$20*'zakładka techniczna'!$N$25*OPp.w3</f>
        <v>0</v>
      </c>
      <c r="S123" s="1">
        <f>SUM($Q$175:$BA$175)*'zakładka techniczna'!$N$20*'zakładka techniczna'!$N$25*OPp.w3</f>
        <v>0</v>
      </c>
      <c r="T123" s="1">
        <f>SUM($Q$175:$BA$175)*'zakładka techniczna'!$N$20*'zakładka techniczna'!$N$25*OPp.w3</f>
        <v>0</v>
      </c>
      <c r="U123" s="1">
        <f>SUM($Q$175:$BA$175)*'zakładka techniczna'!$N$20*'zakładka techniczna'!$N$25*OPp.w3</f>
        <v>0</v>
      </c>
      <c r="V123" s="1">
        <f>SUM($Q$175:$BA$175)*'zakładka techniczna'!$N$20*'zakładka techniczna'!$N$25*OPp.w3</f>
        <v>0</v>
      </c>
      <c r="W123" s="1">
        <f>SUM($Q$175:$BA$175)*'zakładka techniczna'!$N$20*'zakładka techniczna'!$N$25*OPp.w3</f>
        <v>0</v>
      </c>
      <c r="X123" s="1">
        <f>SUM($Q$175:$BA$175)*'zakładka techniczna'!$N$20*'zakładka techniczna'!$N$25*OPp.w3</f>
        <v>0</v>
      </c>
      <c r="Y123" s="1">
        <f>SUM($Q$175:$BA$175)*'zakładka techniczna'!$N$20*'zakładka techniczna'!$N$25*OPp.w3</f>
        <v>0</v>
      </c>
      <c r="Z123" s="1">
        <f>SUM($Q$175:$BA$175)*'zakładka techniczna'!$N$20*'zakładka techniczna'!$N$25*OPp.w3</f>
        <v>0</v>
      </c>
      <c r="AA123" s="1">
        <f>SUM($Q$175:$BA$175)*'zakładka techniczna'!$N$20*'zakładka techniczna'!$N$25*OPp.w3</f>
        <v>0</v>
      </c>
      <c r="AB123" s="1">
        <f>SUM($Q$175:$BA$175)*'zakładka techniczna'!$N$20*'zakładka techniczna'!$N$25*OPp.w3</f>
        <v>0</v>
      </c>
      <c r="AC123" s="1">
        <f>SUM($Q$175:$BA$175)*'zakładka techniczna'!$N$20*'zakładka techniczna'!$N$25*OPp.w3</f>
        <v>0</v>
      </c>
      <c r="AD123" s="1">
        <f>SUM($Q$175:$BA$175)*'zakładka techniczna'!$N$20*'zakładka techniczna'!$N$25*OPp.w3</f>
        <v>0</v>
      </c>
      <c r="AE123" s="1">
        <f>SUM($Q$175:$BA$175)*'zakładka techniczna'!$N$20*'zakładka techniczna'!$N$25*OPp.w3</f>
        <v>0</v>
      </c>
      <c r="AF123" s="1">
        <f>SUM($Q$175:$BA$175)*'zakładka techniczna'!$N$20*'zakładka techniczna'!$N$25*OPp.w3</f>
        <v>0</v>
      </c>
      <c r="AG123" s="1">
        <f>SUM($Q$175:$BA$175)*'zakładka techniczna'!$N$20*'zakładka techniczna'!$N$25*OPp.w3</f>
        <v>0</v>
      </c>
      <c r="AH123" s="1">
        <f>SUM($Q$175:$BA$175)*'zakładka techniczna'!$N$20*'zakładka techniczna'!$N$25*OPp.w3</f>
        <v>0</v>
      </c>
      <c r="AI123" s="1">
        <f>SUM($Q$175:$BA$175)*'zakładka techniczna'!$N$20*'zakładka techniczna'!$N$25*OPp.w3</f>
        <v>0</v>
      </c>
      <c r="AJ123" s="1">
        <f>SUM($Q$175:$BA$175)*'zakładka techniczna'!$N$20*'zakładka techniczna'!$N$25*OPp.w3</f>
        <v>0</v>
      </c>
      <c r="AK123" s="1">
        <f>SUM($Q$175:$BA$175)*'zakładka techniczna'!$N$20*'zakładka techniczna'!$N$25*OPp.w3</f>
        <v>0</v>
      </c>
      <c r="AL123" s="1">
        <f>SUM($Q$175:$BA$175)*'zakładka techniczna'!$N$20*'zakładka techniczna'!$N$25*OPp.w3</f>
        <v>0</v>
      </c>
      <c r="AM123" s="1">
        <f>SUM($Q$175:$BA$175)*'zakładka techniczna'!$N$20*'zakładka techniczna'!$N$25*OPp.w3</f>
        <v>0</v>
      </c>
      <c r="AN123" s="1">
        <f>SUM($Q$175:$BA$175)*'zakładka techniczna'!$N$20*'zakładka techniczna'!$N$25*OPp.w3</f>
        <v>0</v>
      </c>
      <c r="AO123" s="1">
        <f>SUM($Q$175:$BA$175)*'zakładka techniczna'!$N$20*'zakładka techniczna'!$N$25*OPp.w3</f>
        <v>0</v>
      </c>
      <c r="AP123" s="1">
        <f>SUM($Q$175:$BA$175)*'zakładka techniczna'!$N$20*'zakładka techniczna'!$N$25*OPp.w3</f>
        <v>0</v>
      </c>
      <c r="AQ123" s="1">
        <f>SUM($Q$175:$BA$175)*'zakładka techniczna'!$N$20*'zakładka techniczna'!$N$25*OPp.w3</f>
        <v>0</v>
      </c>
      <c r="AR123" s="1">
        <f>SUM($Q$175:$BA$175)*'zakładka techniczna'!$N$20*'zakładka techniczna'!$N$25*OPp.w3</f>
        <v>0</v>
      </c>
      <c r="AS123" s="1">
        <f>SUM($Q$175:$BA$175)*'zakładka techniczna'!$N$20*'zakładka techniczna'!$N$25*OPp.w3</f>
        <v>0</v>
      </c>
      <c r="AT123" s="1">
        <f>SUM($Q$175:$BA$175)*'zakładka techniczna'!$N$20*'zakładka techniczna'!$N$25*OPp.w3</f>
        <v>0</v>
      </c>
      <c r="AU123" s="1">
        <f>SUM($Q$175:$BA$175)*'zakładka techniczna'!$N$20*'zakładka techniczna'!$N$25*OPp.w3</f>
        <v>0</v>
      </c>
      <c r="AV123" s="1">
        <f>SUM($Q$175:$BA$175)*'zakładka techniczna'!$N$20*'zakładka techniczna'!$N$25*OPp.w3</f>
        <v>0</v>
      </c>
      <c r="AW123" s="1">
        <f>SUM($Q$175:$BA$175)*'zakładka techniczna'!$N$20*'zakładka techniczna'!$N$25*OPp.w3</f>
        <v>0</v>
      </c>
      <c r="AX123" s="1">
        <f>SUM($Q$175:$BA$175)*'zakładka techniczna'!$N$20*'zakładka techniczna'!$N$25*OPp.w3</f>
        <v>0</v>
      </c>
      <c r="AY123" s="1">
        <f>SUM($Q$175:$BA$175)*'zakładka techniczna'!$N$20*'zakładka techniczna'!$N$25*OPp.w3</f>
        <v>0</v>
      </c>
      <c r="AZ123" s="1">
        <f>SUM($Q$175:$BA$175)*'zakładka techniczna'!$N$20*'zakładka techniczna'!$N$25*OPp.w3</f>
        <v>0</v>
      </c>
      <c r="BA123" s="1">
        <f>SUM($Q$175:$BA$175)*'zakładka techniczna'!$N$20*'zakładka techniczna'!$N$25*OPp.w3</f>
        <v>0</v>
      </c>
    </row>
    <row r="124" spans="2:53" ht="15.75" customHeight="1" x14ac:dyDescent="0.35">
      <c r="F124" s="5" t="s">
        <v>70</v>
      </c>
      <c r="G124" s="5"/>
      <c r="H124" s="5"/>
      <c r="I124" s="5"/>
      <c r="J124" s="5"/>
      <c r="K124" s="5"/>
      <c r="N124" s="1">
        <f t="shared" si="79"/>
        <v>0</v>
      </c>
      <c r="Q124" s="1">
        <f t="shared" ref="Q124:BA124" si="82">SUM(Q120,Q122)*SUM(Q133:Q134)*(OBt.w3+OPt.w3)</f>
        <v>0</v>
      </c>
      <c r="R124" s="1">
        <f t="shared" si="82"/>
        <v>0</v>
      </c>
      <c r="S124" s="1">
        <f t="shared" si="82"/>
        <v>0</v>
      </c>
      <c r="T124" s="1">
        <f t="shared" si="82"/>
        <v>0</v>
      </c>
      <c r="U124" s="1">
        <f t="shared" si="82"/>
        <v>0</v>
      </c>
      <c r="V124" s="1">
        <f t="shared" si="82"/>
        <v>0</v>
      </c>
      <c r="W124" s="1">
        <f t="shared" si="82"/>
        <v>0</v>
      </c>
      <c r="X124" s="1">
        <f t="shared" si="82"/>
        <v>0</v>
      </c>
      <c r="Y124" s="1">
        <f t="shared" si="82"/>
        <v>0</v>
      </c>
      <c r="Z124" s="1">
        <f t="shared" si="82"/>
        <v>0</v>
      </c>
      <c r="AA124" s="1">
        <f t="shared" si="82"/>
        <v>0</v>
      </c>
      <c r="AB124" s="1">
        <f t="shared" si="82"/>
        <v>0</v>
      </c>
      <c r="AC124" s="1">
        <f t="shared" si="82"/>
        <v>0</v>
      </c>
      <c r="AD124" s="1">
        <f t="shared" si="82"/>
        <v>0</v>
      </c>
      <c r="AE124" s="1">
        <f t="shared" si="82"/>
        <v>0</v>
      </c>
      <c r="AF124" s="1">
        <f t="shared" si="82"/>
        <v>0</v>
      </c>
      <c r="AG124" s="1">
        <f t="shared" si="82"/>
        <v>0</v>
      </c>
      <c r="AH124" s="1">
        <f t="shared" si="82"/>
        <v>0</v>
      </c>
      <c r="AI124" s="1">
        <f t="shared" si="82"/>
        <v>0</v>
      </c>
      <c r="AJ124" s="1">
        <f t="shared" si="82"/>
        <v>0</v>
      </c>
      <c r="AK124" s="1">
        <f t="shared" si="82"/>
        <v>0</v>
      </c>
      <c r="AL124" s="1">
        <f t="shared" si="82"/>
        <v>0</v>
      </c>
      <c r="AM124" s="1">
        <f t="shared" si="82"/>
        <v>0</v>
      </c>
      <c r="AN124" s="1">
        <f t="shared" si="82"/>
        <v>0</v>
      </c>
      <c r="AO124" s="1">
        <f t="shared" si="82"/>
        <v>0</v>
      </c>
      <c r="AP124" s="1">
        <f t="shared" si="82"/>
        <v>0</v>
      </c>
      <c r="AQ124" s="1">
        <f t="shared" si="82"/>
        <v>0</v>
      </c>
      <c r="AR124" s="1">
        <f t="shared" si="82"/>
        <v>0</v>
      </c>
      <c r="AS124" s="1">
        <f t="shared" si="82"/>
        <v>0</v>
      </c>
      <c r="AT124" s="1">
        <f t="shared" si="82"/>
        <v>0</v>
      </c>
      <c r="AU124" s="1">
        <f t="shared" si="82"/>
        <v>0</v>
      </c>
      <c r="AV124" s="1">
        <f t="shared" si="82"/>
        <v>0</v>
      </c>
      <c r="AW124" s="1">
        <f t="shared" si="82"/>
        <v>0</v>
      </c>
      <c r="AX124" s="1">
        <f t="shared" si="82"/>
        <v>0</v>
      </c>
      <c r="AY124" s="1">
        <f t="shared" si="82"/>
        <v>0</v>
      </c>
      <c r="AZ124" s="1">
        <f t="shared" si="82"/>
        <v>0</v>
      </c>
      <c r="BA124" s="1">
        <f t="shared" si="82"/>
        <v>0</v>
      </c>
    </row>
    <row r="125" spans="2:53" ht="15.75" customHeight="1" x14ac:dyDescent="0.35">
      <c r="F125" s="5" t="s">
        <v>28</v>
      </c>
      <c r="G125" s="5"/>
      <c r="H125" s="5"/>
      <c r="I125" s="5"/>
      <c r="J125" s="5"/>
      <c r="K125" s="5"/>
      <c r="N125" s="1">
        <f t="shared" si="79"/>
        <v>0</v>
      </c>
      <c r="Q125" s="1">
        <f t="shared" ref="Q125:Y125" si="83">Q171</f>
        <v>0</v>
      </c>
      <c r="R125" s="1">
        <f t="shared" si="83"/>
        <v>0</v>
      </c>
      <c r="S125" s="1">
        <f t="shared" si="83"/>
        <v>0</v>
      </c>
      <c r="T125" s="1">
        <f t="shared" si="83"/>
        <v>0</v>
      </c>
      <c r="U125" s="1">
        <f t="shared" si="83"/>
        <v>0</v>
      </c>
      <c r="V125" s="1">
        <f t="shared" si="83"/>
        <v>0</v>
      </c>
      <c r="W125" s="1">
        <f t="shared" si="83"/>
        <v>0</v>
      </c>
      <c r="X125" s="1">
        <f t="shared" si="83"/>
        <v>0</v>
      </c>
      <c r="Y125" s="1">
        <f t="shared" si="83"/>
        <v>0</v>
      </c>
      <c r="Z125" s="1">
        <f>Z171</f>
        <v>0</v>
      </c>
      <c r="AA125" s="1">
        <f t="shared" ref="AA125:BA125" si="84">AA171</f>
        <v>0</v>
      </c>
      <c r="AB125" s="1">
        <f t="shared" si="84"/>
        <v>0</v>
      </c>
      <c r="AC125" s="1">
        <f t="shared" si="84"/>
        <v>0</v>
      </c>
      <c r="AD125" s="1">
        <f t="shared" si="84"/>
        <v>0</v>
      </c>
      <c r="AE125" s="1">
        <f t="shared" si="84"/>
        <v>0</v>
      </c>
      <c r="AF125" s="1">
        <f t="shared" si="84"/>
        <v>0</v>
      </c>
      <c r="AG125" s="1">
        <f t="shared" si="84"/>
        <v>0</v>
      </c>
      <c r="AH125" s="1">
        <f t="shared" si="84"/>
        <v>0</v>
      </c>
      <c r="AI125" s="1">
        <f t="shared" si="84"/>
        <v>0</v>
      </c>
      <c r="AJ125" s="1">
        <f t="shared" si="84"/>
        <v>0</v>
      </c>
      <c r="AK125" s="1">
        <f t="shared" si="84"/>
        <v>0</v>
      </c>
      <c r="AL125" s="1">
        <f t="shared" si="84"/>
        <v>0</v>
      </c>
      <c r="AM125" s="1">
        <f t="shared" si="84"/>
        <v>0</v>
      </c>
      <c r="AN125" s="1">
        <f t="shared" si="84"/>
        <v>0</v>
      </c>
      <c r="AO125" s="1">
        <f t="shared" si="84"/>
        <v>0</v>
      </c>
      <c r="AP125" s="1">
        <f t="shared" si="84"/>
        <v>0</v>
      </c>
      <c r="AQ125" s="1">
        <f t="shared" si="84"/>
        <v>0</v>
      </c>
      <c r="AR125" s="1">
        <f t="shared" si="84"/>
        <v>0</v>
      </c>
      <c r="AS125" s="1">
        <f t="shared" si="84"/>
        <v>0</v>
      </c>
      <c r="AT125" s="1">
        <f t="shared" si="84"/>
        <v>0</v>
      </c>
      <c r="AU125" s="1">
        <f t="shared" si="84"/>
        <v>0</v>
      </c>
      <c r="AV125" s="1">
        <f t="shared" si="84"/>
        <v>0</v>
      </c>
      <c r="AW125" s="1">
        <f t="shared" si="84"/>
        <v>0</v>
      </c>
      <c r="AX125" s="1">
        <f t="shared" si="84"/>
        <v>0</v>
      </c>
      <c r="AY125" s="1">
        <f t="shared" si="84"/>
        <v>0</v>
      </c>
      <c r="AZ125" s="1">
        <f t="shared" si="84"/>
        <v>0</v>
      </c>
      <c r="BA125" s="1">
        <f t="shared" si="84"/>
        <v>0</v>
      </c>
    </row>
    <row r="126" spans="2:53" ht="15.75" customHeight="1" x14ac:dyDescent="0.35">
      <c r="E126" s="5" t="s">
        <v>31</v>
      </c>
      <c r="F126" s="5"/>
      <c r="G126" s="5"/>
      <c r="H126" s="5"/>
      <c r="I126" s="5"/>
      <c r="J126" s="5"/>
      <c r="K126" s="5"/>
      <c r="N126" s="1">
        <f t="shared" si="79"/>
        <v>0</v>
      </c>
      <c r="Q126" s="1">
        <f t="shared" ref="Q126:BA126" si="85">SUM(Q127:Q129)</f>
        <v>0</v>
      </c>
      <c r="R126" s="1">
        <f t="shared" si="85"/>
        <v>0</v>
      </c>
      <c r="S126" s="1">
        <f t="shared" si="85"/>
        <v>0</v>
      </c>
      <c r="T126" s="1">
        <f t="shared" si="85"/>
        <v>0</v>
      </c>
      <c r="U126" s="1">
        <f t="shared" si="85"/>
        <v>0</v>
      </c>
      <c r="V126" s="1">
        <f t="shared" si="85"/>
        <v>0</v>
      </c>
      <c r="W126" s="1">
        <f t="shared" si="85"/>
        <v>0</v>
      </c>
      <c r="X126" s="1">
        <f t="shared" si="85"/>
        <v>0</v>
      </c>
      <c r="Y126" s="1">
        <f t="shared" si="85"/>
        <v>0</v>
      </c>
      <c r="Z126" s="1">
        <f t="shared" si="85"/>
        <v>0</v>
      </c>
      <c r="AA126" s="1">
        <f t="shared" si="85"/>
        <v>0</v>
      </c>
      <c r="AB126" s="1">
        <f t="shared" si="85"/>
        <v>0</v>
      </c>
      <c r="AC126" s="1">
        <f t="shared" si="85"/>
        <v>0</v>
      </c>
      <c r="AD126" s="1">
        <f t="shared" si="85"/>
        <v>0</v>
      </c>
      <c r="AE126" s="1">
        <f t="shared" si="85"/>
        <v>0</v>
      </c>
      <c r="AF126" s="1">
        <f t="shared" si="85"/>
        <v>0</v>
      </c>
      <c r="AG126" s="1">
        <f t="shared" si="85"/>
        <v>0</v>
      </c>
      <c r="AH126" s="1">
        <f t="shared" si="85"/>
        <v>0</v>
      </c>
      <c r="AI126" s="1">
        <f t="shared" si="85"/>
        <v>0</v>
      </c>
      <c r="AJ126" s="1">
        <f t="shared" si="85"/>
        <v>0</v>
      </c>
      <c r="AK126" s="1">
        <f t="shared" si="85"/>
        <v>0</v>
      </c>
      <c r="AL126" s="1">
        <f t="shared" si="85"/>
        <v>0</v>
      </c>
      <c r="AM126" s="1">
        <f t="shared" si="85"/>
        <v>0</v>
      </c>
      <c r="AN126" s="1">
        <f t="shared" si="85"/>
        <v>0</v>
      </c>
      <c r="AO126" s="1">
        <f t="shared" si="85"/>
        <v>0</v>
      </c>
      <c r="AP126" s="1">
        <f t="shared" si="85"/>
        <v>0</v>
      </c>
      <c r="AQ126" s="1">
        <f t="shared" si="85"/>
        <v>0</v>
      </c>
      <c r="AR126" s="1">
        <f t="shared" si="85"/>
        <v>0</v>
      </c>
      <c r="AS126" s="1">
        <f t="shared" si="85"/>
        <v>0</v>
      </c>
      <c r="AT126" s="1">
        <f t="shared" si="85"/>
        <v>0</v>
      </c>
      <c r="AU126" s="1">
        <f t="shared" si="85"/>
        <v>0</v>
      </c>
      <c r="AV126" s="1">
        <f t="shared" si="85"/>
        <v>0</v>
      </c>
      <c r="AW126" s="1">
        <f t="shared" si="85"/>
        <v>0</v>
      </c>
      <c r="AX126" s="1">
        <f t="shared" si="85"/>
        <v>0</v>
      </c>
      <c r="AY126" s="1">
        <f t="shared" si="85"/>
        <v>0</v>
      </c>
      <c r="AZ126" s="1">
        <f t="shared" si="85"/>
        <v>0</v>
      </c>
      <c r="BA126" s="1">
        <f t="shared" si="85"/>
        <v>0</v>
      </c>
    </row>
    <row r="127" spans="2:53" ht="15.75" customHeight="1" x14ac:dyDescent="0.35">
      <c r="E127" s="5"/>
      <c r="F127" s="5" t="s">
        <v>125</v>
      </c>
      <c r="G127" s="5"/>
      <c r="H127" s="5"/>
      <c r="I127" s="5"/>
      <c r="J127" s="5"/>
      <c r="K127" s="5"/>
      <c r="N127" s="1">
        <f t="shared" si="79"/>
        <v>0</v>
      </c>
      <c r="Q127" s="1">
        <f>-SUM(Założenia!$O$167:$O$168)*OEp.w3</f>
        <v>0</v>
      </c>
      <c r="R127" s="1">
        <f>-SUM(Założenia!$O$167:$O$168)*OEp.w3</f>
        <v>0</v>
      </c>
      <c r="S127" s="1">
        <f>-SUM(Założenia!$O$167:$O$168)*OEp.w3</f>
        <v>0</v>
      </c>
      <c r="T127" s="1">
        <f>-SUM(Założenia!$O$167:$O$168)*OEp.w3</f>
        <v>0</v>
      </c>
      <c r="U127" s="1">
        <f>-SUM(Założenia!$O$167:$O$168)*OEp.w3</f>
        <v>0</v>
      </c>
      <c r="V127" s="1">
        <f>-SUM(Założenia!$O$167:$O$168)*OEp.w3</f>
        <v>0</v>
      </c>
      <c r="W127" s="1">
        <f>-SUM(Założenia!$O$167:$O$168)*OEp.w3</f>
        <v>0</v>
      </c>
      <c r="X127" s="1">
        <f>-SUM(Założenia!$O$167:$O$168)*OEp.w3</f>
        <v>0</v>
      </c>
      <c r="Y127" s="1">
        <f>-SUM(Założenia!$O$167:$O$168)*OEp.w3</f>
        <v>0</v>
      </c>
      <c r="Z127" s="1">
        <f>-SUM(Założenia!$O$167:$O$168)*OEp.w3</f>
        <v>0</v>
      </c>
      <c r="AA127" s="1">
        <f>-SUM(Założenia!$O$167:$O$168)*OEp.w3</f>
        <v>0</v>
      </c>
      <c r="AB127" s="1">
        <f>-SUM(Założenia!$O$167:$O$168)*OEp.w3</f>
        <v>0</v>
      </c>
      <c r="AC127" s="1">
        <f>-SUM(Założenia!$O$167:$O$168)*OEp.w3</f>
        <v>0</v>
      </c>
      <c r="AD127" s="1">
        <f>-SUM(Założenia!$O$167:$O$168)*OEp.w3</f>
        <v>0</v>
      </c>
      <c r="AE127" s="1">
        <f>-SUM(Założenia!$O$167:$O$168)*OEp.w3</f>
        <v>0</v>
      </c>
      <c r="AF127" s="1">
        <f>-SUM(Założenia!$O$167:$O$168)*OEp.w3</f>
        <v>0</v>
      </c>
      <c r="AG127" s="1">
        <f>-SUM(Założenia!$O$167:$O$168)*OEp.w3</f>
        <v>0</v>
      </c>
      <c r="AH127" s="1">
        <f>-SUM(Założenia!$O$167:$O$168)*OEp.w3</f>
        <v>0</v>
      </c>
      <c r="AI127" s="1">
        <f>-SUM(Założenia!$O$167:$O$168)*OEp.w3</f>
        <v>0</v>
      </c>
      <c r="AJ127" s="1">
        <f>-SUM(Założenia!$O$167:$O$168)*OEp.w3</f>
        <v>0</v>
      </c>
      <c r="AK127" s="1">
        <f>-SUM(Założenia!$O$167:$O$168)*OEp.w3</f>
        <v>0</v>
      </c>
      <c r="AL127" s="1">
        <f>-SUM(Założenia!$O$167:$O$168)*OEp.w3</f>
        <v>0</v>
      </c>
      <c r="AM127" s="1">
        <f>-SUM(Założenia!$O$167:$O$168)*OEp.w3</f>
        <v>0</v>
      </c>
      <c r="AN127" s="1">
        <f>-SUM(Założenia!$O$167:$O$168)*OEp.w3</f>
        <v>0</v>
      </c>
      <c r="AO127" s="1">
        <f>-SUM(Założenia!$O$167:$O$168)*OEp.w3</f>
        <v>0</v>
      </c>
      <c r="AP127" s="1">
        <f>-SUM(Założenia!$O$167:$O$168)*OEp.w3</f>
        <v>0</v>
      </c>
      <c r="AQ127" s="1">
        <f>-SUM(Założenia!$O$167:$O$168)*OEp.w3</f>
        <v>0</v>
      </c>
      <c r="AR127" s="1">
        <f>-SUM(Założenia!$O$167:$O$168)*OEp.w3</f>
        <v>0</v>
      </c>
      <c r="AS127" s="1">
        <f>-SUM(Założenia!$O$167:$O$168)*OEp.w3</f>
        <v>0</v>
      </c>
      <c r="AT127" s="1">
        <f>-SUM(Założenia!$O$167:$O$168)*OEp.w3</f>
        <v>0</v>
      </c>
      <c r="AU127" s="1">
        <f>-SUM(Założenia!$O$167:$O$168)*OEp.w3</f>
        <v>0</v>
      </c>
      <c r="AV127" s="1">
        <f>-SUM(Założenia!$O$167:$O$168)*OEp.w3</f>
        <v>0</v>
      </c>
      <c r="AW127" s="1">
        <f>-SUM(Założenia!$O$167:$O$168)*OEp.w3</f>
        <v>0</v>
      </c>
      <c r="AX127" s="1">
        <f>-SUM(Założenia!$O$167:$O$168)*OEp.w3</f>
        <v>0</v>
      </c>
      <c r="AY127" s="1">
        <f>-SUM(Założenia!$O$167:$O$168)*OEp.w3</f>
        <v>0</v>
      </c>
      <c r="AZ127" s="1">
        <f>-SUM(Założenia!$O$167:$O$168)*OEp.w3</f>
        <v>0</v>
      </c>
      <c r="BA127" s="1">
        <f>-SUM(Założenia!$O$167:$O$168)*OEp.w3</f>
        <v>0</v>
      </c>
    </row>
    <row r="128" spans="2:53" ht="15.75" customHeight="1" x14ac:dyDescent="0.35">
      <c r="E128" s="5"/>
      <c r="F128" s="5" t="s">
        <v>83</v>
      </c>
      <c r="G128" s="5"/>
      <c r="H128" s="5"/>
      <c r="I128" s="5"/>
      <c r="J128" s="5"/>
      <c r="K128" s="5"/>
      <c r="N128" s="1">
        <f t="shared" si="79"/>
        <v>0</v>
      </c>
      <c r="Q128" s="1">
        <f>IFERROR(-MIN(Q120,SUM($P$122:Q125,$P$127:Q127)/SUM(OEt.w3))*OEt.w3,0)</f>
        <v>0</v>
      </c>
      <c r="R128" s="1">
        <f>IFERROR(-MIN(R120,SUM($P$122:R125,$P$127:R127)/SUM(OEt.w3))*OEt.w3,0)</f>
        <v>0</v>
      </c>
      <c r="S128" s="1">
        <f>IFERROR(-MIN(S120,SUM($P$122:S125,$P$127:S127)/SUM(OEt.w3))*OEt.w3,0)</f>
        <v>0</v>
      </c>
      <c r="T128" s="1">
        <f>IFERROR(-MIN(T120,SUM($P$122:T125,$P$127:T127)/SUM(OEt.w3))*OEt.w3,0)</f>
        <v>0</v>
      </c>
      <c r="U128" s="1">
        <f>IFERROR(-MIN(U120,SUM($P$122:U125,$P$127:U127)/SUM(OEt.w3))*OEt.w3,0)</f>
        <v>0</v>
      </c>
      <c r="V128" s="1">
        <f>IFERROR(-MIN(V120,SUM($P$122:V125,$P$127:V127)/SUM(OEt.w3))*OEt.w3,0)</f>
        <v>0</v>
      </c>
      <c r="W128" s="1">
        <f>IFERROR(-MIN(W120,SUM($P$122:W125,$P$127:W127)/SUM(OEt.w3))*OEt.w3,0)</f>
        <v>0</v>
      </c>
      <c r="X128" s="1">
        <f>IFERROR(-MIN(X120,SUM($P$122:X125,$P$127:X127)/SUM(OEt.w3))*OEt.w3,0)</f>
        <v>0</v>
      </c>
      <c r="Y128" s="1">
        <f>IFERROR(-MIN(Y120,SUM($P$122:Y125,$P$127:Y127)/SUM(OEt.w3))*OEt.w3,0)</f>
        <v>0</v>
      </c>
      <c r="Z128" s="1">
        <f>IFERROR(-MIN(Z120,SUM($P$122:Z125,$P$127:Z127)/SUM(OEt.w3))*OEt.w3,0)</f>
        <v>0</v>
      </c>
      <c r="AA128" s="1">
        <f>IFERROR(-MIN(AA120,SUM($P$122:AA125,$P$127:AA127)/SUM(OEt.w3))*OEt.w3,0)</f>
        <v>0</v>
      </c>
      <c r="AB128" s="1">
        <f>IFERROR(-MIN(AB120,SUM($P$122:AB125,$P$127:AB127)/SUM(OEt.w3))*OEt.w3,0)</f>
        <v>0</v>
      </c>
      <c r="AC128" s="1">
        <f>IFERROR(-MIN(AC120,SUM($P$122:AC125,$P$127:AC127)/SUM(OEt.w3))*OEt.w3,0)</f>
        <v>0</v>
      </c>
      <c r="AD128" s="1">
        <f>IFERROR(-MIN(AD120,SUM($P$122:AD125,$P$127:AD127)/SUM(OEt.w3))*OEt.w3,0)</f>
        <v>0</v>
      </c>
      <c r="AE128" s="1">
        <f>IFERROR(-MIN(AE120,SUM($P$122:AE125,$P$127:AE127)/SUM(OEt.w3))*OEt.w3,0)</f>
        <v>0</v>
      </c>
      <c r="AF128" s="1">
        <f>IFERROR(-MIN(AF120,SUM($P$122:AF125,$P$127:AF127)/SUM(OEt.w3))*OEt.w3,0)</f>
        <v>0</v>
      </c>
      <c r="AG128" s="1">
        <f>IFERROR(-MIN(AG120,SUM($P$122:AG125,$P$127:AG127)/SUM(OEt.w3))*OEt.w3,0)</f>
        <v>0</v>
      </c>
      <c r="AH128" s="1">
        <f>IFERROR(-MIN(AH120,SUM($P$122:AH125,$P$127:AH127)/SUM(OEt.w3))*OEt.w3,0)</f>
        <v>0</v>
      </c>
      <c r="AI128" s="1">
        <f>IFERROR(-MIN(AI120,SUM($P$122:AI125,$P$127:AI127)/SUM(OEt.w3))*OEt.w3,0)</f>
        <v>0</v>
      </c>
      <c r="AJ128" s="1">
        <f>IFERROR(-MIN(AJ120,SUM($P$122:AJ125,$P$127:AJ127)/SUM(OEt.w3))*OEt.w3,0)</f>
        <v>0</v>
      </c>
      <c r="AK128" s="1">
        <f>IFERROR(-MIN(AK120,SUM($P$122:AK125,$P$127:AK127)/SUM(OEt.w3))*OEt.w3,0)</f>
        <v>0</v>
      </c>
      <c r="AL128" s="1">
        <f>IFERROR(-MIN(AL120,SUM($P$122:AL125,$P$127:AL127)/SUM(OEt.w3))*OEt.w3,0)</f>
        <v>0</v>
      </c>
      <c r="AM128" s="1">
        <f>IFERROR(-MIN(AM120,SUM($P$122:AM125,$P$127:AM127)/SUM(OEt.w3))*OEt.w3,0)</f>
        <v>0</v>
      </c>
      <c r="AN128" s="1">
        <f>IFERROR(-MIN(AN120,SUM($P$122:AN125,$P$127:AN127)/SUM(OEt.w3))*OEt.w3,0)</f>
        <v>0</v>
      </c>
      <c r="AO128" s="1">
        <f>IFERROR(-MIN(AO120,SUM($P$122:AO125,$P$127:AO127)/SUM(OEt.w3))*OEt.w3,0)</f>
        <v>0</v>
      </c>
      <c r="AP128" s="1">
        <f>IFERROR(-MIN(AP120,SUM($P$122:AP125,$P$127:AP127)/SUM(OEt.w3))*OEt.w3,0)</f>
        <v>0</v>
      </c>
      <c r="AQ128" s="1">
        <f>IFERROR(-MIN(AQ120,SUM($P$122:AQ125,$P$127:AQ127)/SUM(OEt.w3))*OEt.w3,0)</f>
        <v>0</v>
      </c>
      <c r="AR128" s="1">
        <f>IFERROR(-MIN(AR120,SUM($P$122:AR125,$P$127:AR127)/SUM(OEt.w3))*OEt.w3,0)</f>
        <v>0</v>
      </c>
      <c r="AS128" s="1">
        <f>IFERROR(-MIN(AS120,SUM($P$122:AS125,$P$127:AS127)/SUM(OEt.w3))*OEt.w3,0)</f>
        <v>0</v>
      </c>
      <c r="AT128" s="1">
        <f>IFERROR(-MIN(AT120,SUM($P$122:AT125,$P$127:AT127)/SUM(OEt.w3))*OEt.w3,0)</f>
        <v>0</v>
      </c>
      <c r="AU128" s="1">
        <f>IFERROR(-MIN(AU120,SUM($P$122:AU125,$P$127:AU127)/SUM(OEt.w3))*OEt.w3,0)</f>
        <v>0</v>
      </c>
      <c r="AV128" s="1">
        <f>IFERROR(-MIN(AV120,SUM($P$122:AV125,$P$127:AV127)/SUM(OEt.w3))*OEt.w3,0)</f>
        <v>0</v>
      </c>
      <c r="AW128" s="1">
        <f>IFERROR(-MIN(AW120,SUM($P$122:AW125,$P$127:AW127)/SUM(OEt.w3))*OEt.w3,0)</f>
        <v>0</v>
      </c>
      <c r="AX128" s="1">
        <f>IFERROR(-MIN(AX120,SUM($P$122:AX125,$P$127:AX127)/SUM(OEt.w3))*OEt.w3,0)</f>
        <v>0</v>
      </c>
      <c r="AY128" s="1">
        <f>IFERROR(-MIN(AY120,SUM($P$122:AY125,$P$127:AY127)/SUM(OEt.w3))*OEt.w3,0)</f>
        <v>0</v>
      </c>
      <c r="AZ128" s="1">
        <f>IFERROR(-MIN(AZ120,SUM($P$122:AZ125,$P$127:AZ127)/SUM(OEt.w3))*OEt.w3,0)</f>
        <v>0</v>
      </c>
      <c r="BA128" s="1">
        <f>IFERROR(-MIN(BA120,SUM($P$122:BA125,$P$127:BA127)/SUM(OEt.w3))*OEt.w3,0)</f>
        <v>0</v>
      </c>
    </row>
    <row r="129" spans="3:53" ht="15.75" customHeight="1" x14ac:dyDescent="0.35">
      <c r="E129" s="5"/>
      <c r="F129" s="5" t="s">
        <v>84</v>
      </c>
      <c r="G129" s="5"/>
      <c r="H129" s="5"/>
      <c r="I129" s="5"/>
      <c r="J129" s="5"/>
      <c r="K129" s="5"/>
      <c r="N129" s="1">
        <f t="shared" si="79"/>
        <v>0</v>
      </c>
      <c r="Q129" s="1">
        <f t="shared" ref="Q129:BA129" si="86">Q196</f>
        <v>0</v>
      </c>
      <c r="R129" s="1">
        <f t="shared" si="86"/>
        <v>0</v>
      </c>
      <c r="S129" s="1">
        <f t="shared" si="86"/>
        <v>0</v>
      </c>
      <c r="T129" s="1">
        <f t="shared" si="86"/>
        <v>0</v>
      </c>
      <c r="U129" s="1">
        <f t="shared" si="86"/>
        <v>0</v>
      </c>
      <c r="V129" s="1">
        <f t="shared" si="86"/>
        <v>0</v>
      </c>
      <c r="W129" s="1">
        <f t="shared" si="86"/>
        <v>0</v>
      </c>
      <c r="X129" s="1">
        <f t="shared" si="86"/>
        <v>0</v>
      </c>
      <c r="Y129" s="1">
        <f t="shared" si="86"/>
        <v>0</v>
      </c>
      <c r="Z129" s="1">
        <f t="shared" si="86"/>
        <v>0</v>
      </c>
      <c r="AA129" s="1">
        <f t="shared" si="86"/>
        <v>0</v>
      </c>
      <c r="AB129" s="1">
        <f t="shared" si="86"/>
        <v>0</v>
      </c>
      <c r="AC129" s="1">
        <f t="shared" si="86"/>
        <v>0</v>
      </c>
      <c r="AD129" s="1">
        <f t="shared" si="86"/>
        <v>0</v>
      </c>
      <c r="AE129" s="1">
        <f t="shared" si="86"/>
        <v>0</v>
      </c>
      <c r="AF129" s="1">
        <f t="shared" si="86"/>
        <v>0</v>
      </c>
      <c r="AG129" s="1">
        <f t="shared" si="86"/>
        <v>0</v>
      </c>
      <c r="AH129" s="1">
        <f t="shared" si="86"/>
        <v>0</v>
      </c>
      <c r="AI129" s="1">
        <f t="shared" si="86"/>
        <v>0</v>
      </c>
      <c r="AJ129" s="1">
        <f t="shared" si="86"/>
        <v>0</v>
      </c>
      <c r="AK129" s="1">
        <f t="shared" si="86"/>
        <v>0</v>
      </c>
      <c r="AL129" s="1">
        <f t="shared" si="86"/>
        <v>0</v>
      </c>
      <c r="AM129" s="1">
        <f t="shared" si="86"/>
        <v>0</v>
      </c>
      <c r="AN129" s="1">
        <f t="shared" si="86"/>
        <v>0</v>
      </c>
      <c r="AO129" s="1">
        <f t="shared" si="86"/>
        <v>0</v>
      </c>
      <c r="AP129" s="1">
        <f t="shared" si="86"/>
        <v>0</v>
      </c>
      <c r="AQ129" s="1">
        <f t="shared" si="86"/>
        <v>0</v>
      </c>
      <c r="AR129" s="1">
        <f t="shared" si="86"/>
        <v>0</v>
      </c>
      <c r="AS129" s="1">
        <f t="shared" si="86"/>
        <v>0</v>
      </c>
      <c r="AT129" s="1">
        <f t="shared" si="86"/>
        <v>0</v>
      </c>
      <c r="AU129" s="1">
        <f t="shared" si="86"/>
        <v>0</v>
      </c>
      <c r="AV129" s="1">
        <f t="shared" si="86"/>
        <v>0</v>
      </c>
      <c r="AW129" s="1">
        <f t="shared" si="86"/>
        <v>0</v>
      </c>
      <c r="AX129" s="1">
        <f t="shared" si="86"/>
        <v>0</v>
      </c>
      <c r="AY129" s="1">
        <f t="shared" si="86"/>
        <v>0</v>
      </c>
      <c r="AZ129" s="1">
        <f t="shared" si="86"/>
        <v>0</v>
      </c>
      <c r="BA129" s="1">
        <f t="shared" si="86"/>
        <v>0</v>
      </c>
    </row>
    <row r="130" spans="3:53" ht="15.75" customHeight="1" x14ac:dyDescent="0.35">
      <c r="D130" s="2" t="s">
        <v>27</v>
      </c>
      <c r="E130" s="5"/>
      <c r="F130" s="5"/>
      <c r="G130" s="5"/>
      <c r="H130" s="5"/>
      <c r="I130" s="5"/>
      <c r="J130" s="5"/>
      <c r="K130" s="5"/>
      <c r="N130" s="1">
        <f>SUM(N120,N121,N126)</f>
        <v>0</v>
      </c>
      <c r="Q130" s="1">
        <f t="shared" ref="Q130:BA130" si="87">SUM(Q120,Q121,Q126)</f>
        <v>0</v>
      </c>
      <c r="R130" s="1">
        <f t="shared" si="87"/>
        <v>0</v>
      </c>
      <c r="S130" s="1">
        <f t="shared" si="87"/>
        <v>0</v>
      </c>
      <c r="T130" s="1">
        <f t="shared" si="87"/>
        <v>0</v>
      </c>
      <c r="U130" s="1">
        <f t="shared" si="87"/>
        <v>0</v>
      </c>
      <c r="V130" s="1">
        <f t="shared" si="87"/>
        <v>0</v>
      </c>
      <c r="W130" s="1">
        <f t="shared" si="87"/>
        <v>0</v>
      </c>
      <c r="X130" s="1">
        <f t="shared" si="87"/>
        <v>0</v>
      </c>
      <c r="Y130" s="1">
        <f t="shared" si="87"/>
        <v>0</v>
      </c>
      <c r="Z130" s="1">
        <f t="shared" si="87"/>
        <v>0</v>
      </c>
      <c r="AA130" s="1">
        <f t="shared" si="87"/>
        <v>0</v>
      </c>
      <c r="AB130" s="1">
        <f t="shared" si="87"/>
        <v>0</v>
      </c>
      <c r="AC130" s="1">
        <f t="shared" si="87"/>
        <v>0</v>
      </c>
      <c r="AD130" s="1">
        <f t="shared" si="87"/>
        <v>0</v>
      </c>
      <c r="AE130" s="1">
        <f t="shared" si="87"/>
        <v>0</v>
      </c>
      <c r="AF130" s="1">
        <f t="shared" si="87"/>
        <v>0</v>
      </c>
      <c r="AG130" s="1">
        <f t="shared" si="87"/>
        <v>0</v>
      </c>
      <c r="AH130" s="1">
        <f t="shared" si="87"/>
        <v>0</v>
      </c>
      <c r="AI130" s="1">
        <f t="shared" si="87"/>
        <v>0</v>
      </c>
      <c r="AJ130" s="1">
        <f t="shared" si="87"/>
        <v>0</v>
      </c>
      <c r="AK130" s="1">
        <f t="shared" si="87"/>
        <v>0</v>
      </c>
      <c r="AL130" s="1">
        <f t="shared" si="87"/>
        <v>0</v>
      </c>
      <c r="AM130" s="1">
        <f t="shared" si="87"/>
        <v>0</v>
      </c>
      <c r="AN130" s="1">
        <f t="shared" si="87"/>
        <v>0</v>
      </c>
      <c r="AO130" s="1">
        <f t="shared" si="87"/>
        <v>0</v>
      </c>
      <c r="AP130" s="1">
        <f t="shared" si="87"/>
        <v>0</v>
      </c>
      <c r="AQ130" s="1">
        <f t="shared" si="87"/>
        <v>0</v>
      </c>
      <c r="AR130" s="1">
        <f t="shared" si="87"/>
        <v>0</v>
      </c>
      <c r="AS130" s="1">
        <f t="shared" si="87"/>
        <v>0</v>
      </c>
      <c r="AT130" s="1">
        <f t="shared" si="87"/>
        <v>0</v>
      </c>
      <c r="AU130" s="1">
        <f t="shared" si="87"/>
        <v>0</v>
      </c>
      <c r="AV130" s="1">
        <f t="shared" si="87"/>
        <v>0</v>
      </c>
      <c r="AW130" s="1">
        <f t="shared" si="87"/>
        <v>0</v>
      </c>
      <c r="AX130" s="1">
        <f t="shared" si="87"/>
        <v>0</v>
      </c>
      <c r="AY130" s="1">
        <f t="shared" si="87"/>
        <v>0</v>
      </c>
      <c r="AZ130" s="1">
        <f t="shared" si="87"/>
        <v>0</v>
      </c>
      <c r="BA130" s="1">
        <f t="shared" si="87"/>
        <v>0</v>
      </c>
    </row>
    <row r="131" spans="3:53" x14ac:dyDescent="0.35">
      <c r="D131" s="5"/>
    </row>
    <row r="132" spans="3:53" ht="15.75" customHeight="1" x14ac:dyDescent="0.35">
      <c r="D132" s="2" t="s">
        <v>147</v>
      </c>
      <c r="E132" s="5"/>
      <c r="F132" s="5"/>
      <c r="G132" s="5"/>
      <c r="H132" s="5"/>
      <c r="I132" s="5"/>
      <c r="J132" s="5"/>
      <c r="K132" s="5"/>
      <c r="N132" s="1">
        <f>SUM(Q132:BA132)</f>
        <v>0</v>
      </c>
      <c r="Q132" s="1">
        <f t="shared" ref="Q132:BA132" si="88">SUM(Q120,Q122,Q125)*SUM(Q133:Q134)*OEt.w3</f>
        <v>0</v>
      </c>
      <c r="R132" s="1">
        <f t="shared" si="88"/>
        <v>0</v>
      </c>
      <c r="S132" s="1">
        <f t="shared" si="88"/>
        <v>0</v>
      </c>
      <c r="T132" s="1">
        <f t="shared" si="88"/>
        <v>0</v>
      </c>
      <c r="U132" s="1">
        <f t="shared" si="88"/>
        <v>0</v>
      </c>
      <c r="V132" s="1">
        <f t="shared" si="88"/>
        <v>0</v>
      </c>
      <c r="W132" s="1">
        <f t="shared" si="88"/>
        <v>0</v>
      </c>
      <c r="X132" s="1">
        <f t="shared" si="88"/>
        <v>0</v>
      </c>
      <c r="Y132" s="1">
        <f t="shared" si="88"/>
        <v>0</v>
      </c>
      <c r="Z132" s="1">
        <f t="shared" si="88"/>
        <v>0</v>
      </c>
      <c r="AA132" s="1">
        <f t="shared" si="88"/>
        <v>0</v>
      </c>
      <c r="AB132" s="1">
        <f t="shared" si="88"/>
        <v>0</v>
      </c>
      <c r="AC132" s="1">
        <f t="shared" si="88"/>
        <v>0</v>
      </c>
      <c r="AD132" s="1">
        <f t="shared" si="88"/>
        <v>0</v>
      </c>
      <c r="AE132" s="1">
        <f t="shared" si="88"/>
        <v>0</v>
      </c>
      <c r="AF132" s="1">
        <f t="shared" si="88"/>
        <v>0</v>
      </c>
      <c r="AG132" s="1">
        <f t="shared" si="88"/>
        <v>0</v>
      </c>
      <c r="AH132" s="1">
        <f t="shared" si="88"/>
        <v>0</v>
      </c>
      <c r="AI132" s="1">
        <f t="shared" si="88"/>
        <v>0</v>
      </c>
      <c r="AJ132" s="1">
        <f t="shared" si="88"/>
        <v>0</v>
      </c>
      <c r="AK132" s="1">
        <f t="shared" si="88"/>
        <v>0</v>
      </c>
      <c r="AL132" s="1">
        <f t="shared" si="88"/>
        <v>0</v>
      </c>
      <c r="AM132" s="1">
        <f t="shared" si="88"/>
        <v>0</v>
      </c>
      <c r="AN132" s="1">
        <f t="shared" si="88"/>
        <v>0</v>
      </c>
      <c r="AO132" s="1">
        <f t="shared" si="88"/>
        <v>0</v>
      </c>
      <c r="AP132" s="1">
        <f t="shared" si="88"/>
        <v>0</v>
      </c>
      <c r="AQ132" s="1">
        <f t="shared" si="88"/>
        <v>0</v>
      </c>
      <c r="AR132" s="1">
        <f t="shared" si="88"/>
        <v>0</v>
      </c>
      <c r="AS132" s="1">
        <f t="shared" si="88"/>
        <v>0</v>
      </c>
      <c r="AT132" s="1">
        <f t="shared" si="88"/>
        <v>0</v>
      </c>
      <c r="AU132" s="1">
        <f t="shared" si="88"/>
        <v>0</v>
      </c>
      <c r="AV132" s="1">
        <f t="shared" si="88"/>
        <v>0</v>
      </c>
      <c r="AW132" s="1">
        <f t="shared" si="88"/>
        <v>0</v>
      </c>
      <c r="AX132" s="1">
        <f t="shared" si="88"/>
        <v>0</v>
      </c>
      <c r="AY132" s="1">
        <f t="shared" si="88"/>
        <v>0</v>
      </c>
      <c r="AZ132" s="1">
        <f t="shared" si="88"/>
        <v>0</v>
      </c>
      <c r="BA132" s="1">
        <f t="shared" si="88"/>
        <v>0</v>
      </c>
    </row>
    <row r="133" spans="3:53" ht="15.75" customHeight="1" x14ac:dyDescent="0.35">
      <c r="E133" s="5" t="s">
        <v>35</v>
      </c>
      <c r="F133" s="5"/>
      <c r="G133" s="5"/>
      <c r="H133" s="5"/>
      <c r="I133" s="5"/>
      <c r="J133" s="5"/>
      <c r="K133" s="5"/>
      <c r="Q133" s="6">
        <f>'zakładka techniczna'!Q$11</f>
        <v>5.5199999999999999E-2</v>
      </c>
      <c r="R133" s="6">
        <f>'zakładka techniczna'!R$11</f>
        <v>5.1799999999999999E-2</v>
      </c>
      <c r="S133" s="6">
        <f>'zakładka techniczna'!S$11</f>
        <v>4.6199999999999998E-2</v>
      </c>
      <c r="T133" s="6">
        <f>'zakładka techniczna'!T$11</f>
        <v>4.6199999999999998E-2</v>
      </c>
      <c r="U133" s="6">
        <f>'zakładka techniczna'!U$11</f>
        <v>3.5000000000000003E-2</v>
      </c>
      <c r="V133" s="6">
        <f>'zakładka techniczna'!V$11</f>
        <v>3.5000000000000003E-2</v>
      </c>
      <c r="W133" s="6">
        <f>'zakładka techniczna'!W$11</f>
        <v>3.5000000000000003E-2</v>
      </c>
      <c r="X133" s="6">
        <f>'zakładka techniczna'!X$11</f>
        <v>3.5000000000000003E-2</v>
      </c>
      <c r="Y133" s="6">
        <f>'zakładka techniczna'!Y$11</f>
        <v>3.5000000000000003E-2</v>
      </c>
      <c r="Z133" s="6">
        <f>'zakładka techniczna'!Z$11</f>
        <v>3.5000000000000003E-2</v>
      </c>
      <c r="AA133" s="6">
        <f>'zakładka techniczna'!AA$11</f>
        <v>3.5000000000000003E-2</v>
      </c>
      <c r="AB133" s="6">
        <f>'zakładka techniczna'!AB$11</f>
        <v>3.5000000000000003E-2</v>
      </c>
      <c r="AC133" s="6">
        <f>'zakładka techniczna'!AC$11</f>
        <v>3.5000000000000003E-2</v>
      </c>
      <c r="AD133" s="6">
        <f>'zakładka techniczna'!AD$11</f>
        <v>3.5000000000000003E-2</v>
      </c>
      <c r="AE133" s="6">
        <f>'zakładka techniczna'!AE$11</f>
        <v>3.5000000000000003E-2</v>
      </c>
      <c r="AF133" s="6">
        <f>'zakładka techniczna'!AF$11</f>
        <v>3.5000000000000003E-2</v>
      </c>
      <c r="AG133" s="6">
        <f>'zakładka techniczna'!AG$11</f>
        <v>3.5000000000000003E-2</v>
      </c>
      <c r="AH133" s="6">
        <f>'zakładka techniczna'!AH$11</f>
        <v>3.5000000000000003E-2</v>
      </c>
      <c r="AI133" s="6">
        <f>'zakładka techniczna'!AI$11</f>
        <v>3.5000000000000003E-2</v>
      </c>
      <c r="AJ133" s="6">
        <f>'zakładka techniczna'!AJ$11</f>
        <v>3.5000000000000003E-2</v>
      </c>
      <c r="AK133" s="6">
        <f>'zakładka techniczna'!AK$11</f>
        <v>3.5000000000000003E-2</v>
      </c>
      <c r="AL133" s="6">
        <f>'zakładka techniczna'!AL$11</f>
        <v>3.5000000000000003E-2</v>
      </c>
      <c r="AM133" s="6">
        <f>'zakładka techniczna'!AM$11</f>
        <v>3.5000000000000003E-2</v>
      </c>
      <c r="AN133" s="6">
        <f>'zakładka techniczna'!AN$11</f>
        <v>3.5000000000000003E-2</v>
      </c>
      <c r="AO133" s="6">
        <f>'zakładka techniczna'!AO$11</f>
        <v>3.5000000000000003E-2</v>
      </c>
      <c r="AP133" s="6">
        <f>'zakładka techniczna'!AP$11</f>
        <v>3.5000000000000003E-2</v>
      </c>
      <c r="AQ133" s="6">
        <f>'zakładka techniczna'!AQ$11</f>
        <v>3.5000000000000003E-2</v>
      </c>
      <c r="AR133" s="6">
        <f>'zakładka techniczna'!AR$11</f>
        <v>3.5000000000000003E-2</v>
      </c>
      <c r="AS133" s="6">
        <f>'zakładka techniczna'!AS$11</f>
        <v>3.5000000000000003E-2</v>
      </c>
      <c r="AT133" s="6">
        <f>'zakładka techniczna'!AT$11</f>
        <v>3.5000000000000003E-2</v>
      </c>
      <c r="AU133" s="6">
        <f>'zakładka techniczna'!AU$11</f>
        <v>3.5000000000000003E-2</v>
      </c>
      <c r="AV133" s="6">
        <f>'zakładka techniczna'!AV$11</f>
        <v>3.5000000000000003E-2</v>
      </c>
      <c r="AW133" s="6">
        <f>'zakładka techniczna'!AW$11</f>
        <v>3.5000000000000003E-2</v>
      </c>
      <c r="AX133" s="6">
        <f>'zakładka techniczna'!AX$11</f>
        <v>3.5000000000000003E-2</v>
      </c>
      <c r="AY133" s="6">
        <f>'zakładka techniczna'!AY$11</f>
        <v>3.5000000000000003E-2</v>
      </c>
      <c r="AZ133" s="6">
        <f>'zakładka techniczna'!AZ$11</f>
        <v>3.5000000000000003E-2</v>
      </c>
      <c r="BA133" s="6">
        <f>'zakładka techniczna'!BA$11</f>
        <v>3.5000000000000003E-2</v>
      </c>
    </row>
    <row r="134" spans="3:53" ht="15.75" customHeight="1" x14ac:dyDescent="0.35">
      <c r="E134" s="5" t="s">
        <v>74</v>
      </c>
      <c r="F134" s="5"/>
      <c r="G134" s="5"/>
      <c r="H134" s="5"/>
      <c r="I134" s="5"/>
      <c r="J134" s="5"/>
      <c r="K134" s="5"/>
      <c r="Q134" s="6">
        <f>'zakładka techniczna'!$N$23</f>
        <v>2.5000000000000001E-2</v>
      </c>
      <c r="R134" s="6">
        <f>'zakładka techniczna'!$N$23</f>
        <v>2.5000000000000001E-2</v>
      </c>
      <c r="S134" s="6">
        <f>'zakładka techniczna'!$N$23</f>
        <v>2.5000000000000001E-2</v>
      </c>
      <c r="T134" s="6">
        <f>'zakładka techniczna'!$N$23</f>
        <v>2.5000000000000001E-2</v>
      </c>
      <c r="U134" s="6">
        <f>'zakładka techniczna'!$N$23</f>
        <v>2.5000000000000001E-2</v>
      </c>
      <c r="V134" s="6">
        <f>'zakładka techniczna'!$N$23</f>
        <v>2.5000000000000001E-2</v>
      </c>
      <c r="W134" s="6">
        <f>'zakładka techniczna'!$N$23</f>
        <v>2.5000000000000001E-2</v>
      </c>
      <c r="X134" s="6">
        <f>'zakładka techniczna'!$N$23</f>
        <v>2.5000000000000001E-2</v>
      </c>
      <c r="Y134" s="6">
        <f>'zakładka techniczna'!$N$23</f>
        <v>2.5000000000000001E-2</v>
      </c>
      <c r="Z134" s="6">
        <f>'zakładka techniczna'!$N$23</f>
        <v>2.5000000000000001E-2</v>
      </c>
      <c r="AA134" s="6">
        <f>'zakładka techniczna'!$N$23</f>
        <v>2.5000000000000001E-2</v>
      </c>
      <c r="AB134" s="6">
        <f>'zakładka techniczna'!$N$23</f>
        <v>2.5000000000000001E-2</v>
      </c>
      <c r="AC134" s="6">
        <f>'zakładka techniczna'!$N$23</f>
        <v>2.5000000000000001E-2</v>
      </c>
      <c r="AD134" s="6">
        <f>'zakładka techniczna'!$N$23</f>
        <v>2.5000000000000001E-2</v>
      </c>
      <c r="AE134" s="6">
        <f>'zakładka techniczna'!$N$23</f>
        <v>2.5000000000000001E-2</v>
      </c>
      <c r="AF134" s="6">
        <f>'zakładka techniczna'!$N$23</f>
        <v>2.5000000000000001E-2</v>
      </c>
      <c r="AG134" s="6">
        <f>'zakładka techniczna'!$N$23</f>
        <v>2.5000000000000001E-2</v>
      </c>
      <c r="AH134" s="6">
        <f>'zakładka techniczna'!$N$23</f>
        <v>2.5000000000000001E-2</v>
      </c>
      <c r="AI134" s="6">
        <f>'zakładka techniczna'!$N$23</f>
        <v>2.5000000000000001E-2</v>
      </c>
      <c r="AJ134" s="6">
        <f>'zakładka techniczna'!$N$23</f>
        <v>2.5000000000000001E-2</v>
      </c>
      <c r="AK134" s="6">
        <f>'zakładka techniczna'!$N$23</f>
        <v>2.5000000000000001E-2</v>
      </c>
      <c r="AL134" s="6">
        <f>'zakładka techniczna'!$N$23</f>
        <v>2.5000000000000001E-2</v>
      </c>
      <c r="AM134" s="6">
        <f>'zakładka techniczna'!$N$23</f>
        <v>2.5000000000000001E-2</v>
      </c>
      <c r="AN134" s="6">
        <f>'zakładka techniczna'!$N$23</f>
        <v>2.5000000000000001E-2</v>
      </c>
      <c r="AO134" s="6">
        <f>'zakładka techniczna'!$N$23</f>
        <v>2.5000000000000001E-2</v>
      </c>
      <c r="AP134" s="6">
        <f>'zakładka techniczna'!$N$23</f>
        <v>2.5000000000000001E-2</v>
      </c>
      <c r="AQ134" s="6">
        <f>'zakładka techniczna'!$N$23</f>
        <v>2.5000000000000001E-2</v>
      </c>
      <c r="AR134" s="6">
        <f>'zakładka techniczna'!$N$23</f>
        <v>2.5000000000000001E-2</v>
      </c>
      <c r="AS134" s="6">
        <f>'zakładka techniczna'!$N$23</f>
        <v>2.5000000000000001E-2</v>
      </c>
      <c r="AT134" s="6">
        <f>'zakładka techniczna'!$N$23</f>
        <v>2.5000000000000001E-2</v>
      </c>
      <c r="AU134" s="6">
        <f>'zakładka techniczna'!$N$23</f>
        <v>2.5000000000000001E-2</v>
      </c>
      <c r="AV134" s="6">
        <f>'zakładka techniczna'!$N$23</f>
        <v>2.5000000000000001E-2</v>
      </c>
      <c r="AW134" s="6">
        <f>'zakładka techniczna'!$N$23</f>
        <v>2.5000000000000001E-2</v>
      </c>
      <c r="AX134" s="6">
        <f>'zakładka techniczna'!$N$23</f>
        <v>2.5000000000000001E-2</v>
      </c>
      <c r="AY134" s="6">
        <f>'zakładka techniczna'!$N$23</f>
        <v>2.5000000000000001E-2</v>
      </c>
      <c r="AZ134" s="6">
        <f>'zakładka techniczna'!$N$23</f>
        <v>2.5000000000000001E-2</v>
      </c>
      <c r="BA134" s="6">
        <f>'zakładka techniczna'!$N$23</f>
        <v>2.5000000000000001E-2</v>
      </c>
    </row>
    <row r="135" spans="3:53" x14ac:dyDescent="0.35">
      <c r="D135" s="5"/>
    </row>
    <row r="136" spans="3:53" ht="17.25" customHeight="1" x14ac:dyDescent="0.35">
      <c r="C136" s="8" t="s">
        <v>117</v>
      </c>
      <c r="D136" s="8"/>
      <c r="E136" s="9"/>
      <c r="F136" s="9"/>
      <c r="G136" s="9"/>
      <c r="H136" s="9"/>
      <c r="I136" s="9"/>
      <c r="J136" s="9"/>
      <c r="K136" s="9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</row>
    <row r="137" spans="3:53" ht="15.75" customHeight="1" x14ac:dyDescent="0.35">
      <c r="D137" s="2" t="s">
        <v>26</v>
      </c>
      <c r="E137" s="5"/>
      <c r="F137" s="5"/>
      <c r="G137" s="5"/>
      <c r="H137" s="5"/>
      <c r="I137" s="5"/>
      <c r="J137" s="5"/>
      <c r="K137" s="5"/>
      <c r="N137" s="11">
        <f>Q137</f>
        <v>0</v>
      </c>
      <c r="Q137" s="14">
        <v>0</v>
      </c>
      <c r="R137" s="11">
        <f t="shared" ref="R137:BA137" si="89">Q145</f>
        <v>0</v>
      </c>
      <c r="S137" s="11">
        <f t="shared" si="89"/>
        <v>0</v>
      </c>
      <c r="T137" s="11">
        <f t="shared" si="89"/>
        <v>0</v>
      </c>
      <c r="U137" s="11">
        <f t="shared" si="89"/>
        <v>0</v>
      </c>
      <c r="V137" s="11">
        <f t="shared" si="89"/>
        <v>0</v>
      </c>
      <c r="W137" s="11">
        <f t="shared" si="89"/>
        <v>0</v>
      </c>
      <c r="X137" s="11">
        <f t="shared" si="89"/>
        <v>0</v>
      </c>
      <c r="Y137" s="11">
        <f t="shared" si="89"/>
        <v>0</v>
      </c>
      <c r="Z137" s="11">
        <f t="shared" si="89"/>
        <v>0</v>
      </c>
      <c r="AA137" s="11">
        <f t="shared" si="89"/>
        <v>0</v>
      </c>
      <c r="AB137" s="11">
        <f t="shared" si="89"/>
        <v>0</v>
      </c>
      <c r="AC137" s="11">
        <f t="shared" si="89"/>
        <v>0</v>
      </c>
      <c r="AD137" s="11">
        <f t="shared" si="89"/>
        <v>0</v>
      </c>
      <c r="AE137" s="11">
        <f t="shared" si="89"/>
        <v>0</v>
      </c>
      <c r="AF137" s="11">
        <f t="shared" si="89"/>
        <v>0</v>
      </c>
      <c r="AG137" s="11">
        <f t="shared" si="89"/>
        <v>0</v>
      </c>
      <c r="AH137" s="11">
        <f t="shared" si="89"/>
        <v>0</v>
      </c>
      <c r="AI137" s="11">
        <f t="shared" si="89"/>
        <v>0</v>
      </c>
      <c r="AJ137" s="11">
        <f t="shared" si="89"/>
        <v>0</v>
      </c>
      <c r="AK137" s="11">
        <f t="shared" si="89"/>
        <v>0</v>
      </c>
      <c r="AL137" s="11">
        <f t="shared" si="89"/>
        <v>0</v>
      </c>
      <c r="AM137" s="11">
        <f t="shared" si="89"/>
        <v>0</v>
      </c>
      <c r="AN137" s="11">
        <f t="shared" si="89"/>
        <v>0</v>
      </c>
      <c r="AO137" s="11">
        <f t="shared" si="89"/>
        <v>0</v>
      </c>
      <c r="AP137" s="11">
        <f t="shared" si="89"/>
        <v>0</v>
      </c>
      <c r="AQ137" s="11">
        <f t="shared" si="89"/>
        <v>0</v>
      </c>
      <c r="AR137" s="11">
        <f t="shared" si="89"/>
        <v>0</v>
      </c>
      <c r="AS137" s="11">
        <f t="shared" si="89"/>
        <v>0</v>
      </c>
      <c r="AT137" s="11">
        <f t="shared" si="89"/>
        <v>0</v>
      </c>
      <c r="AU137" s="11">
        <f t="shared" si="89"/>
        <v>0</v>
      </c>
      <c r="AV137" s="11">
        <f t="shared" si="89"/>
        <v>0</v>
      </c>
      <c r="AW137" s="11">
        <f t="shared" si="89"/>
        <v>0</v>
      </c>
      <c r="AX137" s="11">
        <f t="shared" si="89"/>
        <v>0</v>
      </c>
      <c r="AY137" s="11">
        <f t="shared" si="89"/>
        <v>0</v>
      </c>
      <c r="AZ137" s="11">
        <f t="shared" si="89"/>
        <v>0</v>
      </c>
      <c r="BA137" s="11">
        <f t="shared" si="89"/>
        <v>0</v>
      </c>
    </row>
    <row r="138" spans="3:53" ht="15.75" customHeight="1" x14ac:dyDescent="0.35">
      <c r="E138" s="5" t="s">
        <v>30</v>
      </c>
      <c r="F138" s="5"/>
      <c r="G138" s="5"/>
      <c r="H138" s="5"/>
      <c r="I138" s="5"/>
      <c r="J138" s="5"/>
      <c r="K138" s="5"/>
      <c r="N138" s="1">
        <f t="shared" ref="N138:N144" si="90">SUM(Q138:BA138)</f>
        <v>0</v>
      </c>
      <c r="Q138" s="1">
        <f t="shared" ref="Q138:BA138" si="91">SUM(Q139:Q141)</f>
        <v>0</v>
      </c>
      <c r="R138" s="1">
        <f t="shared" si="91"/>
        <v>0</v>
      </c>
      <c r="S138" s="1">
        <f t="shared" si="91"/>
        <v>0</v>
      </c>
      <c r="T138" s="1">
        <f t="shared" si="91"/>
        <v>0</v>
      </c>
      <c r="U138" s="1">
        <f t="shared" si="91"/>
        <v>0</v>
      </c>
      <c r="V138" s="1">
        <f t="shared" si="91"/>
        <v>0</v>
      </c>
      <c r="W138" s="1">
        <f t="shared" si="91"/>
        <v>0</v>
      </c>
      <c r="X138" s="1">
        <f t="shared" si="91"/>
        <v>0</v>
      </c>
      <c r="Y138" s="1">
        <f t="shared" si="91"/>
        <v>0</v>
      </c>
      <c r="Z138" s="1">
        <f t="shared" si="91"/>
        <v>0</v>
      </c>
      <c r="AA138" s="1">
        <f t="shared" si="91"/>
        <v>0</v>
      </c>
      <c r="AB138" s="1">
        <f t="shared" si="91"/>
        <v>0</v>
      </c>
      <c r="AC138" s="1">
        <f t="shared" si="91"/>
        <v>0</v>
      </c>
      <c r="AD138" s="1">
        <f t="shared" si="91"/>
        <v>0</v>
      </c>
      <c r="AE138" s="1">
        <f t="shared" si="91"/>
        <v>0</v>
      </c>
      <c r="AF138" s="1">
        <f t="shared" si="91"/>
        <v>0</v>
      </c>
      <c r="AG138" s="1">
        <f t="shared" si="91"/>
        <v>0</v>
      </c>
      <c r="AH138" s="1">
        <f t="shared" si="91"/>
        <v>0</v>
      </c>
      <c r="AI138" s="1">
        <f t="shared" si="91"/>
        <v>0</v>
      </c>
      <c r="AJ138" s="1">
        <f t="shared" si="91"/>
        <v>0</v>
      </c>
      <c r="AK138" s="1">
        <f t="shared" si="91"/>
        <v>0</v>
      </c>
      <c r="AL138" s="1">
        <f t="shared" si="91"/>
        <v>0</v>
      </c>
      <c r="AM138" s="1">
        <f t="shared" si="91"/>
        <v>0</v>
      </c>
      <c r="AN138" s="1">
        <f t="shared" si="91"/>
        <v>0</v>
      </c>
      <c r="AO138" s="1">
        <f t="shared" si="91"/>
        <v>0</v>
      </c>
      <c r="AP138" s="1">
        <f t="shared" si="91"/>
        <v>0</v>
      </c>
      <c r="AQ138" s="1">
        <f t="shared" si="91"/>
        <v>0</v>
      </c>
      <c r="AR138" s="1">
        <f t="shared" si="91"/>
        <v>0</v>
      </c>
      <c r="AS138" s="1">
        <f t="shared" si="91"/>
        <v>0</v>
      </c>
      <c r="AT138" s="1">
        <f t="shared" si="91"/>
        <v>0</v>
      </c>
      <c r="AU138" s="1">
        <f t="shared" si="91"/>
        <v>0</v>
      </c>
      <c r="AV138" s="1">
        <f t="shared" si="91"/>
        <v>0</v>
      </c>
      <c r="AW138" s="1">
        <f t="shared" si="91"/>
        <v>0</v>
      </c>
      <c r="AX138" s="1">
        <f t="shared" si="91"/>
        <v>0</v>
      </c>
      <c r="AY138" s="1">
        <f t="shared" si="91"/>
        <v>0</v>
      </c>
      <c r="AZ138" s="1">
        <f t="shared" si="91"/>
        <v>0</v>
      </c>
      <c r="BA138" s="1">
        <f t="shared" si="91"/>
        <v>0</v>
      </c>
    </row>
    <row r="139" spans="3:53" ht="15.75" customHeight="1" x14ac:dyDescent="0.35">
      <c r="F139" s="5" t="s">
        <v>67</v>
      </c>
      <c r="G139" s="5"/>
      <c r="H139" s="5"/>
      <c r="I139" s="5"/>
      <c r="J139" s="5"/>
      <c r="K139" s="5"/>
      <c r="N139" s="1">
        <f t="shared" si="90"/>
        <v>0</v>
      </c>
      <c r="Q139" s="1">
        <f t="shared" ref="Q139:BA139" si="92">Q182</f>
        <v>0</v>
      </c>
      <c r="R139" s="1">
        <f t="shared" si="92"/>
        <v>0</v>
      </c>
      <c r="S139" s="1">
        <f t="shared" si="92"/>
        <v>0</v>
      </c>
      <c r="T139" s="1">
        <f t="shared" si="92"/>
        <v>0</v>
      </c>
      <c r="U139" s="1">
        <f t="shared" si="92"/>
        <v>0</v>
      </c>
      <c r="V139" s="1">
        <f t="shared" si="92"/>
        <v>0</v>
      </c>
      <c r="W139" s="1">
        <f t="shared" si="92"/>
        <v>0</v>
      </c>
      <c r="X139" s="1">
        <f t="shared" si="92"/>
        <v>0</v>
      </c>
      <c r="Y139" s="1">
        <f t="shared" si="92"/>
        <v>0</v>
      </c>
      <c r="Z139" s="1">
        <f t="shared" si="92"/>
        <v>0</v>
      </c>
      <c r="AA139" s="1">
        <f t="shared" si="92"/>
        <v>0</v>
      </c>
      <c r="AB139" s="1">
        <f t="shared" si="92"/>
        <v>0</v>
      </c>
      <c r="AC139" s="1">
        <f t="shared" si="92"/>
        <v>0</v>
      </c>
      <c r="AD139" s="1">
        <f t="shared" si="92"/>
        <v>0</v>
      </c>
      <c r="AE139" s="1">
        <f t="shared" si="92"/>
        <v>0</v>
      </c>
      <c r="AF139" s="1">
        <f t="shared" si="92"/>
        <v>0</v>
      </c>
      <c r="AG139" s="1">
        <f t="shared" si="92"/>
        <v>0</v>
      </c>
      <c r="AH139" s="1">
        <f t="shared" si="92"/>
        <v>0</v>
      </c>
      <c r="AI139" s="1">
        <f t="shared" si="92"/>
        <v>0</v>
      </c>
      <c r="AJ139" s="1">
        <f t="shared" si="92"/>
        <v>0</v>
      </c>
      <c r="AK139" s="1">
        <f t="shared" si="92"/>
        <v>0</v>
      </c>
      <c r="AL139" s="1">
        <f t="shared" si="92"/>
        <v>0</v>
      </c>
      <c r="AM139" s="1">
        <f t="shared" si="92"/>
        <v>0</v>
      </c>
      <c r="AN139" s="1">
        <f t="shared" si="92"/>
        <v>0</v>
      </c>
      <c r="AO139" s="1">
        <f t="shared" si="92"/>
        <v>0</v>
      </c>
      <c r="AP139" s="1">
        <f t="shared" si="92"/>
        <v>0</v>
      </c>
      <c r="AQ139" s="1">
        <f t="shared" si="92"/>
        <v>0</v>
      </c>
      <c r="AR139" s="1">
        <f t="shared" si="92"/>
        <v>0</v>
      </c>
      <c r="AS139" s="1">
        <f t="shared" si="92"/>
        <v>0</v>
      </c>
      <c r="AT139" s="1">
        <f t="shared" si="92"/>
        <v>0</v>
      </c>
      <c r="AU139" s="1">
        <f t="shared" si="92"/>
        <v>0</v>
      </c>
      <c r="AV139" s="1">
        <f t="shared" si="92"/>
        <v>0</v>
      </c>
      <c r="AW139" s="1">
        <f t="shared" si="92"/>
        <v>0</v>
      </c>
      <c r="AX139" s="1">
        <f t="shared" si="92"/>
        <v>0</v>
      </c>
      <c r="AY139" s="1">
        <f t="shared" si="92"/>
        <v>0</v>
      </c>
      <c r="AZ139" s="1">
        <f t="shared" si="92"/>
        <v>0</v>
      </c>
      <c r="BA139" s="1">
        <f t="shared" si="92"/>
        <v>0</v>
      </c>
    </row>
    <row r="140" spans="3:53" ht="15.75" customHeight="1" x14ac:dyDescent="0.35">
      <c r="F140" s="5" t="s">
        <v>71</v>
      </c>
      <c r="G140" s="5"/>
      <c r="H140" s="5"/>
      <c r="I140" s="5"/>
      <c r="J140" s="5"/>
      <c r="K140" s="5"/>
      <c r="N140" s="1">
        <f t="shared" si="90"/>
        <v>0</v>
      </c>
      <c r="Q140" s="1">
        <f>SUM($Q$175:$BA$175)*'zakładka techniczna'!$N$19*'zakładka techniczna'!$N$25*OPp.w3</f>
        <v>0</v>
      </c>
      <c r="R140" s="1">
        <f>SUM($Q$175:$BA$175)*'zakładka techniczna'!$N$19*'zakładka techniczna'!$N$25*OPp.w3</f>
        <v>0</v>
      </c>
      <c r="S140" s="1">
        <f>SUM($Q$175:$BA$175)*'zakładka techniczna'!$N$19*'zakładka techniczna'!$N$25*OPp.w3</f>
        <v>0</v>
      </c>
      <c r="T140" s="1">
        <f>SUM($Q$175:$BA$175)*'zakładka techniczna'!$N$19*'zakładka techniczna'!$N$25*OPp.w3</f>
        <v>0</v>
      </c>
      <c r="U140" s="1">
        <f>SUM($Q$175:$BA$175)*'zakładka techniczna'!$N$19*'zakładka techniczna'!$N$25*OPp.w3</f>
        <v>0</v>
      </c>
      <c r="V140" s="1">
        <f>SUM($Q$175:$BA$175)*'zakładka techniczna'!$N$19*'zakładka techniczna'!$N$25*OPp.w3</f>
        <v>0</v>
      </c>
      <c r="W140" s="1">
        <f>SUM($Q$175:$BA$175)*'zakładka techniczna'!$N$19*'zakładka techniczna'!$N$25*OPp.w3</f>
        <v>0</v>
      </c>
      <c r="X140" s="1">
        <f>SUM($Q$175:$BA$175)*'zakładka techniczna'!$N$19*'zakładka techniczna'!$N$25*OPp.w3</f>
        <v>0</v>
      </c>
      <c r="Y140" s="1">
        <f>SUM($Q$175:$BA$175)*'zakładka techniczna'!$N$19*'zakładka techniczna'!$N$25*OPp.w3</f>
        <v>0</v>
      </c>
      <c r="Z140" s="1">
        <f>SUM($Q$175:$BA$175)*'zakładka techniczna'!$N$19*'zakładka techniczna'!$N$25*OPp.w3</f>
        <v>0</v>
      </c>
      <c r="AA140" s="1">
        <f>SUM($Q$175:$BA$175)*'zakładka techniczna'!$N$19*'zakładka techniczna'!$N$25*OPp.w3</f>
        <v>0</v>
      </c>
      <c r="AB140" s="1">
        <f>SUM($Q$175:$BA$175)*'zakładka techniczna'!$N$19*'zakładka techniczna'!$N$25*OPp.w3</f>
        <v>0</v>
      </c>
      <c r="AC140" s="1">
        <f>SUM($Q$175:$BA$175)*'zakładka techniczna'!$N$19*'zakładka techniczna'!$N$25*OPp.w3</f>
        <v>0</v>
      </c>
      <c r="AD140" s="1">
        <f>SUM($Q$175:$BA$175)*'zakładka techniczna'!$N$19*'zakładka techniczna'!$N$25*OPp.w3</f>
        <v>0</v>
      </c>
      <c r="AE140" s="1">
        <f>SUM($Q$175:$BA$175)*'zakładka techniczna'!$N$19*'zakładka techniczna'!$N$25*OPp.w3</f>
        <v>0</v>
      </c>
      <c r="AF140" s="1">
        <f>SUM($Q$175:$BA$175)*'zakładka techniczna'!$N$19*'zakładka techniczna'!$N$25*OPp.w3</f>
        <v>0</v>
      </c>
      <c r="AG140" s="1">
        <f>SUM($Q$175:$BA$175)*'zakładka techniczna'!$N$19*'zakładka techniczna'!$N$25*OPp.w3</f>
        <v>0</v>
      </c>
      <c r="AH140" s="1">
        <f>SUM($Q$175:$BA$175)*'zakładka techniczna'!$N$19*'zakładka techniczna'!$N$25*OPp.w3</f>
        <v>0</v>
      </c>
      <c r="AI140" s="1">
        <f>SUM($Q$175:$BA$175)*'zakładka techniczna'!$N$19*'zakładka techniczna'!$N$25*OPp.w3</f>
        <v>0</v>
      </c>
      <c r="AJ140" s="1">
        <f>SUM($Q$175:$BA$175)*'zakładka techniczna'!$N$19*'zakładka techniczna'!$N$25*OPp.w3</f>
        <v>0</v>
      </c>
      <c r="AK140" s="1">
        <f>SUM($Q$175:$BA$175)*'zakładka techniczna'!$N$19*'zakładka techniczna'!$N$25*OPp.w3</f>
        <v>0</v>
      </c>
      <c r="AL140" s="1">
        <f>SUM($Q$175:$BA$175)*'zakładka techniczna'!$N$19*'zakładka techniczna'!$N$25*OPp.w3</f>
        <v>0</v>
      </c>
      <c r="AM140" s="1">
        <f>SUM($Q$175:$BA$175)*'zakładka techniczna'!$N$19*'zakładka techniczna'!$N$25*OPp.w3</f>
        <v>0</v>
      </c>
      <c r="AN140" s="1">
        <f>SUM($Q$175:$BA$175)*'zakładka techniczna'!$N$19*'zakładka techniczna'!$N$25*OPp.w3</f>
        <v>0</v>
      </c>
      <c r="AO140" s="1">
        <f>SUM($Q$175:$BA$175)*'zakładka techniczna'!$N$19*'zakładka techniczna'!$N$25*OPp.w3</f>
        <v>0</v>
      </c>
      <c r="AP140" s="1">
        <f>SUM($Q$175:$BA$175)*'zakładka techniczna'!$N$19*'zakładka techniczna'!$N$25*OPp.w3</f>
        <v>0</v>
      </c>
      <c r="AQ140" s="1">
        <f>SUM($Q$175:$BA$175)*'zakładka techniczna'!$N$19*'zakładka techniczna'!$N$25*OPp.w3</f>
        <v>0</v>
      </c>
      <c r="AR140" s="1">
        <f>SUM($Q$175:$BA$175)*'zakładka techniczna'!$N$19*'zakładka techniczna'!$N$25*OPp.w3</f>
        <v>0</v>
      </c>
      <c r="AS140" s="1">
        <f>SUM($Q$175:$BA$175)*'zakładka techniczna'!$N$19*'zakładka techniczna'!$N$25*OPp.w3</f>
        <v>0</v>
      </c>
      <c r="AT140" s="1">
        <f>SUM($Q$175:$BA$175)*'zakładka techniczna'!$N$19*'zakładka techniczna'!$N$25*OPp.w3</f>
        <v>0</v>
      </c>
      <c r="AU140" s="1">
        <f>SUM($Q$175:$BA$175)*'zakładka techniczna'!$N$19*'zakładka techniczna'!$N$25*OPp.w3</f>
        <v>0</v>
      </c>
      <c r="AV140" s="1">
        <f>SUM($Q$175:$BA$175)*'zakładka techniczna'!$N$19*'zakładka techniczna'!$N$25*OPp.w3</f>
        <v>0</v>
      </c>
      <c r="AW140" s="1">
        <f>SUM($Q$175:$BA$175)*'zakładka techniczna'!$N$19*'zakładka techniczna'!$N$25*OPp.w3</f>
        <v>0</v>
      </c>
      <c r="AX140" s="1">
        <f>SUM($Q$175:$BA$175)*'zakładka techniczna'!$N$19*'zakładka techniczna'!$N$25*OPp.w3</f>
        <v>0</v>
      </c>
      <c r="AY140" s="1">
        <f>SUM($Q$175:$BA$175)*'zakładka techniczna'!$N$19*'zakładka techniczna'!$N$25*OPp.w3</f>
        <v>0</v>
      </c>
      <c r="AZ140" s="1">
        <f>SUM($Q$175:$BA$175)*'zakładka techniczna'!$N$19*'zakładka techniczna'!$N$25*OPp.w3</f>
        <v>0</v>
      </c>
      <c r="BA140" s="1">
        <f>SUM($Q$175:$BA$175)*'zakładka techniczna'!$N$19*'zakładka techniczna'!$N$25*OPp.w3</f>
        <v>0</v>
      </c>
    </row>
    <row r="141" spans="3:53" ht="15.75" customHeight="1" x14ac:dyDescent="0.35">
      <c r="F141" s="5" t="s">
        <v>70</v>
      </c>
      <c r="G141" s="5"/>
      <c r="H141" s="5"/>
      <c r="I141" s="5"/>
      <c r="J141" s="5"/>
      <c r="K141" s="5"/>
      <c r="N141" s="1">
        <f t="shared" si="90"/>
        <v>0</v>
      </c>
      <c r="Q141" s="1">
        <f t="shared" ref="Q141:BA141" si="93">SUM(Q137,Q139)*SUM(Q148:Q149)*(OBt.w3+OPt.w3)</f>
        <v>0</v>
      </c>
      <c r="R141" s="1">
        <f t="shared" si="93"/>
        <v>0</v>
      </c>
      <c r="S141" s="1">
        <f t="shared" si="93"/>
        <v>0</v>
      </c>
      <c r="T141" s="1">
        <f t="shared" si="93"/>
        <v>0</v>
      </c>
      <c r="U141" s="1">
        <f t="shared" si="93"/>
        <v>0</v>
      </c>
      <c r="V141" s="1">
        <f t="shared" si="93"/>
        <v>0</v>
      </c>
      <c r="W141" s="1">
        <f t="shared" si="93"/>
        <v>0</v>
      </c>
      <c r="X141" s="1">
        <f t="shared" si="93"/>
        <v>0</v>
      </c>
      <c r="Y141" s="1">
        <f t="shared" si="93"/>
        <v>0</v>
      </c>
      <c r="Z141" s="1">
        <f t="shared" si="93"/>
        <v>0</v>
      </c>
      <c r="AA141" s="1">
        <f t="shared" si="93"/>
        <v>0</v>
      </c>
      <c r="AB141" s="1">
        <f t="shared" si="93"/>
        <v>0</v>
      </c>
      <c r="AC141" s="1">
        <f t="shared" si="93"/>
        <v>0</v>
      </c>
      <c r="AD141" s="1">
        <f t="shared" si="93"/>
        <v>0</v>
      </c>
      <c r="AE141" s="1">
        <f t="shared" si="93"/>
        <v>0</v>
      </c>
      <c r="AF141" s="1">
        <f t="shared" si="93"/>
        <v>0</v>
      </c>
      <c r="AG141" s="1">
        <f t="shared" si="93"/>
        <v>0</v>
      </c>
      <c r="AH141" s="1">
        <f t="shared" si="93"/>
        <v>0</v>
      </c>
      <c r="AI141" s="1">
        <f t="shared" si="93"/>
        <v>0</v>
      </c>
      <c r="AJ141" s="1">
        <f t="shared" si="93"/>
        <v>0</v>
      </c>
      <c r="AK141" s="1">
        <f t="shared" si="93"/>
        <v>0</v>
      </c>
      <c r="AL141" s="1">
        <f t="shared" si="93"/>
        <v>0</v>
      </c>
      <c r="AM141" s="1">
        <f t="shared" si="93"/>
        <v>0</v>
      </c>
      <c r="AN141" s="1">
        <f t="shared" si="93"/>
        <v>0</v>
      </c>
      <c r="AO141" s="1">
        <f t="shared" si="93"/>
        <v>0</v>
      </c>
      <c r="AP141" s="1">
        <f t="shared" si="93"/>
        <v>0</v>
      </c>
      <c r="AQ141" s="1">
        <f t="shared" si="93"/>
        <v>0</v>
      </c>
      <c r="AR141" s="1">
        <f t="shared" si="93"/>
        <v>0</v>
      </c>
      <c r="AS141" s="1">
        <f t="shared" si="93"/>
        <v>0</v>
      </c>
      <c r="AT141" s="1">
        <f t="shared" si="93"/>
        <v>0</v>
      </c>
      <c r="AU141" s="1">
        <f t="shared" si="93"/>
        <v>0</v>
      </c>
      <c r="AV141" s="1">
        <f t="shared" si="93"/>
        <v>0</v>
      </c>
      <c r="AW141" s="1">
        <f t="shared" si="93"/>
        <v>0</v>
      </c>
      <c r="AX141" s="1">
        <f t="shared" si="93"/>
        <v>0</v>
      </c>
      <c r="AY141" s="1">
        <f t="shared" si="93"/>
        <v>0</v>
      </c>
      <c r="AZ141" s="1">
        <f t="shared" si="93"/>
        <v>0</v>
      </c>
      <c r="BA141" s="1">
        <f t="shared" si="93"/>
        <v>0</v>
      </c>
    </row>
    <row r="142" spans="3:53" ht="15.75" customHeight="1" x14ac:dyDescent="0.35">
      <c r="E142" s="5" t="s">
        <v>31</v>
      </c>
      <c r="F142" s="5"/>
      <c r="G142" s="5"/>
      <c r="H142" s="5"/>
      <c r="I142" s="5"/>
      <c r="J142" s="5"/>
      <c r="K142" s="5"/>
      <c r="N142" s="1">
        <f t="shared" si="90"/>
        <v>0</v>
      </c>
      <c r="Q142" s="1">
        <f t="shared" ref="Q142:BA142" si="94">SUM(Q143:Q144)</f>
        <v>0</v>
      </c>
      <c r="R142" s="1">
        <f t="shared" si="94"/>
        <v>0</v>
      </c>
      <c r="S142" s="1">
        <f t="shared" si="94"/>
        <v>0</v>
      </c>
      <c r="T142" s="1">
        <f t="shared" si="94"/>
        <v>0</v>
      </c>
      <c r="U142" s="1">
        <f t="shared" si="94"/>
        <v>0</v>
      </c>
      <c r="V142" s="1">
        <f t="shared" si="94"/>
        <v>0</v>
      </c>
      <c r="W142" s="1">
        <f t="shared" si="94"/>
        <v>0</v>
      </c>
      <c r="X142" s="1">
        <f t="shared" si="94"/>
        <v>0</v>
      </c>
      <c r="Y142" s="1">
        <f t="shared" si="94"/>
        <v>0</v>
      </c>
      <c r="Z142" s="1">
        <f t="shared" si="94"/>
        <v>0</v>
      </c>
      <c r="AA142" s="1">
        <f t="shared" si="94"/>
        <v>0</v>
      </c>
      <c r="AB142" s="1">
        <f t="shared" si="94"/>
        <v>0</v>
      </c>
      <c r="AC142" s="1">
        <f t="shared" si="94"/>
        <v>0</v>
      </c>
      <c r="AD142" s="1">
        <f t="shared" si="94"/>
        <v>0</v>
      </c>
      <c r="AE142" s="1">
        <f t="shared" si="94"/>
        <v>0</v>
      </c>
      <c r="AF142" s="1">
        <f t="shared" si="94"/>
        <v>0</v>
      </c>
      <c r="AG142" s="1">
        <f t="shared" si="94"/>
        <v>0</v>
      </c>
      <c r="AH142" s="1">
        <f t="shared" si="94"/>
        <v>0</v>
      </c>
      <c r="AI142" s="1">
        <f t="shared" si="94"/>
        <v>0</v>
      </c>
      <c r="AJ142" s="1">
        <f t="shared" si="94"/>
        <v>0</v>
      </c>
      <c r="AK142" s="1">
        <f t="shared" si="94"/>
        <v>0</v>
      </c>
      <c r="AL142" s="1">
        <f t="shared" si="94"/>
        <v>0</v>
      </c>
      <c r="AM142" s="1">
        <f t="shared" si="94"/>
        <v>0</v>
      </c>
      <c r="AN142" s="1">
        <f t="shared" si="94"/>
        <v>0</v>
      </c>
      <c r="AO142" s="1">
        <f t="shared" si="94"/>
        <v>0</v>
      </c>
      <c r="AP142" s="1">
        <f t="shared" si="94"/>
        <v>0</v>
      </c>
      <c r="AQ142" s="1">
        <f t="shared" si="94"/>
        <v>0</v>
      </c>
      <c r="AR142" s="1">
        <f t="shared" si="94"/>
        <v>0</v>
      </c>
      <c r="AS142" s="1">
        <f t="shared" si="94"/>
        <v>0</v>
      </c>
      <c r="AT142" s="1">
        <f t="shared" si="94"/>
        <v>0</v>
      </c>
      <c r="AU142" s="1">
        <f t="shared" si="94"/>
        <v>0</v>
      </c>
      <c r="AV142" s="1">
        <f t="shared" si="94"/>
        <v>0</v>
      </c>
      <c r="AW142" s="1">
        <f t="shared" si="94"/>
        <v>0</v>
      </c>
      <c r="AX142" s="1">
        <f t="shared" si="94"/>
        <v>0</v>
      </c>
      <c r="AY142" s="1">
        <f t="shared" si="94"/>
        <v>0</v>
      </c>
      <c r="AZ142" s="1">
        <f t="shared" si="94"/>
        <v>0</v>
      </c>
      <c r="BA142" s="1">
        <f t="shared" si="94"/>
        <v>0</v>
      </c>
    </row>
    <row r="143" spans="3:53" ht="15.75" customHeight="1" x14ac:dyDescent="0.35">
      <c r="E143" s="5"/>
      <c r="F143" s="5" t="s">
        <v>83</v>
      </c>
      <c r="G143" s="5"/>
      <c r="H143" s="5"/>
      <c r="I143" s="5"/>
      <c r="J143" s="5"/>
      <c r="K143" s="5"/>
      <c r="N143" s="1">
        <f t="shared" si="90"/>
        <v>0</v>
      </c>
      <c r="Q143" s="1">
        <f>IFERROR(-MIN(Q137,SUM($P$139:Q141)/SUM(OEt.w3))*OEt.w3,0)</f>
        <v>0</v>
      </c>
      <c r="R143" s="1">
        <f>IFERROR(-MIN(R137,SUM($P$139:R141)/SUM(OEt.w3))*OEt.w3,0)</f>
        <v>0</v>
      </c>
      <c r="S143" s="1">
        <f>IFERROR(-MIN(S137,SUM($P$139:S141)/SUM(OEt.w3))*OEt.w3,0)</f>
        <v>0</v>
      </c>
      <c r="T143" s="1">
        <f>IFERROR(-MIN(T137,SUM($P$139:T141)/SUM(OEt.w3))*OEt.w3,0)</f>
        <v>0</v>
      </c>
      <c r="U143" s="1">
        <f>IFERROR(-MIN(U137,SUM($P$139:U141)/SUM(OEt.w3))*OEt.w3,0)</f>
        <v>0</v>
      </c>
      <c r="V143" s="1">
        <f>IFERROR(-MIN(V137,SUM($P$139:V141)/SUM(OEt.w3))*OEt.w3,0)</f>
        <v>0</v>
      </c>
      <c r="W143" s="1">
        <f>IFERROR(-MIN(W137,SUM($P$139:W141)/SUM(OEt.w3))*OEt.w3,0)</f>
        <v>0</v>
      </c>
      <c r="X143" s="1">
        <f>IFERROR(-MIN(X137,SUM($P$139:X141)/SUM(OEt.w3))*OEt.w3,0)</f>
        <v>0</v>
      </c>
      <c r="Y143" s="1">
        <f>IFERROR(-MIN(Y137,SUM($P$139:Y141)/SUM(OEt.w3))*OEt.w3,0)</f>
        <v>0</v>
      </c>
      <c r="Z143" s="1">
        <f>IFERROR(-MIN(Z137,SUM($P$139:Z141)/SUM(OEt.w3))*OEt.w3,0)</f>
        <v>0</v>
      </c>
      <c r="AA143" s="1">
        <f>IFERROR(-MIN(AA137,SUM($P$139:AA141)/SUM(OEt.w3))*OEt.w3,0)</f>
        <v>0</v>
      </c>
      <c r="AB143" s="1">
        <f>IFERROR(-MIN(AB137,SUM($P$139:AB141)/SUM(OEt.w3))*OEt.w3,0)</f>
        <v>0</v>
      </c>
      <c r="AC143" s="1">
        <f>IFERROR(-MIN(AC137,SUM($P$139:AC141)/SUM(OEt.w3))*OEt.w3,0)</f>
        <v>0</v>
      </c>
      <c r="AD143" s="1">
        <f>IFERROR(-MIN(AD137,SUM($P$139:AD141)/SUM(OEt.w3))*OEt.w3,0)</f>
        <v>0</v>
      </c>
      <c r="AE143" s="1">
        <f>IFERROR(-MIN(AE137,SUM($P$139:AE141)/SUM(OEt.w3))*OEt.w3,0)</f>
        <v>0</v>
      </c>
      <c r="AF143" s="1">
        <f>IFERROR(-MIN(AF137,SUM($P$139:AF141)/SUM(OEt.w3))*OEt.w3,0)</f>
        <v>0</v>
      </c>
      <c r="AG143" s="1">
        <f>IFERROR(-MIN(AG137,SUM($P$139:AG141)/SUM(OEt.w3))*OEt.w3,0)</f>
        <v>0</v>
      </c>
      <c r="AH143" s="1">
        <f>IFERROR(-MIN(AH137,SUM($P$139:AH141)/SUM(OEt.w3))*OEt.w3,0)</f>
        <v>0</v>
      </c>
      <c r="AI143" s="1">
        <f>IFERROR(-MIN(AI137,SUM($P$139:AI141)/SUM(OEt.w3))*OEt.w3,0)</f>
        <v>0</v>
      </c>
      <c r="AJ143" s="1">
        <f>IFERROR(-MIN(AJ137,SUM($P$139:AJ141)/SUM(OEt.w3))*OEt.w3,0)</f>
        <v>0</v>
      </c>
      <c r="AK143" s="1">
        <f>IFERROR(-MIN(AK137,SUM($P$139:AK141)/SUM(OEt.w3))*OEt.w3,0)</f>
        <v>0</v>
      </c>
      <c r="AL143" s="1">
        <f>IFERROR(-MIN(AL137,SUM($P$139:AL141)/SUM(OEt.w3))*OEt.w3,0)</f>
        <v>0</v>
      </c>
      <c r="AM143" s="1">
        <f>IFERROR(-MIN(AM137,SUM($P$139:AM141)/SUM(OEt.w3))*OEt.w3,0)</f>
        <v>0</v>
      </c>
      <c r="AN143" s="1">
        <f>IFERROR(-MIN(AN137,SUM($P$139:AN141)/SUM(OEt.w3))*OEt.w3,0)</f>
        <v>0</v>
      </c>
      <c r="AO143" s="1">
        <f>IFERROR(-MIN(AO137,SUM($P$139:AO141)/SUM(OEt.w3))*OEt.w3,0)</f>
        <v>0</v>
      </c>
      <c r="AP143" s="1">
        <f>IFERROR(-MIN(AP137,SUM($P$139:AP141)/SUM(OEt.w3))*OEt.w3,0)</f>
        <v>0</v>
      </c>
      <c r="AQ143" s="1">
        <f>IFERROR(-MIN(AQ137,SUM($P$139:AQ141)/SUM(OEt.w3))*OEt.w3,0)</f>
        <v>0</v>
      </c>
      <c r="AR143" s="1">
        <f>IFERROR(-MIN(AR137,SUM($P$139:AR141)/SUM(OEt.w3))*OEt.w3,0)</f>
        <v>0</v>
      </c>
      <c r="AS143" s="1">
        <f>IFERROR(-MIN(AS137,SUM($P$139:AS141)/SUM(OEt.w3))*OEt.w3,0)</f>
        <v>0</v>
      </c>
      <c r="AT143" s="1">
        <f>IFERROR(-MIN(AT137,SUM($P$139:AT141)/SUM(OEt.w3))*OEt.w3,0)</f>
        <v>0</v>
      </c>
      <c r="AU143" s="1">
        <f>IFERROR(-MIN(AU137,SUM($P$139:AU141)/SUM(OEt.w3))*OEt.w3,0)</f>
        <v>0</v>
      </c>
      <c r="AV143" s="1">
        <f>IFERROR(-MIN(AV137,SUM($P$139:AV141)/SUM(OEt.w3))*OEt.w3,0)</f>
        <v>0</v>
      </c>
      <c r="AW143" s="1">
        <f>IFERROR(-MIN(AW137,SUM($P$139:AW141)/SUM(OEt.w3))*OEt.w3,0)</f>
        <v>0</v>
      </c>
      <c r="AX143" s="1">
        <f>IFERROR(-MIN(AX137,SUM($P$139:AX141)/SUM(OEt.w3))*OEt.w3,0)</f>
        <v>0</v>
      </c>
      <c r="AY143" s="1">
        <f>IFERROR(-MIN(AY137,SUM($P$139:AY141)/SUM(OEt.w3))*OEt.w3,0)</f>
        <v>0</v>
      </c>
      <c r="AZ143" s="1">
        <f>IFERROR(-MIN(AZ137,SUM($P$139:AZ141)/SUM(OEt.w3))*OEt.w3,0)</f>
        <v>0</v>
      </c>
      <c r="BA143" s="1">
        <f>IFERROR(-MIN(BA137,SUM($P$139:BA141)/SUM(OEt.w3))*OEt.w3,0)</f>
        <v>0</v>
      </c>
    </row>
    <row r="144" spans="3:53" ht="15.75" customHeight="1" x14ac:dyDescent="0.35">
      <c r="E144" s="5"/>
      <c r="F144" s="5" t="s">
        <v>84</v>
      </c>
      <c r="G144" s="5"/>
      <c r="H144" s="5"/>
      <c r="I144" s="5"/>
      <c r="J144" s="5"/>
      <c r="K144" s="5"/>
      <c r="N144" s="1">
        <f t="shared" si="90"/>
        <v>0</v>
      </c>
      <c r="Q144" s="1">
        <f t="shared" ref="Q144:AX144" si="95">Q198</f>
        <v>0</v>
      </c>
      <c r="R144" s="1">
        <f t="shared" si="95"/>
        <v>0</v>
      </c>
      <c r="S144" s="1">
        <f t="shared" si="95"/>
        <v>0</v>
      </c>
      <c r="T144" s="1">
        <f t="shared" si="95"/>
        <v>0</v>
      </c>
      <c r="U144" s="1">
        <f t="shared" si="95"/>
        <v>0</v>
      </c>
      <c r="V144" s="1">
        <f t="shared" si="95"/>
        <v>0</v>
      </c>
      <c r="W144" s="1">
        <f t="shared" si="95"/>
        <v>0</v>
      </c>
      <c r="X144" s="1">
        <f t="shared" si="95"/>
        <v>0</v>
      </c>
      <c r="Y144" s="1">
        <f t="shared" si="95"/>
        <v>0</v>
      </c>
      <c r="Z144" s="1">
        <f t="shared" si="95"/>
        <v>0</v>
      </c>
      <c r="AA144" s="1">
        <f t="shared" si="95"/>
        <v>0</v>
      </c>
      <c r="AB144" s="1">
        <f t="shared" si="95"/>
        <v>0</v>
      </c>
      <c r="AC144" s="1">
        <f t="shared" si="95"/>
        <v>0</v>
      </c>
      <c r="AD144" s="1">
        <f t="shared" si="95"/>
        <v>0</v>
      </c>
      <c r="AE144" s="1">
        <f t="shared" si="95"/>
        <v>0</v>
      </c>
      <c r="AF144" s="1">
        <f t="shared" si="95"/>
        <v>0</v>
      </c>
      <c r="AG144" s="1">
        <f t="shared" si="95"/>
        <v>0</v>
      </c>
      <c r="AH144" s="1">
        <f t="shared" si="95"/>
        <v>0</v>
      </c>
      <c r="AI144" s="1">
        <f t="shared" si="95"/>
        <v>0</v>
      </c>
      <c r="AJ144" s="1">
        <f t="shared" si="95"/>
        <v>0</v>
      </c>
      <c r="AK144" s="1">
        <f t="shared" si="95"/>
        <v>0</v>
      </c>
      <c r="AL144" s="1">
        <f t="shared" si="95"/>
        <v>0</v>
      </c>
      <c r="AM144" s="1">
        <f t="shared" si="95"/>
        <v>0</v>
      </c>
      <c r="AN144" s="1">
        <f t="shared" si="95"/>
        <v>0</v>
      </c>
      <c r="AO144" s="1">
        <f t="shared" si="95"/>
        <v>0</v>
      </c>
      <c r="AP144" s="1">
        <f t="shared" si="95"/>
        <v>0</v>
      </c>
      <c r="AQ144" s="1">
        <f t="shared" si="95"/>
        <v>0</v>
      </c>
      <c r="AR144" s="1">
        <f t="shared" si="95"/>
        <v>0</v>
      </c>
      <c r="AS144" s="1">
        <f t="shared" si="95"/>
        <v>0</v>
      </c>
      <c r="AT144" s="1">
        <f t="shared" si="95"/>
        <v>0</v>
      </c>
      <c r="AU144" s="1">
        <f t="shared" si="95"/>
        <v>0</v>
      </c>
      <c r="AV144" s="1">
        <f t="shared" si="95"/>
        <v>0</v>
      </c>
      <c r="AW144" s="1">
        <f t="shared" si="95"/>
        <v>0</v>
      </c>
      <c r="AX144" s="1">
        <f t="shared" si="95"/>
        <v>0</v>
      </c>
      <c r="AY144" s="1">
        <f>AY198</f>
        <v>0</v>
      </c>
      <c r="AZ144" s="1">
        <f t="shared" ref="AZ144:BA144" si="96">AZ198</f>
        <v>0</v>
      </c>
      <c r="BA144" s="1">
        <f t="shared" si="96"/>
        <v>0</v>
      </c>
    </row>
    <row r="145" spans="1:54" ht="15.75" customHeight="1" x14ac:dyDescent="0.35">
      <c r="D145" s="2" t="s">
        <v>27</v>
      </c>
      <c r="E145" s="5"/>
      <c r="F145" s="5"/>
      <c r="G145" s="5"/>
      <c r="H145" s="5"/>
      <c r="I145" s="5"/>
      <c r="J145" s="5"/>
      <c r="K145" s="5"/>
      <c r="N145" s="1">
        <f>SUM(N137,N138,N142)</f>
        <v>0</v>
      </c>
      <c r="Q145" s="1">
        <f t="shared" ref="Q145:BA145" si="97">SUM(Q137,Q138,Q142)</f>
        <v>0</v>
      </c>
      <c r="R145" s="1">
        <f t="shared" si="97"/>
        <v>0</v>
      </c>
      <c r="S145" s="1">
        <f t="shared" si="97"/>
        <v>0</v>
      </c>
      <c r="T145" s="1">
        <f t="shared" si="97"/>
        <v>0</v>
      </c>
      <c r="U145" s="1">
        <f t="shared" si="97"/>
        <v>0</v>
      </c>
      <c r="V145" s="1">
        <f t="shared" si="97"/>
        <v>0</v>
      </c>
      <c r="W145" s="1">
        <f t="shared" si="97"/>
        <v>0</v>
      </c>
      <c r="X145" s="1">
        <f t="shared" si="97"/>
        <v>0</v>
      </c>
      <c r="Y145" s="1">
        <f t="shared" si="97"/>
        <v>0</v>
      </c>
      <c r="Z145" s="1">
        <f t="shared" si="97"/>
        <v>0</v>
      </c>
      <c r="AA145" s="1">
        <f t="shared" si="97"/>
        <v>0</v>
      </c>
      <c r="AB145" s="1">
        <f t="shared" si="97"/>
        <v>0</v>
      </c>
      <c r="AC145" s="1">
        <f t="shared" si="97"/>
        <v>0</v>
      </c>
      <c r="AD145" s="1">
        <f t="shared" si="97"/>
        <v>0</v>
      </c>
      <c r="AE145" s="1">
        <f t="shared" si="97"/>
        <v>0</v>
      </c>
      <c r="AF145" s="1">
        <f t="shared" si="97"/>
        <v>0</v>
      </c>
      <c r="AG145" s="1">
        <f t="shared" si="97"/>
        <v>0</v>
      </c>
      <c r="AH145" s="1">
        <f t="shared" si="97"/>
        <v>0</v>
      </c>
      <c r="AI145" s="1">
        <f t="shared" si="97"/>
        <v>0</v>
      </c>
      <c r="AJ145" s="1">
        <f t="shared" si="97"/>
        <v>0</v>
      </c>
      <c r="AK145" s="1">
        <f t="shared" si="97"/>
        <v>0</v>
      </c>
      <c r="AL145" s="1">
        <f t="shared" si="97"/>
        <v>0</v>
      </c>
      <c r="AM145" s="1">
        <f t="shared" si="97"/>
        <v>0</v>
      </c>
      <c r="AN145" s="1">
        <f t="shared" si="97"/>
        <v>0</v>
      </c>
      <c r="AO145" s="1">
        <f t="shared" si="97"/>
        <v>0</v>
      </c>
      <c r="AP145" s="1">
        <f t="shared" si="97"/>
        <v>0</v>
      </c>
      <c r="AQ145" s="1">
        <f t="shared" si="97"/>
        <v>0</v>
      </c>
      <c r="AR145" s="1">
        <f t="shared" si="97"/>
        <v>0</v>
      </c>
      <c r="AS145" s="1">
        <f t="shared" si="97"/>
        <v>0</v>
      </c>
      <c r="AT145" s="1">
        <f t="shared" si="97"/>
        <v>0</v>
      </c>
      <c r="AU145" s="1">
        <f t="shared" si="97"/>
        <v>0</v>
      </c>
      <c r="AV145" s="1">
        <f t="shared" si="97"/>
        <v>0</v>
      </c>
      <c r="AW145" s="1">
        <f t="shared" si="97"/>
        <v>0</v>
      </c>
      <c r="AX145" s="1">
        <f t="shared" si="97"/>
        <v>0</v>
      </c>
      <c r="AY145" s="1">
        <f t="shared" si="97"/>
        <v>0</v>
      </c>
      <c r="AZ145" s="1">
        <f t="shared" si="97"/>
        <v>0</v>
      </c>
      <c r="BA145" s="1">
        <f t="shared" si="97"/>
        <v>0</v>
      </c>
    </row>
    <row r="146" spans="1:54" x14ac:dyDescent="0.35">
      <c r="D146" s="5"/>
    </row>
    <row r="147" spans="1:54" ht="15.75" customHeight="1" x14ac:dyDescent="0.35">
      <c r="D147" s="2" t="s">
        <v>147</v>
      </c>
      <c r="E147" s="5"/>
      <c r="F147" s="5"/>
      <c r="G147" s="5"/>
      <c r="H147" s="5"/>
      <c r="I147" s="5"/>
      <c r="J147" s="5"/>
      <c r="K147" s="5"/>
      <c r="N147" s="1">
        <f>SUM(Q147:BA147)</f>
        <v>0</v>
      </c>
      <c r="Q147" s="1">
        <f t="shared" ref="Q147:BA147" si="98">SUM(Q137,Q139)*SUM(Q148:Q150)*OEt.w3</f>
        <v>0</v>
      </c>
      <c r="R147" s="1">
        <f t="shared" si="98"/>
        <v>0</v>
      </c>
      <c r="S147" s="1">
        <f t="shared" si="98"/>
        <v>0</v>
      </c>
      <c r="T147" s="1">
        <f t="shared" si="98"/>
        <v>0</v>
      </c>
      <c r="U147" s="1">
        <f t="shared" si="98"/>
        <v>0</v>
      </c>
      <c r="V147" s="1">
        <f t="shared" si="98"/>
        <v>0</v>
      </c>
      <c r="W147" s="1">
        <f t="shared" si="98"/>
        <v>0</v>
      </c>
      <c r="X147" s="1">
        <f t="shared" si="98"/>
        <v>0</v>
      </c>
      <c r="Y147" s="1">
        <f t="shared" si="98"/>
        <v>0</v>
      </c>
      <c r="Z147" s="1">
        <f t="shared" si="98"/>
        <v>0</v>
      </c>
      <c r="AA147" s="1">
        <f t="shared" si="98"/>
        <v>0</v>
      </c>
      <c r="AB147" s="1">
        <f t="shared" si="98"/>
        <v>0</v>
      </c>
      <c r="AC147" s="1">
        <f t="shared" si="98"/>
        <v>0</v>
      </c>
      <c r="AD147" s="1">
        <f t="shared" si="98"/>
        <v>0</v>
      </c>
      <c r="AE147" s="1">
        <f t="shared" si="98"/>
        <v>0</v>
      </c>
      <c r="AF147" s="1">
        <f t="shared" si="98"/>
        <v>0</v>
      </c>
      <c r="AG147" s="1">
        <f t="shared" si="98"/>
        <v>0</v>
      </c>
      <c r="AH147" s="1">
        <f t="shared" si="98"/>
        <v>0</v>
      </c>
      <c r="AI147" s="1">
        <f t="shared" si="98"/>
        <v>0</v>
      </c>
      <c r="AJ147" s="1">
        <f t="shared" si="98"/>
        <v>0</v>
      </c>
      <c r="AK147" s="1">
        <f t="shared" si="98"/>
        <v>0</v>
      </c>
      <c r="AL147" s="1">
        <f t="shared" si="98"/>
        <v>0</v>
      </c>
      <c r="AM147" s="1">
        <f t="shared" si="98"/>
        <v>0</v>
      </c>
      <c r="AN147" s="1">
        <f t="shared" si="98"/>
        <v>0</v>
      </c>
      <c r="AO147" s="1">
        <f t="shared" si="98"/>
        <v>0</v>
      </c>
      <c r="AP147" s="1">
        <f t="shared" si="98"/>
        <v>0</v>
      </c>
      <c r="AQ147" s="1">
        <f t="shared" si="98"/>
        <v>0</v>
      </c>
      <c r="AR147" s="1">
        <f t="shared" si="98"/>
        <v>0</v>
      </c>
      <c r="AS147" s="1">
        <f t="shared" si="98"/>
        <v>0</v>
      </c>
      <c r="AT147" s="1">
        <f t="shared" si="98"/>
        <v>0</v>
      </c>
      <c r="AU147" s="1">
        <f t="shared" si="98"/>
        <v>0</v>
      </c>
      <c r="AV147" s="1">
        <f t="shared" si="98"/>
        <v>0</v>
      </c>
      <c r="AW147" s="1">
        <f t="shared" si="98"/>
        <v>0</v>
      </c>
      <c r="AX147" s="1">
        <f t="shared" si="98"/>
        <v>0</v>
      </c>
      <c r="AY147" s="1">
        <f t="shared" si="98"/>
        <v>0</v>
      </c>
      <c r="AZ147" s="1">
        <f t="shared" si="98"/>
        <v>0</v>
      </c>
      <c r="BA147" s="1">
        <f t="shared" si="98"/>
        <v>0</v>
      </c>
    </row>
    <row r="148" spans="1:54" ht="15.75" customHeight="1" x14ac:dyDescent="0.35">
      <c r="E148" s="5" t="s">
        <v>35</v>
      </c>
      <c r="F148" s="5"/>
      <c r="G148" s="5"/>
      <c r="H148" s="5"/>
      <c r="I148" s="5"/>
      <c r="J148" s="5"/>
      <c r="K148" s="5"/>
      <c r="Q148" s="6">
        <f>'zakładka techniczna'!Q$11</f>
        <v>5.5199999999999999E-2</v>
      </c>
      <c r="R148" s="6">
        <f>'zakładka techniczna'!R$11</f>
        <v>5.1799999999999999E-2</v>
      </c>
      <c r="S148" s="6">
        <f>'zakładka techniczna'!S$11</f>
        <v>4.6199999999999998E-2</v>
      </c>
      <c r="T148" s="6">
        <f>'zakładka techniczna'!T$11</f>
        <v>4.6199999999999998E-2</v>
      </c>
      <c r="U148" s="6">
        <f>'zakładka techniczna'!U$11</f>
        <v>3.5000000000000003E-2</v>
      </c>
      <c r="V148" s="6">
        <f>'zakładka techniczna'!V$11</f>
        <v>3.5000000000000003E-2</v>
      </c>
      <c r="W148" s="6">
        <f>'zakładka techniczna'!W$11</f>
        <v>3.5000000000000003E-2</v>
      </c>
      <c r="X148" s="6">
        <f>'zakładka techniczna'!X$11</f>
        <v>3.5000000000000003E-2</v>
      </c>
      <c r="Y148" s="6">
        <f>'zakładka techniczna'!Y$11</f>
        <v>3.5000000000000003E-2</v>
      </c>
      <c r="Z148" s="6">
        <f>'zakładka techniczna'!Z$11</f>
        <v>3.5000000000000003E-2</v>
      </c>
      <c r="AA148" s="6">
        <f>'zakładka techniczna'!AA$11</f>
        <v>3.5000000000000003E-2</v>
      </c>
      <c r="AB148" s="6">
        <f>'zakładka techniczna'!AB$11</f>
        <v>3.5000000000000003E-2</v>
      </c>
      <c r="AC148" s="6">
        <f>'zakładka techniczna'!AC$11</f>
        <v>3.5000000000000003E-2</v>
      </c>
      <c r="AD148" s="6">
        <f>'zakładka techniczna'!AD$11</f>
        <v>3.5000000000000003E-2</v>
      </c>
      <c r="AE148" s="6">
        <f>'zakładka techniczna'!AE$11</f>
        <v>3.5000000000000003E-2</v>
      </c>
      <c r="AF148" s="6">
        <f>'zakładka techniczna'!AF$11</f>
        <v>3.5000000000000003E-2</v>
      </c>
      <c r="AG148" s="6">
        <f>'zakładka techniczna'!AG$11</f>
        <v>3.5000000000000003E-2</v>
      </c>
      <c r="AH148" s="6">
        <f>'zakładka techniczna'!AH$11</f>
        <v>3.5000000000000003E-2</v>
      </c>
      <c r="AI148" s="6">
        <f>'zakładka techniczna'!AI$11</f>
        <v>3.5000000000000003E-2</v>
      </c>
      <c r="AJ148" s="6">
        <f>'zakładka techniczna'!AJ$11</f>
        <v>3.5000000000000003E-2</v>
      </c>
      <c r="AK148" s="6">
        <f>'zakładka techniczna'!AK$11</f>
        <v>3.5000000000000003E-2</v>
      </c>
      <c r="AL148" s="6">
        <f>'zakładka techniczna'!AL$11</f>
        <v>3.5000000000000003E-2</v>
      </c>
      <c r="AM148" s="6">
        <f>'zakładka techniczna'!AM$11</f>
        <v>3.5000000000000003E-2</v>
      </c>
      <c r="AN148" s="6">
        <f>'zakładka techniczna'!AN$11</f>
        <v>3.5000000000000003E-2</v>
      </c>
      <c r="AO148" s="6">
        <f>'zakładka techniczna'!AO$11</f>
        <v>3.5000000000000003E-2</v>
      </c>
      <c r="AP148" s="6">
        <f>'zakładka techniczna'!AP$11</f>
        <v>3.5000000000000003E-2</v>
      </c>
      <c r="AQ148" s="6">
        <f>'zakładka techniczna'!AQ$11</f>
        <v>3.5000000000000003E-2</v>
      </c>
      <c r="AR148" s="6">
        <f>'zakładka techniczna'!AR$11</f>
        <v>3.5000000000000003E-2</v>
      </c>
      <c r="AS148" s="6">
        <f>'zakładka techniczna'!AS$11</f>
        <v>3.5000000000000003E-2</v>
      </c>
      <c r="AT148" s="6">
        <f>'zakładka techniczna'!AT$11</f>
        <v>3.5000000000000003E-2</v>
      </c>
      <c r="AU148" s="6">
        <f>'zakładka techniczna'!AU$11</f>
        <v>3.5000000000000003E-2</v>
      </c>
      <c r="AV148" s="6">
        <f>'zakładka techniczna'!AV$11</f>
        <v>3.5000000000000003E-2</v>
      </c>
      <c r="AW148" s="6">
        <f>'zakładka techniczna'!AW$11</f>
        <v>3.5000000000000003E-2</v>
      </c>
      <c r="AX148" s="6">
        <f>'zakładka techniczna'!AX$11</f>
        <v>3.5000000000000003E-2</v>
      </c>
      <c r="AY148" s="6">
        <f>'zakładka techniczna'!AY$11</f>
        <v>3.5000000000000003E-2</v>
      </c>
      <c r="AZ148" s="6">
        <f>'zakładka techniczna'!AZ$11</f>
        <v>3.5000000000000003E-2</v>
      </c>
      <c r="BA148" s="6">
        <f>'zakładka techniczna'!BA$11</f>
        <v>3.5000000000000003E-2</v>
      </c>
    </row>
    <row r="149" spans="1:54" ht="15.75" customHeight="1" x14ac:dyDescent="0.35">
      <c r="E149" s="5" t="s">
        <v>74</v>
      </c>
      <c r="F149" s="5"/>
      <c r="G149" s="5"/>
      <c r="H149" s="5"/>
      <c r="I149" s="5"/>
      <c r="J149" s="5"/>
      <c r="K149" s="5"/>
      <c r="Q149" s="6">
        <f>'zakładka techniczna'!$N$23</f>
        <v>2.5000000000000001E-2</v>
      </c>
      <c r="R149" s="6">
        <f>'zakładka techniczna'!$N$23</f>
        <v>2.5000000000000001E-2</v>
      </c>
      <c r="S149" s="6">
        <f>'zakładka techniczna'!$N$23</f>
        <v>2.5000000000000001E-2</v>
      </c>
      <c r="T149" s="6">
        <f>'zakładka techniczna'!$N$23</f>
        <v>2.5000000000000001E-2</v>
      </c>
      <c r="U149" s="6">
        <f>'zakładka techniczna'!$N$23</f>
        <v>2.5000000000000001E-2</v>
      </c>
      <c r="V149" s="6">
        <f>'zakładka techniczna'!$N$23</f>
        <v>2.5000000000000001E-2</v>
      </c>
      <c r="W149" s="6">
        <f>'zakładka techniczna'!$N$23</f>
        <v>2.5000000000000001E-2</v>
      </c>
      <c r="X149" s="6">
        <f>'zakładka techniczna'!$N$23</f>
        <v>2.5000000000000001E-2</v>
      </c>
      <c r="Y149" s="6">
        <f>'zakładka techniczna'!$N$23</f>
        <v>2.5000000000000001E-2</v>
      </c>
      <c r="Z149" s="6">
        <f>'zakładka techniczna'!$N$23</f>
        <v>2.5000000000000001E-2</v>
      </c>
      <c r="AA149" s="6">
        <f>'zakładka techniczna'!$N$23</f>
        <v>2.5000000000000001E-2</v>
      </c>
      <c r="AB149" s="6">
        <f>'zakładka techniczna'!$N$23</f>
        <v>2.5000000000000001E-2</v>
      </c>
      <c r="AC149" s="6">
        <f>'zakładka techniczna'!$N$23</f>
        <v>2.5000000000000001E-2</v>
      </c>
      <c r="AD149" s="6">
        <f>'zakładka techniczna'!$N$23</f>
        <v>2.5000000000000001E-2</v>
      </c>
      <c r="AE149" s="6">
        <f>'zakładka techniczna'!$N$23</f>
        <v>2.5000000000000001E-2</v>
      </c>
      <c r="AF149" s="6">
        <f>'zakładka techniczna'!$N$23</f>
        <v>2.5000000000000001E-2</v>
      </c>
      <c r="AG149" s="6">
        <f>'zakładka techniczna'!$N$23</f>
        <v>2.5000000000000001E-2</v>
      </c>
      <c r="AH149" s="6">
        <f>'zakładka techniczna'!$N$23</f>
        <v>2.5000000000000001E-2</v>
      </c>
      <c r="AI149" s="6">
        <f>'zakładka techniczna'!$N$23</f>
        <v>2.5000000000000001E-2</v>
      </c>
      <c r="AJ149" s="6">
        <f>'zakładka techniczna'!$N$23</f>
        <v>2.5000000000000001E-2</v>
      </c>
      <c r="AK149" s="6">
        <f>'zakładka techniczna'!$N$23</f>
        <v>2.5000000000000001E-2</v>
      </c>
      <c r="AL149" s="6">
        <f>'zakładka techniczna'!$N$23</f>
        <v>2.5000000000000001E-2</v>
      </c>
      <c r="AM149" s="6">
        <f>'zakładka techniczna'!$N$23</f>
        <v>2.5000000000000001E-2</v>
      </c>
      <c r="AN149" s="6">
        <f>'zakładka techniczna'!$N$23</f>
        <v>2.5000000000000001E-2</v>
      </c>
      <c r="AO149" s="6">
        <f>'zakładka techniczna'!$N$23</f>
        <v>2.5000000000000001E-2</v>
      </c>
      <c r="AP149" s="6">
        <f>'zakładka techniczna'!$N$23</f>
        <v>2.5000000000000001E-2</v>
      </c>
      <c r="AQ149" s="6">
        <f>'zakładka techniczna'!$N$23</f>
        <v>2.5000000000000001E-2</v>
      </c>
      <c r="AR149" s="6">
        <f>'zakładka techniczna'!$N$23</f>
        <v>2.5000000000000001E-2</v>
      </c>
      <c r="AS149" s="6">
        <f>'zakładka techniczna'!$N$23</f>
        <v>2.5000000000000001E-2</v>
      </c>
      <c r="AT149" s="6">
        <f>'zakładka techniczna'!$N$23</f>
        <v>2.5000000000000001E-2</v>
      </c>
      <c r="AU149" s="6">
        <f>'zakładka techniczna'!$N$23</f>
        <v>2.5000000000000001E-2</v>
      </c>
      <c r="AV149" s="6">
        <f>'zakładka techniczna'!$N$23</f>
        <v>2.5000000000000001E-2</v>
      </c>
      <c r="AW149" s="6">
        <f>'zakładka techniczna'!$N$23</f>
        <v>2.5000000000000001E-2</v>
      </c>
      <c r="AX149" s="6">
        <f>'zakładka techniczna'!$N$23</f>
        <v>2.5000000000000001E-2</v>
      </c>
      <c r="AY149" s="6">
        <f>'zakładka techniczna'!$N$23</f>
        <v>2.5000000000000001E-2</v>
      </c>
      <c r="AZ149" s="6">
        <f>'zakładka techniczna'!$N$23</f>
        <v>2.5000000000000001E-2</v>
      </c>
      <c r="BA149" s="6">
        <f>'zakładka techniczna'!$N$23</f>
        <v>2.5000000000000001E-2</v>
      </c>
    </row>
    <row r="150" spans="1:54" ht="15.75" customHeight="1" x14ac:dyDescent="0.35">
      <c r="E150" s="5" t="s">
        <v>124</v>
      </c>
      <c r="F150" s="5"/>
      <c r="G150" s="5"/>
      <c r="H150" s="5"/>
      <c r="I150" s="5"/>
      <c r="J150" s="5"/>
      <c r="K150" s="5"/>
      <c r="Q150" s="6">
        <f>'zakładka techniczna'!$N$24</f>
        <v>1.4999999999999999E-2</v>
      </c>
      <c r="R150" s="6">
        <f>'zakładka techniczna'!$N$24</f>
        <v>1.4999999999999999E-2</v>
      </c>
      <c r="S150" s="6">
        <f>'zakładka techniczna'!$N$24</f>
        <v>1.4999999999999999E-2</v>
      </c>
      <c r="T150" s="6">
        <f>'zakładka techniczna'!$N$24</f>
        <v>1.4999999999999999E-2</v>
      </c>
      <c r="U150" s="6">
        <f>'zakładka techniczna'!$N$24</f>
        <v>1.4999999999999999E-2</v>
      </c>
      <c r="V150" s="6">
        <f>'zakładka techniczna'!$N$24</f>
        <v>1.4999999999999999E-2</v>
      </c>
      <c r="W150" s="6">
        <f>'zakładka techniczna'!$N$24</f>
        <v>1.4999999999999999E-2</v>
      </c>
      <c r="X150" s="6">
        <f>'zakładka techniczna'!$N$24</f>
        <v>1.4999999999999999E-2</v>
      </c>
      <c r="Y150" s="6">
        <f>'zakładka techniczna'!$N$24</f>
        <v>1.4999999999999999E-2</v>
      </c>
      <c r="Z150" s="6">
        <f>'zakładka techniczna'!$N$24</f>
        <v>1.4999999999999999E-2</v>
      </c>
      <c r="AA150" s="6">
        <f>'zakładka techniczna'!$N$24</f>
        <v>1.4999999999999999E-2</v>
      </c>
      <c r="AB150" s="6">
        <f>'zakładka techniczna'!$N$24</f>
        <v>1.4999999999999999E-2</v>
      </c>
      <c r="AC150" s="6">
        <f>'zakładka techniczna'!$N$24</f>
        <v>1.4999999999999999E-2</v>
      </c>
      <c r="AD150" s="6">
        <f>'zakładka techniczna'!$N$24</f>
        <v>1.4999999999999999E-2</v>
      </c>
      <c r="AE150" s="6">
        <f>'zakładka techniczna'!$N$24</f>
        <v>1.4999999999999999E-2</v>
      </c>
      <c r="AF150" s="6">
        <f>'zakładka techniczna'!$N$24</f>
        <v>1.4999999999999999E-2</v>
      </c>
      <c r="AG150" s="6">
        <f>'zakładka techniczna'!$N$24</f>
        <v>1.4999999999999999E-2</v>
      </c>
      <c r="AH150" s="6">
        <f>'zakładka techniczna'!$N$24</f>
        <v>1.4999999999999999E-2</v>
      </c>
      <c r="AI150" s="6">
        <f>'zakładka techniczna'!$N$24</f>
        <v>1.4999999999999999E-2</v>
      </c>
      <c r="AJ150" s="6">
        <f>'zakładka techniczna'!$N$24</f>
        <v>1.4999999999999999E-2</v>
      </c>
      <c r="AK150" s="6">
        <f>'zakładka techniczna'!$N$24</f>
        <v>1.4999999999999999E-2</v>
      </c>
      <c r="AL150" s="6">
        <f>'zakładka techniczna'!$N$24</f>
        <v>1.4999999999999999E-2</v>
      </c>
      <c r="AM150" s="6">
        <f>'zakładka techniczna'!$N$24</f>
        <v>1.4999999999999999E-2</v>
      </c>
      <c r="AN150" s="6">
        <f>'zakładka techniczna'!$N$24</f>
        <v>1.4999999999999999E-2</v>
      </c>
      <c r="AO150" s="6">
        <f>'zakładka techniczna'!$N$24</f>
        <v>1.4999999999999999E-2</v>
      </c>
      <c r="AP150" s="6">
        <f>'zakładka techniczna'!$N$24</f>
        <v>1.4999999999999999E-2</v>
      </c>
      <c r="AQ150" s="6">
        <f>'zakładka techniczna'!$N$24</f>
        <v>1.4999999999999999E-2</v>
      </c>
      <c r="AR150" s="6">
        <f>'zakładka techniczna'!$N$24</f>
        <v>1.4999999999999999E-2</v>
      </c>
      <c r="AS150" s="6">
        <f>'zakładka techniczna'!$N$24</f>
        <v>1.4999999999999999E-2</v>
      </c>
      <c r="AT150" s="6">
        <f>'zakładka techniczna'!$N$24</f>
        <v>1.4999999999999999E-2</v>
      </c>
      <c r="AU150" s="6">
        <f>'zakładka techniczna'!$N$24</f>
        <v>1.4999999999999999E-2</v>
      </c>
      <c r="AV150" s="6">
        <f>'zakładka techniczna'!$N$24</f>
        <v>1.4999999999999999E-2</v>
      </c>
      <c r="AW150" s="6">
        <f>'zakładka techniczna'!$N$24</f>
        <v>1.4999999999999999E-2</v>
      </c>
      <c r="AX150" s="6">
        <f>'zakładka techniczna'!$N$24</f>
        <v>1.4999999999999999E-2</v>
      </c>
      <c r="AY150" s="6">
        <f>'zakładka techniczna'!$N$24</f>
        <v>1.4999999999999999E-2</v>
      </c>
      <c r="AZ150" s="6">
        <f>'zakładka techniczna'!$N$24</f>
        <v>1.4999999999999999E-2</v>
      </c>
      <c r="BA150" s="6">
        <f>'zakładka techniczna'!$N$24</f>
        <v>1.4999999999999999E-2</v>
      </c>
    </row>
    <row r="151" spans="1:54" x14ac:dyDescent="0.35">
      <c r="D151" s="5"/>
    </row>
    <row r="152" spans="1:54" ht="15.75" customHeight="1" thickBot="1" x14ac:dyDescent="0.4">
      <c r="A152" s="44" t="s">
        <v>32</v>
      </c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5"/>
    </row>
    <row r="153" spans="1:54" ht="15.75" customHeight="1" thickTop="1" x14ac:dyDescent="0.35">
      <c r="B153" s="5"/>
      <c r="C153" s="5"/>
      <c r="D153" s="5"/>
      <c r="E153" s="5"/>
      <c r="F153" s="5"/>
      <c r="G153" s="5"/>
      <c r="H153" s="5"/>
      <c r="I153" s="5"/>
      <c r="J153" s="5"/>
      <c r="K153" s="5"/>
    </row>
    <row r="154" spans="1:54" ht="15.75" customHeight="1" x14ac:dyDescent="0.35">
      <c r="B154" s="9" t="s">
        <v>28</v>
      </c>
      <c r="C154" s="9"/>
      <c r="D154" s="9"/>
      <c r="E154" s="9"/>
      <c r="F154" s="9"/>
      <c r="G154" s="9"/>
      <c r="H154" s="9"/>
      <c r="I154" s="9"/>
      <c r="J154" s="9"/>
      <c r="K154" s="9"/>
      <c r="L154" s="8"/>
      <c r="M154" s="8"/>
      <c r="N154" s="10">
        <f>SUM(Q154:BA154)</f>
        <v>0</v>
      </c>
      <c r="O154" s="8"/>
      <c r="P154" s="8"/>
      <c r="Q154" s="10">
        <f t="shared" ref="Q154:BA154" si="99">SUM(Q155:Q156)</f>
        <v>0</v>
      </c>
      <c r="R154" s="10">
        <f t="shared" si="99"/>
        <v>0</v>
      </c>
      <c r="S154" s="10">
        <f t="shared" si="99"/>
        <v>0</v>
      </c>
      <c r="T154" s="10">
        <f t="shared" si="99"/>
        <v>0</v>
      </c>
      <c r="U154" s="10">
        <f t="shared" si="99"/>
        <v>0</v>
      </c>
      <c r="V154" s="10">
        <f t="shared" si="99"/>
        <v>0</v>
      </c>
      <c r="W154" s="10">
        <f t="shared" si="99"/>
        <v>0</v>
      </c>
      <c r="X154" s="10">
        <f t="shared" si="99"/>
        <v>0</v>
      </c>
      <c r="Y154" s="10">
        <f t="shared" si="99"/>
        <v>0</v>
      </c>
      <c r="Z154" s="10">
        <f t="shared" si="99"/>
        <v>0</v>
      </c>
      <c r="AA154" s="10">
        <f t="shared" si="99"/>
        <v>0</v>
      </c>
      <c r="AB154" s="10">
        <f t="shared" si="99"/>
        <v>0</v>
      </c>
      <c r="AC154" s="10">
        <f t="shared" si="99"/>
        <v>0</v>
      </c>
      <c r="AD154" s="10">
        <f t="shared" si="99"/>
        <v>0</v>
      </c>
      <c r="AE154" s="10">
        <f t="shared" si="99"/>
        <v>0</v>
      </c>
      <c r="AF154" s="10">
        <f t="shared" si="99"/>
        <v>0</v>
      </c>
      <c r="AG154" s="10">
        <f t="shared" si="99"/>
        <v>0</v>
      </c>
      <c r="AH154" s="10">
        <f t="shared" si="99"/>
        <v>0</v>
      </c>
      <c r="AI154" s="10">
        <f t="shared" si="99"/>
        <v>0</v>
      </c>
      <c r="AJ154" s="10">
        <f t="shared" si="99"/>
        <v>0</v>
      </c>
      <c r="AK154" s="10">
        <f t="shared" si="99"/>
        <v>0</v>
      </c>
      <c r="AL154" s="10">
        <f t="shared" si="99"/>
        <v>0</v>
      </c>
      <c r="AM154" s="10">
        <f t="shared" si="99"/>
        <v>0</v>
      </c>
      <c r="AN154" s="10">
        <f t="shared" si="99"/>
        <v>0</v>
      </c>
      <c r="AO154" s="10">
        <f t="shared" si="99"/>
        <v>0</v>
      </c>
      <c r="AP154" s="10">
        <f t="shared" si="99"/>
        <v>0</v>
      </c>
      <c r="AQ154" s="10">
        <f t="shared" si="99"/>
        <v>0</v>
      </c>
      <c r="AR154" s="10">
        <f t="shared" si="99"/>
        <v>0</v>
      </c>
      <c r="AS154" s="10">
        <f t="shared" si="99"/>
        <v>0</v>
      </c>
      <c r="AT154" s="10">
        <f t="shared" si="99"/>
        <v>0</v>
      </c>
      <c r="AU154" s="10">
        <f t="shared" si="99"/>
        <v>0</v>
      </c>
      <c r="AV154" s="10">
        <f t="shared" si="99"/>
        <v>0</v>
      </c>
      <c r="AW154" s="10">
        <f t="shared" si="99"/>
        <v>0</v>
      </c>
      <c r="AX154" s="10">
        <f t="shared" si="99"/>
        <v>0</v>
      </c>
      <c r="AY154" s="10">
        <f t="shared" si="99"/>
        <v>0</v>
      </c>
      <c r="AZ154" s="10">
        <f t="shared" si="99"/>
        <v>0</v>
      </c>
      <c r="BA154" s="10">
        <f t="shared" si="99"/>
        <v>0</v>
      </c>
    </row>
    <row r="155" spans="1:54" ht="15.75" customHeight="1" x14ac:dyDescent="0.35">
      <c r="B155" s="5"/>
      <c r="C155" s="5" t="s">
        <v>1</v>
      </c>
      <c r="D155" s="5"/>
      <c r="E155" s="5"/>
      <c r="F155" s="5"/>
      <c r="G155" s="5"/>
      <c r="H155" s="5"/>
      <c r="I155" s="5"/>
      <c r="J155" s="5"/>
      <c r="K155" s="5"/>
      <c r="N155" s="11">
        <f>SUM(Q155:BA155)</f>
        <v>0</v>
      </c>
      <c r="Q155" s="11">
        <f>SUM($P$67:P$71)*OEp.w3*Założenia!$O$175</f>
        <v>0</v>
      </c>
      <c r="R155" s="11">
        <f>SUM($P$67:Q$71)*OEp.w3*Założenia!$O$175</f>
        <v>0</v>
      </c>
      <c r="S155" s="11">
        <f>SUM($P$67:R$71)*OEp.w3*Założenia!$O$175</f>
        <v>0</v>
      </c>
      <c r="T155" s="11">
        <f>SUM($P$67:S$71)*OEp.w3*Założenia!$O$175</f>
        <v>0</v>
      </c>
      <c r="U155" s="11">
        <f>SUM($P$67:T$71)*OEp.w3*Założenia!$O$175</f>
        <v>0</v>
      </c>
      <c r="V155" s="11">
        <f>SUM($P$67:U$71)*OEp.w3*Założenia!$O$175</f>
        <v>0</v>
      </c>
      <c r="W155" s="11">
        <f>SUM($P$67:V$71)*OEp.w3*Założenia!$O$175</f>
        <v>0</v>
      </c>
      <c r="X155" s="11">
        <f>SUM($P$67:W$71)*OEp.w3*Założenia!$O$175</f>
        <v>0</v>
      </c>
      <c r="Y155" s="11">
        <f>SUM($P$67:X$71)*OEp.w3*Założenia!$O$175</f>
        <v>0</v>
      </c>
      <c r="Z155" s="11">
        <f>SUM($P$67:Y$71)*OEp.w3*Założenia!$O$175</f>
        <v>0</v>
      </c>
      <c r="AA155" s="11">
        <f>SUM($P$67:Z$71)*OEp.w3*Założenia!$O$175</f>
        <v>0</v>
      </c>
      <c r="AB155" s="11">
        <f>SUM($P$67:AA$71)*OEp.w3*Założenia!$O$175</f>
        <v>0</v>
      </c>
      <c r="AC155" s="11">
        <f>SUM($P$67:AB$71)*OEp.w3*Założenia!$O$175</f>
        <v>0</v>
      </c>
      <c r="AD155" s="11">
        <f>SUM($P$67:AC$71)*OEp.w3*Założenia!$O$175</f>
        <v>0</v>
      </c>
      <c r="AE155" s="11">
        <f>SUM($P$67:AD$71)*OEp.w3*Założenia!$O$175</f>
        <v>0</v>
      </c>
      <c r="AF155" s="11">
        <f>SUM($P$67:AE$71)*OEp.w3*Założenia!$O$175</f>
        <v>0</v>
      </c>
      <c r="AG155" s="11">
        <f>SUM($P$67:AF$71)*OEp.w3*Założenia!$O$175</f>
        <v>0</v>
      </c>
      <c r="AH155" s="11">
        <f>SUM($P$67:AG$71)*OEp.w3*Założenia!$O$175</f>
        <v>0</v>
      </c>
      <c r="AI155" s="11">
        <f>SUM($P$67:AH$71)*OEp.w3*Założenia!$O$175</f>
        <v>0</v>
      </c>
      <c r="AJ155" s="11">
        <f>SUM($P$67:AI$71)*OEp.w3*Założenia!$O$175</f>
        <v>0</v>
      </c>
      <c r="AK155" s="11">
        <f>SUM($P$67:AJ$71)*OEp.w3*Założenia!$O$175</f>
        <v>0</v>
      </c>
      <c r="AL155" s="11">
        <f>SUM($P$67:AK$71)*OEp.w3*Założenia!$O$175</f>
        <v>0</v>
      </c>
      <c r="AM155" s="11">
        <f>SUM($P$67:AL$71)*OEp.w3*Założenia!$O$175</f>
        <v>0</v>
      </c>
      <c r="AN155" s="11">
        <f>SUM($P$67:AM$71)*OEp.w3*Założenia!$O$175</f>
        <v>0</v>
      </c>
      <c r="AO155" s="11">
        <f>SUM($P$67:AN$71)*OEp.w3*Założenia!$O$175</f>
        <v>0</v>
      </c>
      <c r="AP155" s="11">
        <f>SUM($P$67:AO$71)*OEp.w3*Założenia!$O$175</f>
        <v>0</v>
      </c>
      <c r="AQ155" s="11">
        <f>SUM($P$67:AP$71)*OEp.w3*Założenia!$O$175</f>
        <v>0</v>
      </c>
      <c r="AR155" s="11">
        <f>SUM($P$67:AQ$71)*OEp.w3*Założenia!$O$175</f>
        <v>0</v>
      </c>
      <c r="AS155" s="11">
        <f>SUM($P$67:AR$71)*OEp.w3*Założenia!$O$175</f>
        <v>0</v>
      </c>
      <c r="AT155" s="11">
        <f>SUM($P$67:AS$71)*OEp.w3*Założenia!$O$175</f>
        <v>0</v>
      </c>
      <c r="AU155" s="11">
        <f>SUM($P$67:AT$71)*OEp.w3*Założenia!$O$175</f>
        <v>0</v>
      </c>
      <c r="AV155" s="11">
        <f>SUM($P$67:AU$71)*OEp.w3*Założenia!$O$175</f>
        <v>0</v>
      </c>
      <c r="AW155" s="11">
        <f>SUM($P$67:AV$71)*OEp.w3*Założenia!$O$175</f>
        <v>0</v>
      </c>
      <c r="AX155" s="11">
        <f>SUM($P$67:AW$71)*OEp.w3*Założenia!$O$175</f>
        <v>0</v>
      </c>
      <c r="AY155" s="11">
        <f>SUM($P$67:AX$71)*OEp.w3*Założenia!$O$175</f>
        <v>0</v>
      </c>
      <c r="AZ155" s="11">
        <f>SUM($P$67:AY$71)*OEp.w3*Założenia!$O$175</f>
        <v>0</v>
      </c>
      <c r="BA155" s="11">
        <f>SUM($P$67:AZ$71)*OEp.w3*Założenia!$O$175</f>
        <v>0</v>
      </c>
    </row>
    <row r="156" spans="1:54" ht="15.75" customHeight="1" x14ac:dyDescent="0.35">
      <c r="B156" s="5"/>
      <c r="C156" s="5" t="s">
        <v>3</v>
      </c>
      <c r="D156" s="5"/>
      <c r="E156" s="5"/>
      <c r="F156" s="5"/>
      <c r="G156" s="5"/>
      <c r="H156" s="5"/>
      <c r="I156" s="5"/>
      <c r="J156" s="5"/>
      <c r="K156" s="5"/>
      <c r="N156" s="1">
        <f>SUM(Q156:BA156)</f>
        <v>0</v>
      </c>
      <c r="Q156" s="1">
        <f t="shared" ref="Q156:BA156" si="100">SUM(Q157:Q158)</f>
        <v>0</v>
      </c>
      <c r="R156" s="1">
        <f t="shared" si="100"/>
        <v>0</v>
      </c>
      <c r="S156" s="1">
        <f t="shared" si="100"/>
        <v>0</v>
      </c>
      <c r="T156" s="1">
        <f t="shared" si="100"/>
        <v>0</v>
      </c>
      <c r="U156" s="1">
        <f t="shared" si="100"/>
        <v>0</v>
      </c>
      <c r="V156" s="1">
        <f t="shared" si="100"/>
        <v>0</v>
      </c>
      <c r="W156" s="1">
        <f t="shared" si="100"/>
        <v>0</v>
      </c>
      <c r="X156" s="1">
        <f t="shared" si="100"/>
        <v>0</v>
      </c>
      <c r="Y156" s="1">
        <f t="shared" si="100"/>
        <v>0</v>
      </c>
      <c r="Z156" s="1">
        <f t="shared" si="100"/>
        <v>0</v>
      </c>
      <c r="AA156" s="1">
        <f t="shared" si="100"/>
        <v>0</v>
      </c>
      <c r="AB156" s="1">
        <f t="shared" si="100"/>
        <v>0</v>
      </c>
      <c r="AC156" s="1">
        <f t="shared" si="100"/>
        <v>0</v>
      </c>
      <c r="AD156" s="1">
        <f t="shared" si="100"/>
        <v>0</v>
      </c>
      <c r="AE156" s="1">
        <f t="shared" si="100"/>
        <v>0</v>
      </c>
      <c r="AF156" s="1">
        <f t="shared" si="100"/>
        <v>0</v>
      </c>
      <c r="AG156" s="1">
        <f t="shared" si="100"/>
        <v>0</v>
      </c>
      <c r="AH156" s="1">
        <f t="shared" si="100"/>
        <v>0</v>
      </c>
      <c r="AI156" s="1">
        <f t="shared" si="100"/>
        <v>0</v>
      </c>
      <c r="AJ156" s="1">
        <f t="shared" si="100"/>
        <v>0</v>
      </c>
      <c r="AK156" s="1">
        <f t="shared" si="100"/>
        <v>0</v>
      </c>
      <c r="AL156" s="1">
        <f t="shared" si="100"/>
        <v>0</v>
      </c>
      <c r="AM156" s="1">
        <f t="shared" si="100"/>
        <v>0</v>
      </c>
      <c r="AN156" s="1">
        <f t="shared" si="100"/>
        <v>0</v>
      </c>
      <c r="AO156" s="1">
        <f t="shared" si="100"/>
        <v>0</v>
      </c>
      <c r="AP156" s="1">
        <f t="shared" si="100"/>
        <v>0</v>
      </c>
      <c r="AQ156" s="1">
        <f t="shared" si="100"/>
        <v>0</v>
      </c>
      <c r="AR156" s="1">
        <f t="shared" si="100"/>
        <v>0</v>
      </c>
      <c r="AS156" s="1">
        <f t="shared" si="100"/>
        <v>0</v>
      </c>
      <c r="AT156" s="1">
        <f t="shared" si="100"/>
        <v>0</v>
      </c>
      <c r="AU156" s="1">
        <f t="shared" si="100"/>
        <v>0</v>
      </c>
      <c r="AV156" s="1">
        <f t="shared" si="100"/>
        <v>0</v>
      </c>
      <c r="AW156" s="1">
        <f t="shared" si="100"/>
        <v>0</v>
      </c>
      <c r="AX156" s="1">
        <f t="shared" si="100"/>
        <v>0</v>
      </c>
      <c r="AY156" s="1">
        <f t="shared" si="100"/>
        <v>0</v>
      </c>
      <c r="AZ156" s="1">
        <f t="shared" si="100"/>
        <v>0</v>
      </c>
      <c r="BA156" s="1">
        <f t="shared" si="100"/>
        <v>0</v>
      </c>
    </row>
    <row r="157" spans="1:54" ht="15.75" customHeight="1" x14ac:dyDescent="0.35">
      <c r="B157" s="5"/>
      <c r="C157" s="5"/>
      <c r="D157" s="5" t="s">
        <v>6</v>
      </c>
      <c r="E157" s="5"/>
      <c r="F157" s="5"/>
      <c r="G157" s="5"/>
      <c r="H157" s="5"/>
      <c r="I157" s="5"/>
      <c r="J157" s="5"/>
      <c r="K157" s="5"/>
      <c r="N157" s="1">
        <f>SUM(Q157:BA157)</f>
        <v>0</v>
      </c>
      <c r="Q157" s="1">
        <f t="shared" ref="Q157:BA158" si="101">Q73*VAT</f>
        <v>0</v>
      </c>
      <c r="R157" s="1">
        <f t="shared" si="101"/>
        <v>0</v>
      </c>
      <c r="S157" s="1">
        <f t="shared" si="101"/>
        <v>0</v>
      </c>
      <c r="T157" s="1">
        <f t="shared" si="101"/>
        <v>0</v>
      </c>
      <c r="U157" s="1">
        <f t="shared" si="101"/>
        <v>0</v>
      </c>
      <c r="V157" s="1">
        <f t="shared" si="101"/>
        <v>0</v>
      </c>
      <c r="W157" s="1">
        <f t="shared" si="101"/>
        <v>0</v>
      </c>
      <c r="X157" s="1">
        <f t="shared" si="101"/>
        <v>0</v>
      </c>
      <c r="Y157" s="1">
        <f t="shared" si="101"/>
        <v>0</v>
      </c>
      <c r="Z157" s="1">
        <f t="shared" si="101"/>
        <v>0</v>
      </c>
      <c r="AA157" s="1">
        <f t="shared" si="101"/>
        <v>0</v>
      </c>
      <c r="AB157" s="1">
        <f t="shared" si="101"/>
        <v>0</v>
      </c>
      <c r="AC157" s="1">
        <f t="shared" si="101"/>
        <v>0</v>
      </c>
      <c r="AD157" s="1">
        <f t="shared" si="101"/>
        <v>0</v>
      </c>
      <c r="AE157" s="1">
        <f t="shared" si="101"/>
        <v>0</v>
      </c>
      <c r="AF157" s="1">
        <f t="shared" si="101"/>
        <v>0</v>
      </c>
      <c r="AG157" s="1">
        <f t="shared" si="101"/>
        <v>0</v>
      </c>
      <c r="AH157" s="1">
        <f t="shared" si="101"/>
        <v>0</v>
      </c>
      <c r="AI157" s="1">
        <f t="shared" si="101"/>
        <v>0</v>
      </c>
      <c r="AJ157" s="1">
        <f t="shared" si="101"/>
        <v>0</v>
      </c>
      <c r="AK157" s="1">
        <f t="shared" si="101"/>
        <v>0</v>
      </c>
      <c r="AL157" s="1">
        <f t="shared" si="101"/>
        <v>0</v>
      </c>
      <c r="AM157" s="1">
        <f t="shared" si="101"/>
        <v>0</v>
      </c>
      <c r="AN157" s="1">
        <f t="shared" si="101"/>
        <v>0</v>
      </c>
      <c r="AO157" s="1">
        <f t="shared" si="101"/>
        <v>0</v>
      </c>
      <c r="AP157" s="1">
        <f t="shared" si="101"/>
        <v>0</v>
      </c>
      <c r="AQ157" s="1">
        <f t="shared" si="101"/>
        <v>0</v>
      </c>
      <c r="AR157" s="1">
        <f t="shared" si="101"/>
        <v>0</v>
      </c>
      <c r="AS157" s="1">
        <f t="shared" si="101"/>
        <v>0</v>
      </c>
      <c r="AT157" s="1">
        <f t="shared" si="101"/>
        <v>0</v>
      </c>
      <c r="AU157" s="1">
        <f t="shared" si="101"/>
        <v>0</v>
      </c>
      <c r="AV157" s="1">
        <f t="shared" si="101"/>
        <v>0</v>
      </c>
      <c r="AW157" s="1">
        <f t="shared" si="101"/>
        <v>0</v>
      </c>
      <c r="AX157" s="1">
        <f t="shared" si="101"/>
        <v>0</v>
      </c>
      <c r="AY157" s="1">
        <f t="shared" si="101"/>
        <v>0</v>
      </c>
      <c r="AZ157" s="1">
        <f t="shared" si="101"/>
        <v>0</v>
      </c>
      <c r="BA157" s="1">
        <f t="shared" si="101"/>
        <v>0</v>
      </c>
    </row>
    <row r="158" spans="1:54" ht="15.75" customHeight="1" x14ac:dyDescent="0.35">
      <c r="B158" s="5"/>
      <c r="C158" s="5"/>
      <c r="D158" s="5" t="s">
        <v>142</v>
      </c>
      <c r="E158" s="5"/>
      <c r="F158" s="5"/>
      <c r="G158" s="5"/>
      <c r="H158" s="5"/>
      <c r="I158" s="5"/>
      <c r="J158" s="5"/>
      <c r="K158" s="5"/>
      <c r="N158" s="1">
        <f>SUM(Q158:BA158)</f>
        <v>0</v>
      </c>
      <c r="Q158" s="1">
        <f t="shared" si="101"/>
        <v>0</v>
      </c>
      <c r="R158" s="1">
        <f t="shared" si="101"/>
        <v>0</v>
      </c>
      <c r="S158" s="1">
        <f t="shared" si="101"/>
        <v>0</v>
      </c>
      <c r="T158" s="1">
        <f t="shared" si="101"/>
        <v>0</v>
      </c>
      <c r="U158" s="1">
        <f t="shared" si="101"/>
        <v>0</v>
      </c>
      <c r="V158" s="1">
        <f t="shared" si="101"/>
        <v>0</v>
      </c>
      <c r="W158" s="1">
        <f t="shared" si="101"/>
        <v>0</v>
      </c>
      <c r="X158" s="1">
        <f t="shared" si="101"/>
        <v>0</v>
      </c>
      <c r="Y158" s="1">
        <f t="shared" si="101"/>
        <v>0</v>
      </c>
      <c r="Z158" s="1">
        <f t="shared" si="101"/>
        <v>0</v>
      </c>
      <c r="AA158" s="1">
        <f t="shared" si="101"/>
        <v>0</v>
      </c>
      <c r="AB158" s="1">
        <f t="shared" si="101"/>
        <v>0</v>
      </c>
      <c r="AC158" s="1">
        <f t="shared" si="101"/>
        <v>0</v>
      </c>
      <c r="AD158" s="1">
        <f t="shared" si="101"/>
        <v>0</v>
      </c>
      <c r="AE158" s="1">
        <f t="shared" si="101"/>
        <v>0</v>
      </c>
      <c r="AF158" s="1">
        <f t="shared" si="101"/>
        <v>0</v>
      </c>
      <c r="AG158" s="1">
        <f t="shared" si="101"/>
        <v>0</v>
      </c>
      <c r="AH158" s="1">
        <f t="shared" si="101"/>
        <v>0</v>
      </c>
      <c r="AI158" s="1">
        <f t="shared" si="101"/>
        <v>0</v>
      </c>
      <c r="AJ158" s="1">
        <f t="shared" si="101"/>
        <v>0</v>
      </c>
      <c r="AK158" s="1">
        <f t="shared" si="101"/>
        <v>0</v>
      </c>
      <c r="AL158" s="1">
        <f t="shared" si="101"/>
        <v>0</v>
      </c>
      <c r="AM158" s="1">
        <f t="shared" si="101"/>
        <v>0</v>
      </c>
      <c r="AN158" s="1">
        <f t="shared" si="101"/>
        <v>0</v>
      </c>
      <c r="AO158" s="1">
        <f t="shared" si="101"/>
        <v>0</v>
      </c>
      <c r="AP158" s="1">
        <f t="shared" si="101"/>
        <v>0</v>
      </c>
      <c r="AQ158" s="1">
        <f t="shared" si="101"/>
        <v>0</v>
      </c>
      <c r="AR158" s="1">
        <f t="shared" si="101"/>
        <v>0</v>
      </c>
      <c r="AS158" s="1">
        <f t="shared" si="101"/>
        <v>0</v>
      </c>
      <c r="AT158" s="1">
        <f t="shared" si="101"/>
        <v>0</v>
      </c>
      <c r="AU158" s="1">
        <f t="shared" si="101"/>
        <v>0</v>
      </c>
      <c r="AV158" s="1">
        <f t="shared" si="101"/>
        <v>0</v>
      </c>
      <c r="AW158" s="1">
        <f t="shared" si="101"/>
        <v>0</v>
      </c>
      <c r="AX158" s="1">
        <f t="shared" si="101"/>
        <v>0</v>
      </c>
      <c r="AY158" s="1">
        <f t="shared" si="101"/>
        <v>0</v>
      </c>
      <c r="AZ158" s="1">
        <f t="shared" si="101"/>
        <v>0</v>
      </c>
      <c r="BA158" s="1">
        <f t="shared" si="101"/>
        <v>0</v>
      </c>
    </row>
    <row r="159" spans="1:54" ht="15.75" customHeight="1" x14ac:dyDescent="0.35">
      <c r="B159" s="5"/>
      <c r="C159" s="5"/>
      <c r="D159" s="5"/>
      <c r="E159" s="5"/>
      <c r="F159" s="5"/>
      <c r="G159" s="5"/>
      <c r="H159" s="5"/>
      <c r="I159" s="5"/>
      <c r="J159" s="5"/>
      <c r="K159" s="5"/>
    </row>
    <row r="160" spans="1:54" ht="15.75" customHeight="1" x14ac:dyDescent="0.35">
      <c r="B160" s="9" t="s">
        <v>33</v>
      </c>
      <c r="C160" s="9"/>
      <c r="D160" s="9"/>
      <c r="E160" s="9"/>
      <c r="F160" s="9"/>
      <c r="G160" s="9"/>
      <c r="H160" s="9"/>
      <c r="I160" s="9"/>
      <c r="J160" s="9"/>
      <c r="K160" s="9"/>
      <c r="L160" s="8"/>
      <c r="M160" s="8"/>
      <c r="N160" s="10">
        <f t="shared" ref="N160:N165" si="102">SUM(Q160:BA160)</f>
        <v>0</v>
      </c>
      <c r="O160" s="8"/>
      <c r="P160" s="8"/>
      <c r="Q160" s="10">
        <f t="shared" ref="Q160:BA160" si="103">SUM(Q161:Q165)</f>
        <v>0</v>
      </c>
      <c r="R160" s="10">
        <f t="shared" si="103"/>
        <v>0</v>
      </c>
      <c r="S160" s="10">
        <f t="shared" si="103"/>
        <v>0</v>
      </c>
      <c r="T160" s="10">
        <f t="shared" si="103"/>
        <v>0</v>
      </c>
      <c r="U160" s="10">
        <f t="shared" si="103"/>
        <v>0</v>
      </c>
      <c r="V160" s="10">
        <f t="shared" si="103"/>
        <v>0</v>
      </c>
      <c r="W160" s="10">
        <f t="shared" si="103"/>
        <v>0</v>
      </c>
      <c r="X160" s="10">
        <f t="shared" si="103"/>
        <v>0</v>
      </c>
      <c r="Y160" s="10">
        <f t="shared" si="103"/>
        <v>0</v>
      </c>
      <c r="Z160" s="10">
        <f t="shared" si="103"/>
        <v>0</v>
      </c>
      <c r="AA160" s="10">
        <f t="shared" si="103"/>
        <v>0</v>
      </c>
      <c r="AB160" s="10">
        <f t="shared" si="103"/>
        <v>0</v>
      </c>
      <c r="AC160" s="10">
        <f t="shared" si="103"/>
        <v>0</v>
      </c>
      <c r="AD160" s="10">
        <f t="shared" si="103"/>
        <v>0</v>
      </c>
      <c r="AE160" s="10">
        <f t="shared" si="103"/>
        <v>0</v>
      </c>
      <c r="AF160" s="10">
        <f t="shared" si="103"/>
        <v>0</v>
      </c>
      <c r="AG160" s="10">
        <f t="shared" si="103"/>
        <v>0</v>
      </c>
      <c r="AH160" s="10">
        <f t="shared" si="103"/>
        <v>0</v>
      </c>
      <c r="AI160" s="10">
        <f t="shared" si="103"/>
        <v>0</v>
      </c>
      <c r="AJ160" s="10">
        <f t="shared" si="103"/>
        <v>0</v>
      </c>
      <c r="AK160" s="10">
        <f t="shared" si="103"/>
        <v>0</v>
      </c>
      <c r="AL160" s="10">
        <f t="shared" si="103"/>
        <v>0</v>
      </c>
      <c r="AM160" s="10">
        <f t="shared" si="103"/>
        <v>0</v>
      </c>
      <c r="AN160" s="10">
        <f t="shared" si="103"/>
        <v>0</v>
      </c>
      <c r="AO160" s="10">
        <f t="shared" si="103"/>
        <v>0</v>
      </c>
      <c r="AP160" s="10">
        <f t="shared" si="103"/>
        <v>0</v>
      </c>
      <c r="AQ160" s="10">
        <f t="shared" si="103"/>
        <v>0</v>
      </c>
      <c r="AR160" s="10">
        <f t="shared" si="103"/>
        <v>0</v>
      </c>
      <c r="AS160" s="10">
        <f t="shared" si="103"/>
        <v>0</v>
      </c>
      <c r="AT160" s="10">
        <f t="shared" si="103"/>
        <v>0</v>
      </c>
      <c r="AU160" s="10">
        <f t="shared" si="103"/>
        <v>0</v>
      </c>
      <c r="AV160" s="10">
        <f t="shared" si="103"/>
        <v>0</v>
      </c>
      <c r="AW160" s="10">
        <f t="shared" si="103"/>
        <v>0</v>
      </c>
      <c r="AX160" s="10">
        <f t="shared" si="103"/>
        <v>0</v>
      </c>
      <c r="AY160" s="10">
        <f t="shared" si="103"/>
        <v>0</v>
      </c>
      <c r="AZ160" s="10">
        <f t="shared" si="103"/>
        <v>0</v>
      </c>
      <c r="BA160" s="10">
        <f t="shared" si="103"/>
        <v>0</v>
      </c>
    </row>
    <row r="161" spans="1:54" ht="15.75" customHeight="1" x14ac:dyDescent="0.35">
      <c r="B161" s="5"/>
      <c r="C161" s="5" t="s">
        <v>99</v>
      </c>
      <c r="D161" s="5"/>
      <c r="E161" s="5"/>
      <c r="F161" s="5"/>
      <c r="G161" s="5"/>
      <c r="H161" s="5"/>
      <c r="I161" s="5"/>
      <c r="J161" s="5"/>
      <c r="K161" s="5"/>
      <c r="N161" s="11">
        <f t="shared" si="102"/>
        <v>0</v>
      </c>
      <c r="Q161" s="11">
        <f>-Q176*Założenia!$O$175</f>
        <v>0</v>
      </c>
      <c r="R161" s="11">
        <f>-R176*Założenia!$O$175</f>
        <v>0</v>
      </c>
      <c r="S161" s="11">
        <f>-S176*Założenia!$O$175</f>
        <v>0</v>
      </c>
      <c r="T161" s="11">
        <f>-T176*Założenia!$O$175</f>
        <v>0</v>
      </c>
      <c r="U161" s="11">
        <f>-U176*Założenia!$O$175</f>
        <v>0</v>
      </c>
      <c r="V161" s="11">
        <f>-V176*Założenia!$O$175</f>
        <v>0</v>
      </c>
      <c r="W161" s="11">
        <f>-W176*Założenia!$O$175</f>
        <v>0</v>
      </c>
      <c r="X161" s="11">
        <f>-X176*Założenia!$O$175</f>
        <v>0</v>
      </c>
      <c r="Y161" s="11">
        <f>-Y176*Założenia!$O$175</f>
        <v>0</v>
      </c>
      <c r="Z161" s="11">
        <f>-Z176*Założenia!$O$175</f>
        <v>0</v>
      </c>
      <c r="AA161" s="11">
        <f>-AA176*Założenia!$O$175</f>
        <v>0</v>
      </c>
      <c r="AB161" s="11">
        <f>-AB176*Założenia!$O$175</f>
        <v>0</v>
      </c>
      <c r="AC161" s="11">
        <f>-AC176*Założenia!$O$175</f>
        <v>0</v>
      </c>
      <c r="AD161" s="11">
        <f>-AD176*Założenia!$O$175</f>
        <v>0</v>
      </c>
      <c r="AE161" s="11">
        <f>-AE176*Założenia!$O$175</f>
        <v>0</v>
      </c>
      <c r="AF161" s="11">
        <f>-AF176*Założenia!$O$175</f>
        <v>0</v>
      </c>
      <c r="AG161" s="11">
        <f>-AG176*Założenia!$O$175</f>
        <v>0</v>
      </c>
      <c r="AH161" s="11">
        <f>-AH176*Założenia!$O$175</f>
        <v>0</v>
      </c>
      <c r="AI161" s="11">
        <f>-AI176*Założenia!$O$175</f>
        <v>0</v>
      </c>
      <c r="AJ161" s="11">
        <f>-AJ176*Założenia!$O$175</f>
        <v>0</v>
      </c>
      <c r="AK161" s="11">
        <f>-AK176*Założenia!$O$175</f>
        <v>0</v>
      </c>
      <c r="AL161" s="11">
        <f>-AL176*Założenia!$O$175</f>
        <v>0</v>
      </c>
      <c r="AM161" s="11">
        <f>-AM176*Założenia!$O$175</f>
        <v>0</v>
      </c>
      <c r="AN161" s="11">
        <f>-AN176*Założenia!$O$175</f>
        <v>0</v>
      </c>
      <c r="AO161" s="11">
        <f>-AO176*Założenia!$O$175</f>
        <v>0</v>
      </c>
      <c r="AP161" s="11">
        <f>-AP176*Założenia!$O$175</f>
        <v>0</v>
      </c>
      <c r="AQ161" s="11">
        <f>-AQ176*Założenia!$O$175</f>
        <v>0</v>
      </c>
      <c r="AR161" s="11">
        <f>-AR176*Założenia!$O$175</f>
        <v>0</v>
      </c>
      <c r="AS161" s="11">
        <f>-AS176*Założenia!$O$175</f>
        <v>0</v>
      </c>
      <c r="AT161" s="11">
        <f>-AT176*Założenia!$O$175</f>
        <v>0</v>
      </c>
      <c r="AU161" s="11">
        <f>-AU176*Założenia!$O$175</f>
        <v>0</v>
      </c>
      <c r="AV161" s="11">
        <f>-AV176*Założenia!$O$175</f>
        <v>0</v>
      </c>
      <c r="AW161" s="11">
        <f>-AW176*Założenia!$O$175</f>
        <v>0</v>
      </c>
      <c r="AX161" s="11">
        <f>-AX176*Założenia!$O$175</f>
        <v>0</v>
      </c>
      <c r="AY161" s="11">
        <f>-AY176*Założenia!$O$175</f>
        <v>0</v>
      </c>
      <c r="AZ161" s="11">
        <f>-AZ176*Założenia!$O$175</f>
        <v>0</v>
      </c>
      <c r="BA161" s="11">
        <f>-BA176*Założenia!$O$175</f>
        <v>0</v>
      </c>
    </row>
    <row r="162" spans="1:54" ht="15.75" customHeight="1" x14ac:dyDescent="0.35">
      <c r="B162" s="5"/>
      <c r="C162" s="5" t="s">
        <v>100</v>
      </c>
      <c r="D162" s="5"/>
      <c r="E162" s="5"/>
      <c r="F162" s="5"/>
      <c r="G162" s="5"/>
      <c r="H162" s="5"/>
      <c r="I162" s="5"/>
      <c r="J162" s="5"/>
      <c r="K162" s="5"/>
      <c r="N162" s="1">
        <f t="shared" si="102"/>
        <v>0</v>
      </c>
      <c r="Q162" s="1">
        <f>-Q177*Założenia!$O$175</f>
        <v>0</v>
      </c>
      <c r="R162" s="1">
        <f>-R177*Założenia!$O$175</f>
        <v>0</v>
      </c>
      <c r="S162" s="1">
        <f>-S177*Założenia!$O$175</f>
        <v>0</v>
      </c>
      <c r="T162" s="1">
        <f>-T177*Założenia!$O$175</f>
        <v>0</v>
      </c>
      <c r="U162" s="1">
        <f>-U177*Założenia!$O$175</f>
        <v>0</v>
      </c>
      <c r="V162" s="1">
        <f>-V177*Założenia!$O$175</f>
        <v>0</v>
      </c>
      <c r="W162" s="1">
        <f>-W177*Założenia!$O$175</f>
        <v>0</v>
      </c>
      <c r="X162" s="1">
        <f>-X177*Założenia!$O$175</f>
        <v>0</v>
      </c>
      <c r="Y162" s="1">
        <f>-Y177*Założenia!$O$175</f>
        <v>0</v>
      </c>
      <c r="Z162" s="1">
        <f>-Z177*Założenia!$O$175</f>
        <v>0</v>
      </c>
      <c r="AA162" s="1">
        <f>-AA177*Założenia!$O$175</f>
        <v>0</v>
      </c>
      <c r="AB162" s="1">
        <f>-AB177*Założenia!$O$175</f>
        <v>0</v>
      </c>
      <c r="AC162" s="1">
        <f>-AC177*Założenia!$O$175</f>
        <v>0</v>
      </c>
      <c r="AD162" s="1">
        <f>-AD177*Założenia!$O$175</f>
        <v>0</v>
      </c>
      <c r="AE162" s="1">
        <f>-AE177*Założenia!$O$175</f>
        <v>0</v>
      </c>
      <c r="AF162" s="1">
        <f>-AF177*Założenia!$O$175</f>
        <v>0</v>
      </c>
      <c r="AG162" s="1">
        <f>-AG177*Założenia!$O$175</f>
        <v>0</v>
      </c>
      <c r="AH162" s="1">
        <f>-AH177*Założenia!$O$175</f>
        <v>0</v>
      </c>
      <c r="AI162" s="1">
        <f>-AI177*Założenia!$O$175</f>
        <v>0</v>
      </c>
      <c r="AJ162" s="1">
        <f>-AJ177*Założenia!$O$175</f>
        <v>0</v>
      </c>
      <c r="AK162" s="1">
        <f>-AK177*Założenia!$O$175</f>
        <v>0</v>
      </c>
      <c r="AL162" s="1">
        <f>-AL177*Założenia!$O$175</f>
        <v>0</v>
      </c>
      <c r="AM162" s="1">
        <f>-AM177*Założenia!$O$175</f>
        <v>0</v>
      </c>
      <c r="AN162" s="1">
        <f>-AN177*Założenia!$O$175</f>
        <v>0</v>
      </c>
      <c r="AO162" s="1">
        <f>-AO177*Założenia!$O$175</f>
        <v>0</v>
      </c>
      <c r="AP162" s="1">
        <f>-AP177*Założenia!$O$175</f>
        <v>0</v>
      </c>
      <c r="AQ162" s="1">
        <f>-AQ177*Założenia!$O$175</f>
        <v>0</v>
      </c>
      <c r="AR162" s="1">
        <f>-AR177*Założenia!$O$175</f>
        <v>0</v>
      </c>
      <c r="AS162" s="1">
        <f>-AS177*Założenia!$O$175</f>
        <v>0</v>
      </c>
      <c r="AT162" s="1">
        <f>-AT177*Założenia!$O$175</f>
        <v>0</v>
      </c>
      <c r="AU162" s="1">
        <f>-AU177*Założenia!$O$175</f>
        <v>0</v>
      </c>
      <c r="AV162" s="1">
        <f>-AV177*Założenia!$O$175</f>
        <v>0</v>
      </c>
      <c r="AW162" s="1">
        <f>-AW177*Założenia!$O$175</f>
        <v>0</v>
      </c>
      <c r="AX162" s="1">
        <f>-AX177*Założenia!$O$175</f>
        <v>0</v>
      </c>
      <c r="AY162" s="1">
        <f>-AY177*Założenia!$O$175</f>
        <v>0</v>
      </c>
      <c r="AZ162" s="1">
        <f>-AZ177*Założenia!$O$175</f>
        <v>0</v>
      </c>
      <c r="BA162" s="1">
        <f>-BA177*Założenia!$O$175</f>
        <v>0</v>
      </c>
    </row>
    <row r="163" spans="1:54" ht="15.75" customHeight="1" x14ac:dyDescent="0.35">
      <c r="B163" s="5"/>
      <c r="C163" s="5" t="s">
        <v>66</v>
      </c>
      <c r="D163" s="5"/>
      <c r="E163" s="5"/>
      <c r="F163" s="5"/>
      <c r="G163" s="5"/>
      <c r="H163" s="5"/>
      <c r="I163" s="5"/>
      <c r="J163" s="5"/>
      <c r="K163" s="5"/>
      <c r="N163" s="1">
        <f t="shared" si="102"/>
        <v>0</v>
      </c>
      <c r="Q163" s="1">
        <f>-Q178*Założenia!$O$175</f>
        <v>0</v>
      </c>
      <c r="R163" s="1">
        <f>-R178*Założenia!$O$175</f>
        <v>0</v>
      </c>
      <c r="S163" s="1">
        <f>-S178*Założenia!$O$175</f>
        <v>0</v>
      </c>
      <c r="T163" s="1">
        <f>-T178*Założenia!$O$175</f>
        <v>0</v>
      </c>
      <c r="U163" s="1">
        <f>-U178*Założenia!$O$175</f>
        <v>0</v>
      </c>
      <c r="V163" s="1">
        <f>-V178*Założenia!$O$175</f>
        <v>0</v>
      </c>
      <c r="W163" s="1">
        <f>-W178*Założenia!$O$175</f>
        <v>0</v>
      </c>
      <c r="X163" s="1">
        <f>-X178*Założenia!$O$175</f>
        <v>0</v>
      </c>
      <c r="Y163" s="1">
        <f>-Y178*Założenia!$O$175</f>
        <v>0</v>
      </c>
      <c r="Z163" s="1">
        <f>-Z178*Założenia!$O$175</f>
        <v>0</v>
      </c>
      <c r="AA163" s="1">
        <f>-AA178*Założenia!$O$175</f>
        <v>0</v>
      </c>
      <c r="AB163" s="1">
        <f>-AB178*Założenia!$O$175</f>
        <v>0</v>
      </c>
      <c r="AC163" s="1">
        <f>-AC178*Założenia!$O$175</f>
        <v>0</v>
      </c>
      <c r="AD163" s="1">
        <f>-AD178*Założenia!$O$175</f>
        <v>0</v>
      </c>
      <c r="AE163" s="1">
        <f>-AE178*Założenia!$O$175</f>
        <v>0</v>
      </c>
      <c r="AF163" s="1">
        <f>-AF178*Założenia!$O$175</f>
        <v>0</v>
      </c>
      <c r="AG163" s="1">
        <f>-AG178*Założenia!$O$175</f>
        <v>0</v>
      </c>
      <c r="AH163" s="1">
        <f>-AH178*Założenia!$O$175</f>
        <v>0</v>
      </c>
      <c r="AI163" s="1">
        <f>-AI178*Założenia!$O$175</f>
        <v>0</v>
      </c>
      <c r="AJ163" s="1">
        <f>-AJ178*Założenia!$O$175</f>
        <v>0</v>
      </c>
      <c r="AK163" s="1">
        <f>-AK178*Założenia!$O$175</f>
        <v>0</v>
      </c>
      <c r="AL163" s="1">
        <f>-AL178*Założenia!$O$175</f>
        <v>0</v>
      </c>
      <c r="AM163" s="1">
        <f>-AM178*Założenia!$O$175</f>
        <v>0</v>
      </c>
      <c r="AN163" s="1">
        <f>-AN178*Założenia!$O$175</f>
        <v>0</v>
      </c>
      <c r="AO163" s="1">
        <f>-AO178*Założenia!$O$175</f>
        <v>0</v>
      </c>
      <c r="AP163" s="1">
        <f>-AP178*Założenia!$O$175</f>
        <v>0</v>
      </c>
      <c r="AQ163" s="1">
        <f>-AQ178*Założenia!$O$175</f>
        <v>0</v>
      </c>
      <c r="AR163" s="1">
        <f>-AR178*Założenia!$O$175</f>
        <v>0</v>
      </c>
      <c r="AS163" s="1">
        <f>-AS178*Założenia!$O$175</f>
        <v>0</v>
      </c>
      <c r="AT163" s="1">
        <f>-AT178*Założenia!$O$175</f>
        <v>0</v>
      </c>
      <c r="AU163" s="1">
        <f>-AU178*Założenia!$O$175</f>
        <v>0</v>
      </c>
      <c r="AV163" s="1">
        <f>-AV178*Założenia!$O$175</f>
        <v>0</v>
      </c>
      <c r="AW163" s="1">
        <f>-AW178*Założenia!$O$175</f>
        <v>0</v>
      </c>
      <c r="AX163" s="1">
        <f>-AX178*Założenia!$O$175</f>
        <v>0</v>
      </c>
      <c r="AY163" s="1">
        <f>-AY178*Założenia!$O$175</f>
        <v>0</v>
      </c>
      <c r="AZ163" s="1">
        <f>-AZ178*Założenia!$O$175</f>
        <v>0</v>
      </c>
      <c r="BA163" s="1">
        <f>-BA178*Założenia!$O$175</f>
        <v>0</v>
      </c>
    </row>
    <row r="164" spans="1:54" ht="15.75" customHeight="1" x14ac:dyDescent="0.35">
      <c r="B164" s="5"/>
      <c r="C164" s="5" t="s">
        <v>142</v>
      </c>
      <c r="D164" s="5"/>
      <c r="E164" s="5"/>
      <c r="F164" s="5"/>
      <c r="G164" s="5"/>
      <c r="H164" s="5"/>
      <c r="I164" s="5"/>
      <c r="J164" s="5"/>
      <c r="K164" s="5"/>
      <c r="N164" s="1">
        <f t="shared" si="102"/>
        <v>0</v>
      </c>
      <c r="Q164" s="1">
        <f t="shared" ref="Q164:BA164" si="104">-Q74*VAT</f>
        <v>0</v>
      </c>
      <c r="R164" s="1">
        <f t="shared" si="104"/>
        <v>0</v>
      </c>
      <c r="S164" s="1">
        <f t="shared" si="104"/>
        <v>0</v>
      </c>
      <c r="T164" s="1">
        <f t="shared" si="104"/>
        <v>0</v>
      </c>
      <c r="U164" s="1">
        <f t="shared" si="104"/>
        <v>0</v>
      </c>
      <c r="V164" s="1">
        <f t="shared" si="104"/>
        <v>0</v>
      </c>
      <c r="W164" s="1">
        <f t="shared" si="104"/>
        <v>0</v>
      </c>
      <c r="X164" s="1">
        <f t="shared" si="104"/>
        <v>0</v>
      </c>
      <c r="Y164" s="1">
        <f t="shared" si="104"/>
        <v>0</v>
      </c>
      <c r="Z164" s="1">
        <f t="shared" si="104"/>
        <v>0</v>
      </c>
      <c r="AA164" s="1">
        <f t="shared" si="104"/>
        <v>0</v>
      </c>
      <c r="AB164" s="1">
        <f t="shared" si="104"/>
        <v>0</v>
      </c>
      <c r="AC164" s="1">
        <f t="shared" si="104"/>
        <v>0</v>
      </c>
      <c r="AD164" s="1">
        <f t="shared" si="104"/>
        <v>0</v>
      </c>
      <c r="AE164" s="1">
        <f t="shared" si="104"/>
        <v>0</v>
      </c>
      <c r="AF164" s="1">
        <f t="shared" si="104"/>
        <v>0</v>
      </c>
      <c r="AG164" s="1">
        <f t="shared" si="104"/>
        <v>0</v>
      </c>
      <c r="AH164" s="1">
        <f t="shared" si="104"/>
        <v>0</v>
      </c>
      <c r="AI164" s="1">
        <f t="shared" si="104"/>
        <v>0</v>
      </c>
      <c r="AJ164" s="1">
        <f t="shared" si="104"/>
        <v>0</v>
      </c>
      <c r="AK164" s="1">
        <f t="shared" si="104"/>
        <v>0</v>
      </c>
      <c r="AL164" s="1">
        <f t="shared" si="104"/>
        <v>0</v>
      </c>
      <c r="AM164" s="1">
        <f t="shared" si="104"/>
        <v>0</v>
      </c>
      <c r="AN164" s="1">
        <f t="shared" si="104"/>
        <v>0</v>
      </c>
      <c r="AO164" s="1">
        <f t="shared" si="104"/>
        <v>0</v>
      </c>
      <c r="AP164" s="1">
        <f t="shared" si="104"/>
        <v>0</v>
      </c>
      <c r="AQ164" s="1">
        <f t="shared" si="104"/>
        <v>0</v>
      </c>
      <c r="AR164" s="1">
        <f t="shared" si="104"/>
        <v>0</v>
      </c>
      <c r="AS164" s="1">
        <f t="shared" si="104"/>
        <v>0</v>
      </c>
      <c r="AT164" s="1">
        <f t="shared" si="104"/>
        <v>0</v>
      </c>
      <c r="AU164" s="1">
        <f t="shared" si="104"/>
        <v>0</v>
      </c>
      <c r="AV164" s="1">
        <f t="shared" si="104"/>
        <v>0</v>
      </c>
      <c r="AW164" s="1">
        <f t="shared" si="104"/>
        <v>0</v>
      </c>
      <c r="AX164" s="1">
        <f t="shared" si="104"/>
        <v>0</v>
      </c>
      <c r="AY164" s="1">
        <f t="shared" si="104"/>
        <v>0</v>
      </c>
      <c r="AZ164" s="1">
        <f t="shared" si="104"/>
        <v>0</v>
      </c>
      <c r="BA164" s="1">
        <f t="shared" si="104"/>
        <v>0</v>
      </c>
    </row>
    <row r="165" spans="1:54" x14ac:dyDescent="0.35">
      <c r="B165" s="5"/>
      <c r="C165" s="5" t="s">
        <v>6</v>
      </c>
      <c r="D165" s="5"/>
      <c r="E165" s="5"/>
      <c r="F165" s="5"/>
      <c r="G165" s="5"/>
      <c r="H165" s="5"/>
      <c r="I165" s="5"/>
      <c r="J165" s="5"/>
      <c r="K165" s="5"/>
      <c r="N165" s="1">
        <f t="shared" si="102"/>
        <v>0</v>
      </c>
      <c r="Q165" s="1">
        <f t="shared" ref="Q165:BA165" si="105">-Q73*VAT</f>
        <v>0</v>
      </c>
      <c r="R165" s="1">
        <f t="shared" si="105"/>
        <v>0</v>
      </c>
      <c r="S165" s="1">
        <f t="shared" si="105"/>
        <v>0</v>
      </c>
      <c r="T165" s="1">
        <f t="shared" si="105"/>
        <v>0</v>
      </c>
      <c r="U165" s="1">
        <f t="shared" si="105"/>
        <v>0</v>
      </c>
      <c r="V165" s="1">
        <f t="shared" si="105"/>
        <v>0</v>
      </c>
      <c r="W165" s="1">
        <f t="shared" si="105"/>
        <v>0</v>
      </c>
      <c r="X165" s="1">
        <f t="shared" si="105"/>
        <v>0</v>
      </c>
      <c r="Y165" s="1">
        <f t="shared" si="105"/>
        <v>0</v>
      </c>
      <c r="Z165" s="1">
        <f t="shared" si="105"/>
        <v>0</v>
      </c>
      <c r="AA165" s="1">
        <f t="shared" si="105"/>
        <v>0</v>
      </c>
      <c r="AB165" s="1">
        <f t="shared" si="105"/>
        <v>0</v>
      </c>
      <c r="AC165" s="1">
        <f t="shared" si="105"/>
        <v>0</v>
      </c>
      <c r="AD165" s="1">
        <f t="shared" si="105"/>
        <v>0</v>
      </c>
      <c r="AE165" s="1">
        <f t="shared" si="105"/>
        <v>0</v>
      </c>
      <c r="AF165" s="1">
        <f t="shared" si="105"/>
        <v>0</v>
      </c>
      <c r="AG165" s="1">
        <f t="shared" si="105"/>
        <v>0</v>
      </c>
      <c r="AH165" s="1">
        <f t="shared" si="105"/>
        <v>0</v>
      </c>
      <c r="AI165" s="1">
        <f t="shared" si="105"/>
        <v>0</v>
      </c>
      <c r="AJ165" s="1">
        <f t="shared" si="105"/>
        <v>0</v>
      </c>
      <c r="AK165" s="1">
        <f t="shared" si="105"/>
        <v>0</v>
      </c>
      <c r="AL165" s="1">
        <f t="shared" si="105"/>
        <v>0</v>
      </c>
      <c r="AM165" s="1">
        <f t="shared" si="105"/>
        <v>0</v>
      </c>
      <c r="AN165" s="1">
        <f t="shared" si="105"/>
        <v>0</v>
      </c>
      <c r="AO165" s="1">
        <f t="shared" si="105"/>
        <v>0</v>
      </c>
      <c r="AP165" s="1">
        <f t="shared" si="105"/>
        <v>0</v>
      </c>
      <c r="AQ165" s="1">
        <f t="shared" si="105"/>
        <v>0</v>
      </c>
      <c r="AR165" s="1">
        <f t="shared" si="105"/>
        <v>0</v>
      </c>
      <c r="AS165" s="1">
        <f t="shared" si="105"/>
        <v>0</v>
      </c>
      <c r="AT165" s="1">
        <f t="shared" si="105"/>
        <v>0</v>
      </c>
      <c r="AU165" s="1">
        <f t="shared" si="105"/>
        <v>0</v>
      </c>
      <c r="AV165" s="1">
        <f t="shared" si="105"/>
        <v>0</v>
      </c>
      <c r="AW165" s="1">
        <f t="shared" si="105"/>
        <v>0</v>
      </c>
      <c r="AX165" s="1">
        <f t="shared" si="105"/>
        <v>0</v>
      </c>
      <c r="AY165" s="1">
        <f t="shared" si="105"/>
        <v>0</v>
      </c>
      <c r="AZ165" s="1">
        <f t="shared" si="105"/>
        <v>0</v>
      </c>
      <c r="BA165" s="1">
        <f t="shared" si="105"/>
        <v>0</v>
      </c>
    </row>
    <row r="166" spans="1:54" ht="15.75" customHeight="1" x14ac:dyDescent="0.35">
      <c r="B166" s="5"/>
      <c r="C166" s="5"/>
      <c r="D166" s="5"/>
      <c r="E166" s="5"/>
      <c r="F166" s="5"/>
      <c r="G166" s="5"/>
      <c r="H166" s="5"/>
      <c r="I166" s="5"/>
      <c r="J166" s="5"/>
      <c r="K166" s="5"/>
    </row>
    <row r="167" spans="1:54" ht="15.75" customHeight="1" x14ac:dyDescent="0.35">
      <c r="B167" s="9" t="s">
        <v>140</v>
      </c>
      <c r="C167" s="9"/>
      <c r="D167" s="9"/>
      <c r="E167" s="9"/>
      <c r="F167" s="9"/>
      <c r="G167" s="9"/>
      <c r="H167" s="9"/>
      <c r="I167" s="9"/>
      <c r="J167" s="9"/>
      <c r="K167" s="9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</row>
    <row r="168" spans="1:54" ht="15.75" customHeight="1" x14ac:dyDescent="0.35">
      <c r="B168" s="5"/>
      <c r="C168" s="5" t="s">
        <v>132</v>
      </c>
      <c r="D168" s="5"/>
      <c r="E168" s="5"/>
      <c r="F168" s="5"/>
      <c r="G168" s="5"/>
      <c r="H168" s="5"/>
      <c r="I168" s="5"/>
      <c r="J168" s="5"/>
      <c r="K168" s="5"/>
      <c r="N168" s="11">
        <f>SUM(Q168:BA168)</f>
        <v>0</v>
      </c>
      <c r="Q168" s="11">
        <f t="shared" ref="Q168:Y168" si="106">SUM(Q169:Q170)</f>
        <v>0</v>
      </c>
      <c r="R168" s="11">
        <f t="shared" si="106"/>
        <v>0</v>
      </c>
      <c r="S168" s="11">
        <f t="shared" si="106"/>
        <v>0</v>
      </c>
      <c r="T168" s="11">
        <f t="shared" si="106"/>
        <v>0</v>
      </c>
      <c r="U168" s="11">
        <f t="shared" si="106"/>
        <v>0</v>
      </c>
      <c r="V168" s="11">
        <f t="shared" si="106"/>
        <v>0</v>
      </c>
      <c r="W168" s="11">
        <f t="shared" si="106"/>
        <v>0</v>
      </c>
      <c r="X168" s="11">
        <f t="shared" si="106"/>
        <v>0</v>
      </c>
      <c r="Y168" s="11">
        <f t="shared" si="106"/>
        <v>0</v>
      </c>
      <c r="Z168" s="11">
        <f>SUM(Z169:Z170)</f>
        <v>0</v>
      </c>
      <c r="AA168" s="11">
        <f t="shared" ref="AA168:BA168" si="107">SUM(AA169:AA170)</f>
        <v>0</v>
      </c>
      <c r="AB168" s="11">
        <f t="shared" si="107"/>
        <v>0</v>
      </c>
      <c r="AC168" s="11">
        <f t="shared" si="107"/>
        <v>0</v>
      </c>
      <c r="AD168" s="11">
        <f t="shared" si="107"/>
        <v>0</v>
      </c>
      <c r="AE168" s="11">
        <f t="shared" si="107"/>
        <v>0</v>
      </c>
      <c r="AF168" s="11">
        <f t="shared" si="107"/>
        <v>0</v>
      </c>
      <c r="AG168" s="11">
        <f t="shared" si="107"/>
        <v>0</v>
      </c>
      <c r="AH168" s="11">
        <f t="shared" si="107"/>
        <v>0</v>
      </c>
      <c r="AI168" s="11">
        <f t="shared" si="107"/>
        <v>0</v>
      </c>
      <c r="AJ168" s="11">
        <f t="shared" si="107"/>
        <v>0</v>
      </c>
      <c r="AK168" s="11">
        <f t="shared" si="107"/>
        <v>0</v>
      </c>
      <c r="AL168" s="11">
        <f t="shared" si="107"/>
        <v>0</v>
      </c>
      <c r="AM168" s="11">
        <f t="shared" si="107"/>
        <v>0</v>
      </c>
      <c r="AN168" s="11">
        <f t="shared" si="107"/>
        <v>0</v>
      </c>
      <c r="AO168" s="11">
        <f t="shared" si="107"/>
        <v>0</v>
      </c>
      <c r="AP168" s="11">
        <f t="shared" si="107"/>
        <v>0</v>
      </c>
      <c r="AQ168" s="11">
        <f t="shared" si="107"/>
        <v>0</v>
      </c>
      <c r="AR168" s="11">
        <f t="shared" si="107"/>
        <v>0</v>
      </c>
      <c r="AS168" s="11">
        <f t="shared" si="107"/>
        <v>0</v>
      </c>
      <c r="AT168" s="11">
        <f t="shared" si="107"/>
        <v>0</v>
      </c>
      <c r="AU168" s="11">
        <f t="shared" si="107"/>
        <v>0</v>
      </c>
      <c r="AV168" s="11">
        <f t="shared" si="107"/>
        <v>0</v>
      </c>
      <c r="AW168" s="11">
        <f t="shared" si="107"/>
        <v>0</v>
      </c>
      <c r="AX168" s="11">
        <f t="shared" si="107"/>
        <v>0</v>
      </c>
      <c r="AY168" s="11">
        <f t="shared" si="107"/>
        <v>0</v>
      </c>
      <c r="AZ168" s="11">
        <f t="shared" si="107"/>
        <v>0</v>
      </c>
      <c r="BA168" s="11">
        <f t="shared" si="107"/>
        <v>0</v>
      </c>
    </row>
    <row r="169" spans="1:54" ht="15.75" customHeight="1" x14ac:dyDescent="0.35">
      <c r="B169" s="5"/>
      <c r="C169" s="5"/>
      <c r="D169" s="5" t="s">
        <v>138</v>
      </c>
      <c r="E169" s="5"/>
      <c r="F169" s="5"/>
      <c r="G169" s="5"/>
      <c r="H169" s="5"/>
      <c r="I169" s="5"/>
      <c r="J169" s="5"/>
      <c r="K169" s="5"/>
      <c r="N169" s="1">
        <f>SUM(Q169:BA169)</f>
        <v>0</v>
      </c>
      <c r="Q169" s="1">
        <f>Q$155*(Założenia!$O$172="tak")*Założenia!$O$173</f>
        <v>0</v>
      </c>
      <c r="R169" s="1">
        <f>R$155*(Założenia!$O$172="tak")*Założenia!$O$173</f>
        <v>0</v>
      </c>
      <c r="S169" s="1">
        <f>S$155*(Założenia!$O$172="tak")*Założenia!$O$173</f>
        <v>0</v>
      </c>
      <c r="T169" s="1">
        <f>T$155*(Założenia!$O$172="tak")*Założenia!$O$173</f>
        <v>0</v>
      </c>
      <c r="U169" s="1">
        <f>U$155*(Założenia!$O$172="tak")*Założenia!$O$173</f>
        <v>0</v>
      </c>
      <c r="V169" s="1">
        <f>V$155*(Założenia!$O$172="tak")*Założenia!$O$173</f>
        <v>0</v>
      </c>
      <c r="W169" s="1">
        <f>W$155*(Założenia!$O$172="tak")*Założenia!$O$173</f>
        <v>0</v>
      </c>
      <c r="X169" s="1">
        <f>X$155*(Założenia!$O$172="tak")*Założenia!$O$173</f>
        <v>0</v>
      </c>
      <c r="Y169" s="1">
        <f>Y$155*(Założenia!$O$172="tak")*Założenia!$O$173</f>
        <v>0</v>
      </c>
      <c r="Z169" s="1">
        <f>Z$155*(Założenia!$O$172="tak")*Założenia!$O$173</f>
        <v>0</v>
      </c>
      <c r="AA169" s="1">
        <f>AA$155*(Założenia!$O$172="tak")*Założenia!$O$173</f>
        <v>0</v>
      </c>
      <c r="AB169" s="1">
        <f>AB$155*(Założenia!$O$172="tak")*Założenia!$O$173</f>
        <v>0</v>
      </c>
      <c r="AC169" s="1">
        <f>AC$155*(Założenia!$O$172="tak")*Założenia!$O$173</f>
        <v>0</v>
      </c>
      <c r="AD169" s="1">
        <f>AD$155*(Założenia!$O$172="tak")*Założenia!$O$173</f>
        <v>0</v>
      </c>
      <c r="AE169" s="1">
        <f>AE$155*(Założenia!$O$172="tak")*Założenia!$O$173</f>
        <v>0</v>
      </c>
      <c r="AF169" s="1">
        <f>AF$155*(Założenia!$O$172="tak")*Założenia!$O$173</f>
        <v>0</v>
      </c>
      <c r="AG169" s="1">
        <f>AG$155*(Założenia!$O$172="tak")*Założenia!$O$173</f>
        <v>0</v>
      </c>
      <c r="AH169" s="1">
        <f>AH$155*(Założenia!$O$172="tak")*Założenia!$O$173</f>
        <v>0</v>
      </c>
      <c r="AI169" s="1">
        <f>AI$155*(Założenia!$O$172="tak")*Założenia!$O$173</f>
        <v>0</v>
      </c>
      <c r="AJ169" s="1">
        <f>AJ$155*(Założenia!$O$172="tak")*Założenia!$O$173</f>
        <v>0</v>
      </c>
      <c r="AK169" s="1">
        <f>AK$155*(Założenia!$O$172="tak")*Założenia!$O$173</f>
        <v>0</v>
      </c>
      <c r="AL169" s="1">
        <f>AL$155*(Założenia!$O$172="tak")*Założenia!$O$173</f>
        <v>0</v>
      </c>
      <c r="AM169" s="1">
        <f>AM$155*(Założenia!$O$172="tak")*Założenia!$O$173</f>
        <v>0</v>
      </c>
      <c r="AN169" s="1">
        <f>AN$155*(Założenia!$O$172="tak")*Założenia!$O$173</f>
        <v>0</v>
      </c>
      <c r="AO169" s="1">
        <f>AO$155*(Założenia!$O$172="tak")*Założenia!$O$173</f>
        <v>0</v>
      </c>
      <c r="AP169" s="1">
        <f>AP$155*(Założenia!$O$172="tak")*Założenia!$O$173</f>
        <v>0</v>
      </c>
      <c r="AQ169" s="1">
        <f>AQ$155*(Założenia!$O$172="tak")*Założenia!$O$173</f>
        <v>0</v>
      </c>
      <c r="AR169" s="1">
        <f>AR$155*(Założenia!$O$172="tak")*Założenia!$O$173</f>
        <v>0</v>
      </c>
      <c r="AS169" s="1">
        <f>AS$155*(Założenia!$O$172="tak")*Założenia!$O$173</f>
        <v>0</v>
      </c>
      <c r="AT169" s="1">
        <f>AT$155*(Założenia!$O$172="tak")*Założenia!$O$173</f>
        <v>0</v>
      </c>
      <c r="AU169" s="1">
        <f>AU$155*(Założenia!$O$172="tak")*Założenia!$O$173</f>
        <v>0</v>
      </c>
      <c r="AV169" s="1">
        <f>AV$155*(Założenia!$O$172="tak")*Założenia!$O$173</f>
        <v>0</v>
      </c>
      <c r="AW169" s="1">
        <f>AW$155*(Założenia!$O$172="tak")*Założenia!$O$173</f>
        <v>0</v>
      </c>
      <c r="AX169" s="1">
        <f>AX$155*(Założenia!$O$172="tak")*Założenia!$O$173</f>
        <v>0</v>
      </c>
      <c r="AY169" s="1">
        <f>AY$155*(Założenia!$O$172="tak")*Założenia!$O$173</f>
        <v>0</v>
      </c>
      <c r="AZ169" s="1">
        <f>AZ$155*(Założenia!$O$172="tak")*Założenia!$O$173</f>
        <v>0</v>
      </c>
      <c r="BA169" s="1">
        <f>BA$155*(Założenia!$O$172="tak")*Założenia!$O$173</f>
        <v>0</v>
      </c>
    </row>
    <row r="170" spans="1:54" ht="15.75" customHeight="1" x14ac:dyDescent="0.35">
      <c r="B170" s="5"/>
      <c r="C170" s="5"/>
      <c r="D170" s="5" t="s">
        <v>139</v>
      </c>
      <c r="E170" s="5"/>
      <c r="F170" s="5"/>
      <c r="G170" s="5"/>
      <c r="H170" s="5"/>
      <c r="I170" s="5"/>
      <c r="J170" s="5"/>
      <c r="K170" s="5"/>
      <c r="N170" s="1">
        <f>SUM(Q170:BA170)</f>
        <v>0</v>
      </c>
      <c r="Q170" s="1">
        <f>SUM(Q$155-Q$169)*(Założenia!$O$179="Podmiot Publiczny")</f>
        <v>0</v>
      </c>
      <c r="R170" s="1">
        <f>SUM(R$155-R$169)*(Założenia!$O$179="Podmiot Publiczny")</f>
        <v>0</v>
      </c>
      <c r="S170" s="1">
        <f>SUM(S$155-S$169)*(Założenia!$O$179="Podmiot Publiczny")</f>
        <v>0</v>
      </c>
      <c r="T170" s="1">
        <f>SUM(T$155-T$169)*(Założenia!$O$179="Podmiot Publiczny")</f>
        <v>0</v>
      </c>
      <c r="U170" s="1">
        <f>SUM(U$155-U$169)*(Założenia!$O$179="Podmiot Publiczny")</f>
        <v>0</v>
      </c>
      <c r="V170" s="1">
        <f>SUM(V$155-V$169)*(Założenia!$O$179="Podmiot Publiczny")</f>
        <v>0</v>
      </c>
      <c r="W170" s="1">
        <f>SUM(W$155-W$169)*(Założenia!$O$179="Podmiot Publiczny")</f>
        <v>0</v>
      </c>
      <c r="X170" s="1">
        <f>SUM(X$155-X$169)*(Założenia!$O$179="Podmiot Publiczny")</f>
        <v>0</v>
      </c>
      <c r="Y170" s="1">
        <f>SUM(Y$155-Y$169)*(Założenia!$O$179="Podmiot Publiczny")</f>
        <v>0</v>
      </c>
      <c r="Z170" s="1">
        <f>SUM(Z$155-Z$169)*(Założenia!$O$179="Podmiot Publiczny")</f>
        <v>0</v>
      </c>
      <c r="AA170" s="1">
        <f>SUM(AA$155-AA$169)*(Założenia!$O$179="Podmiot Publiczny")</f>
        <v>0</v>
      </c>
      <c r="AB170" s="1">
        <f>SUM(AB$155-AB$169)*(Założenia!$O$179="Podmiot Publiczny")</f>
        <v>0</v>
      </c>
      <c r="AC170" s="1">
        <f>SUM(AC$155-AC$169)*(Założenia!$O$179="Podmiot Publiczny")</f>
        <v>0</v>
      </c>
      <c r="AD170" s="1">
        <f>SUM(AD$155-AD$169)*(Założenia!$O$179="Podmiot Publiczny")</f>
        <v>0</v>
      </c>
      <c r="AE170" s="1">
        <f>SUM(AE$155-AE$169)*(Założenia!$O$179="Podmiot Publiczny")</f>
        <v>0</v>
      </c>
      <c r="AF170" s="1">
        <f>SUM(AF$155-AF$169)*(Założenia!$O$179="Podmiot Publiczny")</f>
        <v>0</v>
      </c>
      <c r="AG170" s="1">
        <f>SUM(AG$155-AG$169)*(Założenia!$O$179="Podmiot Publiczny")</f>
        <v>0</v>
      </c>
      <c r="AH170" s="1">
        <f>SUM(AH$155-AH$169)*(Założenia!$O$179="Podmiot Publiczny")</f>
        <v>0</v>
      </c>
      <c r="AI170" s="1">
        <f>SUM(AI$155-AI$169)*(Założenia!$O$179="Podmiot Publiczny")</f>
        <v>0</v>
      </c>
      <c r="AJ170" s="1">
        <f>SUM(AJ$155-AJ$169)*(Założenia!$O$179="Podmiot Publiczny")</f>
        <v>0</v>
      </c>
      <c r="AK170" s="1">
        <f>SUM(AK$155-AK$169)*(Założenia!$O$179="Podmiot Publiczny")</f>
        <v>0</v>
      </c>
      <c r="AL170" s="1">
        <f>SUM(AL$155-AL$169)*(Założenia!$O$179="Podmiot Publiczny")</f>
        <v>0</v>
      </c>
      <c r="AM170" s="1">
        <f>SUM(AM$155-AM$169)*(Założenia!$O$179="Podmiot Publiczny")</f>
        <v>0</v>
      </c>
      <c r="AN170" s="1">
        <f>SUM(AN$155-AN$169)*(Założenia!$O$179="Podmiot Publiczny")</f>
        <v>0</v>
      </c>
      <c r="AO170" s="1">
        <f>SUM(AO$155-AO$169)*(Założenia!$O$179="Podmiot Publiczny")</f>
        <v>0</v>
      </c>
      <c r="AP170" s="1">
        <f>SUM(AP$155-AP$169)*(Założenia!$O$179="Podmiot Publiczny")</f>
        <v>0</v>
      </c>
      <c r="AQ170" s="1">
        <f>SUM(AQ$155-AQ$169)*(Założenia!$O$179="Podmiot Publiczny")</f>
        <v>0</v>
      </c>
      <c r="AR170" s="1">
        <f>SUM(AR$155-AR$169)*(Założenia!$O$179="Podmiot Publiczny")</f>
        <v>0</v>
      </c>
      <c r="AS170" s="1">
        <f>SUM(AS$155-AS$169)*(Założenia!$O$179="Podmiot Publiczny")</f>
        <v>0</v>
      </c>
      <c r="AT170" s="1">
        <f>SUM(AT$155-AT$169)*(Założenia!$O$179="Podmiot Publiczny")</f>
        <v>0</v>
      </c>
      <c r="AU170" s="1">
        <f>SUM(AU$155-AU$169)*(Założenia!$O$179="Podmiot Publiczny")</f>
        <v>0</v>
      </c>
      <c r="AV170" s="1">
        <f>SUM(AV$155-AV$169)*(Założenia!$O$179="Podmiot Publiczny")</f>
        <v>0</v>
      </c>
      <c r="AW170" s="1">
        <f>SUM(AW$155-AW$169)*(Założenia!$O$179="Podmiot Publiczny")</f>
        <v>0</v>
      </c>
      <c r="AX170" s="1">
        <f>SUM(AX$155-AX$169)*(Założenia!$O$179="Podmiot Publiczny")</f>
        <v>0</v>
      </c>
      <c r="AY170" s="1">
        <f>SUM(AY$155-AY$169)*(Założenia!$O$179="Podmiot Publiczny")</f>
        <v>0</v>
      </c>
      <c r="AZ170" s="1">
        <f>SUM(AZ$155-AZ$169)*(Założenia!$O$179="Podmiot Publiczny")</f>
        <v>0</v>
      </c>
      <c r="BA170" s="1">
        <f>SUM(BA$155-BA$169)*(Założenia!$O$179="Podmiot Publiczny")</f>
        <v>0</v>
      </c>
    </row>
    <row r="171" spans="1:54" ht="15.75" customHeight="1" x14ac:dyDescent="0.35">
      <c r="B171" s="5"/>
      <c r="C171" s="5" t="s">
        <v>103</v>
      </c>
      <c r="D171" s="5"/>
      <c r="E171" s="5"/>
      <c r="F171" s="5"/>
      <c r="G171" s="5"/>
      <c r="H171" s="5"/>
      <c r="I171" s="5"/>
      <c r="J171" s="5"/>
      <c r="K171" s="5"/>
      <c r="N171" s="1">
        <f>SUM(Q171:BA171)</f>
        <v>0</v>
      </c>
      <c r="Q171" s="1">
        <f t="shared" ref="Q171:BA171" si="108">Q155-Q168</f>
        <v>0</v>
      </c>
      <c r="R171" s="1">
        <f t="shared" si="108"/>
        <v>0</v>
      </c>
      <c r="S171" s="1">
        <f t="shared" si="108"/>
        <v>0</v>
      </c>
      <c r="T171" s="1">
        <f t="shared" si="108"/>
        <v>0</v>
      </c>
      <c r="U171" s="1">
        <f t="shared" si="108"/>
        <v>0</v>
      </c>
      <c r="V171" s="1">
        <f t="shared" si="108"/>
        <v>0</v>
      </c>
      <c r="W171" s="1">
        <f t="shared" si="108"/>
        <v>0</v>
      </c>
      <c r="X171" s="1">
        <f t="shared" si="108"/>
        <v>0</v>
      </c>
      <c r="Y171" s="1">
        <f t="shared" si="108"/>
        <v>0</v>
      </c>
      <c r="Z171" s="1">
        <f t="shared" si="108"/>
        <v>0</v>
      </c>
      <c r="AA171" s="1">
        <f t="shared" si="108"/>
        <v>0</v>
      </c>
      <c r="AB171" s="1">
        <f t="shared" si="108"/>
        <v>0</v>
      </c>
      <c r="AC171" s="1">
        <f t="shared" si="108"/>
        <v>0</v>
      </c>
      <c r="AD171" s="1">
        <f t="shared" si="108"/>
        <v>0</v>
      </c>
      <c r="AE171" s="1">
        <f t="shared" si="108"/>
        <v>0</v>
      </c>
      <c r="AF171" s="1">
        <f t="shared" si="108"/>
        <v>0</v>
      </c>
      <c r="AG171" s="1">
        <f t="shared" si="108"/>
        <v>0</v>
      </c>
      <c r="AH171" s="1">
        <f t="shared" si="108"/>
        <v>0</v>
      </c>
      <c r="AI171" s="1">
        <f t="shared" si="108"/>
        <v>0</v>
      </c>
      <c r="AJ171" s="1">
        <f t="shared" si="108"/>
        <v>0</v>
      </c>
      <c r="AK171" s="1">
        <f t="shared" si="108"/>
        <v>0</v>
      </c>
      <c r="AL171" s="1">
        <f t="shared" si="108"/>
        <v>0</v>
      </c>
      <c r="AM171" s="1">
        <f t="shared" si="108"/>
        <v>0</v>
      </c>
      <c r="AN171" s="1">
        <f t="shared" si="108"/>
        <v>0</v>
      </c>
      <c r="AO171" s="1">
        <f t="shared" si="108"/>
        <v>0</v>
      </c>
      <c r="AP171" s="1">
        <f t="shared" si="108"/>
        <v>0</v>
      </c>
      <c r="AQ171" s="1">
        <f t="shared" si="108"/>
        <v>0</v>
      </c>
      <c r="AR171" s="1">
        <f t="shared" si="108"/>
        <v>0</v>
      </c>
      <c r="AS171" s="1">
        <f t="shared" si="108"/>
        <v>0</v>
      </c>
      <c r="AT171" s="1">
        <f t="shared" si="108"/>
        <v>0</v>
      </c>
      <c r="AU171" s="1">
        <f t="shared" si="108"/>
        <v>0</v>
      </c>
      <c r="AV171" s="1">
        <f t="shared" si="108"/>
        <v>0</v>
      </c>
      <c r="AW171" s="1">
        <f t="shared" si="108"/>
        <v>0</v>
      </c>
      <c r="AX171" s="1">
        <f t="shared" si="108"/>
        <v>0</v>
      </c>
      <c r="AY171" s="1">
        <f t="shared" si="108"/>
        <v>0</v>
      </c>
      <c r="AZ171" s="1">
        <f t="shared" si="108"/>
        <v>0</v>
      </c>
      <c r="BA171" s="1">
        <f t="shared" si="108"/>
        <v>0</v>
      </c>
    </row>
    <row r="172" spans="1:54" ht="15.75" customHeight="1" x14ac:dyDescent="0.35">
      <c r="B172" s="5"/>
      <c r="C172" s="5"/>
      <c r="D172" s="5"/>
      <c r="E172" s="5"/>
      <c r="F172" s="5"/>
      <c r="G172" s="5"/>
      <c r="H172" s="5"/>
      <c r="I172" s="5"/>
      <c r="J172" s="5"/>
      <c r="K172" s="5"/>
    </row>
    <row r="173" spans="1:54" ht="15.75" customHeight="1" thickBot="1" x14ac:dyDescent="0.4">
      <c r="A173" s="44" t="s">
        <v>92</v>
      </c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5"/>
    </row>
    <row r="174" spans="1:54" ht="15.75" customHeight="1" thickTop="1" x14ac:dyDescent="0.35">
      <c r="B174" s="5"/>
      <c r="C174" s="5"/>
      <c r="D174" s="5"/>
      <c r="E174" s="5"/>
      <c r="F174" s="5"/>
      <c r="G174" s="5"/>
      <c r="H174" s="5"/>
      <c r="I174" s="5"/>
      <c r="J174" s="5"/>
      <c r="K174" s="5"/>
    </row>
    <row r="175" spans="1:54" ht="15.75" customHeight="1" x14ac:dyDescent="0.35">
      <c r="B175" s="9" t="s">
        <v>143</v>
      </c>
      <c r="C175" s="9"/>
      <c r="D175" s="9"/>
      <c r="E175" s="9"/>
      <c r="F175" s="9"/>
      <c r="G175" s="9"/>
      <c r="H175" s="9"/>
      <c r="I175" s="9"/>
      <c r="J175" s="9"/>
      <c r="K175" s="9"/>
      <c r="L175" s="8"/>
      <c r="M175" s="8"/>
      <c r="N175" s="10">
        <f>SUM(Q175:BA175)</f>
        <v>0</v>
      </c>
      <c r="O175" s="8"/>
      <c r="P175" s="8"/>
      <c r="Q175" s="10">
        <f>SUM(Q176:Q178)</f>
        <v>0</v>
      </c>
      <c r="R175" s="10">
        <f t="shared" ref="R175:BA175" si="109">SUM(R176:R178)</f>
        <v>0</v>
      </c>
      <c r="S175" s="10">
        <f t="shared" si="109"/>
        <v>0</v>
      </c>
      <c r="T175" s="10">
        <f t="shared" si="109"/>
        <v>0</v>
      </c>
      <c r="U175" s="10">
        <f t="shared" si="109"/>
        <v>0</v>
      </c>
      <c r="V175" s="10">
        <f t="shared" si="109"/>
        <v>0</v>
      </c>
      <c r="W175" s="10">
        <f t="shared" si="109"/>
        <v>0</v>
      </c>
      <c r="X175" s="10">
        <f t="shared" si="109"/>
        <v>0</v>
      </c>
      <c r="Y175" s="10">
        <f t="shared" si="109"/>
        <v>0</v>
      </c>
      <c r="Z175" s="10">
        <f t="shared" si="109"/>
        <v>0</v>
      </c>
      <c r="AA175" s="10">
        <f t="shared" si="109"/>
        <v>0</v>
      </c>
      <c r="AB175" s="10">
        <f t="shared" si="109"/>
        <v>0</v>
      </c>
      <c r="AC175" s="10">
        <f t="shared" si="109"/>
        <v>0</v>
      </c>
      <c r="AD175" s="10">
        <f t="shared" si="109"/>
        <v>0</v>
      </c>
      <c r="AE175" s="10">
        <f t="shared" si="109"/>
        <v>0</v>
      </c>
      <c r="AF175" s="10">
        <f t="shared" si="109"/>
        <v>0</v>
      </c>
      <c r="AG175" s="10">
        <f t="shared" si="109"/>
        <v>0</v>
      </c>
      <c r="AH175" s="10">
        <f t="shared" si="109"/>
        <v>0</v>
      </c>
      <c r="AI175" s="10">
        <f t="shared" si="109"/>
        <v>0</v>
      </c>
      <c r="AJ175" s="10">
        <f t="shared" si="109"/>
        <v>0</v>
      </c>
      <c r="AK175" s="10">
        <f t="shared" si="109"/>
        <v>0</v>
      </c>
      <c r="AL175" s="10">
        <f t="shared" si="109"/>
        <v>0</v>
      </c>
      <c r="AM175" s="10">
        <f t="shared" si="109"/>
        <v>0</v>
      </c>
      <c r="AN175" s="10">
        <f t="shared" si="109"/>
        <v>0</v>
      </c>
      <c r="AO175" s="10">
        <f t="shared" si="109"/>
        <v>0</v>
      </c>
      <c r="AP175" s="10">
        <f t="shared" si="109"/>
        <v>0</v>
      </c>
      <c r="AQ175" s="10">
        <f t="shared" si="109"/>
        <v>0</v>
      </c>
      <c r="AR175" s="10">
        <f t="shared" si="109"/>
        <v>0</v>
      </c>
      <c r="AS175" s="10">
        <f t="shared" si="109"/>
        <v>0</v>
      </c>
      <c r="AT175" s="10">
        <f t="shared" si="109"/>
        <v>0</v>
      </c>
      <c r="AU175" s="10">
        <f t="shared" si="109"/>
        <v>0</v>
      </c>
      <c r="AV175" s="10">
        <f t="shared" si="109"/>
        <v>0</v>
      </c>
      <c r="AW175" s="10">
        <f t="shared" si="109"/>
        <v>0</v>
      </c>
      <c r="AX175" s="10">
        <f t="shared" si="109"/>
        <v>0</v>
      </c>
      <c r="AY175" s="10">
        <f t="shared" si="109"/>
        <v>0</v>
      </c>
      <c r="AZ175" s="10">
        <f t="shared" si="109"/>
        <v>0</v>
      </c>
      <c r="BA175" s="10">
        <f t="shared" si="109"/>
        <v>0</v>
      </c>
    </row>
    <row r="176" spans="1:54" ht="15.75" customHeight="1" x14ac:dyDescent="0.35">
      <c r="B176" s="5"/>
      <c r="C176" s="5" t="s">
        <v>99</v>
      </c>
      <c r="D176" s="5"/>
      <c r="E176" s="5"/>
      <c r="F176" s="5"/>
      <c r="G176" s="5"/>
      <c r="H176" s="5"/>
      <c r="I176" s="5"/>
      <c r="J176" s="5"/>
      <c r="K176" s="5"/>
      <c r="N176" s="11">
        <f>SUM(Q176:BA176)</f>
        <v>0</v>
      </c>
      <c r="Q176" s="11">
        <f>IFERROR(Założenia!$O$34/SUM(OPt.w3)*OPt.w3*IF(Założenia!$O$38="tak",'zakładka techniczna'!Q$10,1),0)</f>
        <v>0</v>
      </c>
      <c r="R176" s="11">
        <f>IFERROR(Założenia!$O$34/SUM(OPt.w3)*OPt.w3*IF(Założenia!$O$38="tak",'zakładka techniczna'!R$10,1),0)</f>
        <v>0</v>
      </c>
      <c r="S176" s="11">
        <f>IFERROR(Założenia!$O$34/SUM(OPt.w3)*OPt.w3*IF(Założenia!$O$38="tak",'zakładka techniczna'!S$10,1),0)</f>
        <v>0</v>
      </c>
      <c r="T176" s="11">
        <f>IFERROR(Założenia!$O$34/SUM(OPt.w3)*OPt.w3*IF(Założenia!$O$38="tak",'zakładka techniczna'!T$10,1),0)</f>
        <v>0</v>
      </c>
      <c r="U176" s="11">
        <f>IFERROR(Założenia!$O$34/SUM(OPt.w3)*OPt.w3*IF(Założenia!$O$38="tak",'zakładka techniczna'!U$10,1),0)</f>
        <v>0</v>
      </c>
      <c r="V176" s="11">
        <f>IFERROR(Założenia!$O$34/SUM(OPt.w3)*OPt.w3*IF(Założenia!$O$38="tak",'zakładka techniczna'!V$10,1),0)</f>
        <v>0</v>
      </c>
      <c r="W176" s="11">
        <f>IFERROR(Założenia!$O$34/SUM(OPt.w3)*OPt.w3*IF(Założenia!$O$38="tak",'zakładka techniczna'!W$10,1),0)</f>
        <v>0</v>
      </c>
      <c r="X176" s="11">
        <f>IFERROR(Założenia!$O$34/SUM(OPt.w3)*OPt.w3*IF(Założenia!$O$38="tak",'zakładka techniczna'!X$10,1),0)</f>
        <v>0</v>
      </c>
      <c r="Y176" s="11">
        <f>IFERROR(Założenia!$O$34/SUM(OPt.w3)*OPt.w3*IF(Założenia!$O$38="tak",'zakładka techniczna'!Y$10,1),0)</f>
        <v>0</v>
      </c>
      <c r="Z176" s="11">
        <f>IFERROR(Założenia!$O$34/SUM(OPt.w3)*OPt.w3*IF(Założenia!$O$38="tak",'zakładka techniczna'!Z$10,1),0)</f>
        <v>0</v>
      </c>
      <c r="AA176" s="11">
        <f>IFERROR(Założenia!$O$34/SUM(OPt.w3)*OPt.w3*IF(Założenia!$O$38="tak",'zakładka techniczna'!AA$10,1),0)</f>
        <v>0</v>
      </c>
      <c r="AB176" s="11">
        <f>IFERROR(Założenia!$O$34/SUM(OPt.w3)*OPt.w3*IF(Założenia!$O$38="tak",'zakładka techniczna'!AB$10,1),0)</f>
        <v>0</v>
      </c>
      <c r="AC176" s="11">
        <f>IFERROR(Założenia!$O$34/SUM(OPt.w3)*OPt.w3*IF(Założenia!$O$38="tak",'zakładka techniczna'!AC$10,1),0)</f>
        <v>0</v>
      </c>
      <c r="AD176" s="11">
        <f>IFERROR(Założenia!$O$34/SUM(OPt.w3)*OPt.w3*IF(Założenia!$O$38="tak",'zakładka techniczna'!AD$10,1),0)</f>
        <v>0</v>
      </c>
      <c r="AE176" s="11">
        <f>IFERROR(Założenia!$O$34/SUM(OPt.w3)*OPt.w3*IF(Założenia!$O$38="tak",'zakładka techniczna'!AE$10,1),0)</f>
        <v>0</v>
      </c>
      <c r="AF176" s="11">
        <f>IFERROR(Założenia!$O$34/SUM(OPt.w3)*OPt.w3*IF(Założenia!$O$38="tak",'zakładka techniczna'!AF$10,1),0)</f>
        <v>0</v>
      </c>
      <c r="AG176" s="11">
        <f>IFERROR(Założenia!$O$34/SUM(OPt.w3)*OPt.w3*IF(Założenia!$O$38="tak",'zakładka techniczna'!AG$10,1),0)</f>
        <v>0</v>
      </c>
      <c r="AH176" s="11">
        <f>IFERROR(Założenia!$O$34/SUM(OPt.w3)*OPt.w3*IF(Założenia!$O$38="tak",'zakładka techniczna'!AH$10,1),0)</f>
        <v>0</v>
      </c>
      <c r="AI176" s="11">
        <f>IFERROR(Założenia!$O$34/SUM(OPt.w3)*OPt.w3*IF(Założenia!$O$38="tak",'zakładka techniczna'!AI$10,1),0)</f>
        <v>0</v>
      </c>
      <c r="AJ176" s="11">
        <f>IFERROR(Założenia!$O$34/SUM(OPt.w3)*OPt.w3*IF(Założenia!$O$38="tak",'zakładka techniczna'!AJ$10,1),0)</f>
        <v>0</v>
      </c>
      <c r="AK176" s="11">
        <f>IFERROR(Założenia!$O$34/SUM(OPt.w3)*OPt.w3*IF(Założenia!$O$38="tak",'zakładka techniczna'!AK$10,1),0)</f>
        <v>0</v>
      </c>
      <c r="AL176" s="11">
        <f>IFERROR(Założenia!$O$34/SUM(OPt.w3)*OPt.w3*IF(Założenia!$O$38="tak",'zakładka techniczna'!AL$10,1),0)</f>
        <v>0</v>
      </c>
      <c r="AM176" s="11">
        <f>IFERROR(Założenia!$O$34/SUM(OPt.w3)*OPt.w3*IF(Założenia!$O$38="tak",'zakładka techniczna'!AM$10,1),0)</f>
        <v>0</v>
      </c>
      <c r="AN176" s="11">
        <f>IFERROR(Założenia!$O$34/SUM(OPt.w3)*OPt.w3*IF(Założenia!$O$38="tak",'zakładka techniczna'!AN$10,1),0)</f>
        <v>0</v>
      </c>
      <c r="AO176" s="11">
        <f>IFERROR(Założenia!$O$34/SUM(OPt.w3)*OPt.w3*IF(Założenia!$O$38="tak",'zakładka techniczna'!AO$10,1),0)</f>
        <v>0</v>
      </c>
      <c r="AP176" s="11">
        <f>IFERROR(Założenia!$O$34/SUM(OPt.w3)*OPt.w3*IF(Założenia!$O$38="tak",'zakładka techniczna'!AP$10,1),0)</f>
        <v>0</v>
      </c>
      <c r="AQ176" s="11">
        <f>IFERROR(Założenia!$O$34/SUM(OPt.w3)*OPt.w3*IF(Założenia!$O$38="tak",'zakładka techniczna'!AQ$10,1),0)</f>
        <v>0</v>
      </c>
      <c r="AR176" s="11">
        <f>IFERROR(Założenia!$O$34/SUM(OPt.w3)*OPt.w3*IF(Założenia!$O$38="tak",'zakładka techniczna'!AR$10,1),0)</f>
        <v>0</v>
      </c>
      <c r="AS176" s="11">
        <f>IFERROR(Założenia!$O$34/SUM(OPt.w3)*OPt.w3*IF(Założenia!$O$38="tak",'zakładka techniczna'!AS$10,1),0)</f>
        <v>0</v>
      </c>
      <c r="AT176" s="11">
        <f>IFERROR(Założenia!$O$34/SUM(OPt.w3)*OPt.w3*IF(Założenia!$O$38="tak",'zakładka techniczna'!AT$10,1),0)</f>
        <v>0</v>
      </c>
      <c r="AU176" s="11">
        <f>IFERROR(Założenia!$O$34/SUM(OPt.w3)*OPt.w3*IF(Założenia!$O$38="tak",'zakładka techniczna'!AU$10,1),0)</f>
        <v>0</v>
      </c>
      <c r="AV176" s="11">
        <f>IFERROR(Założenia!$O$34/SUM(OPt.w3)*OPt.w3*IF(Założenia!$O$38="tak",'zakładka techniczna'!AV$10,1),0)</f>
        <v>0</v>
      </c>
      <c r="AW176" s="11">
        <f>IFERROR(Założenia!$O$34/SUM(OPt.w3)*OPt.w3*IF(Założenia!$O$38="tak",'zakładka techniczna'!AW$10,1),0)</f>
        <v>0</v>
      </c>
      <c r="AX176" s="11">
        <f>IFERROR(Założenia!$O$34/SUM(OPt.w3)*OPt.w3*IF(Założenia!$O$38="tak",'zakładka techniczna'!AX$10,1),0)</f>
        <v>0</v>
      </c>
      <c r="AY176" s="11">
        <f>IFERROR(Założenia!$O$34/SUM(OPt.w3)*OPt.w3*IF(Założenia!$O$38="tak",'zakładka techniczna'!AY$10,1),0)</f>
        <v>0</v>
      </c>
      <c r="AZ176" s="11">
        <f>IFERROR(Założenia!$O$34/SUM(OPt.w3)*OPt.w3*IF(Założenia!$O$38="tak",'zakładka techniczna'!AZ$10,1),0)</f>
        <v>0</v>
      </c>
      <c r="BA176" s="11">
        <f>IFERROR(Założenia!$O$34/SUM(OPt.w3)*OPt.w3*IF(Założenia!$O$38="tak",'zakładka techniczna'!BA$10,1),0)</f>
        <v>0</v>
      </c>
    </row>
    <row r="177" spans="1:54" ht="15.75" customHeight="1" x14ac:dyDescent="0.35">
      <c r="B177" s="5"/>
      <c r="C177" s="5" t="s">
        <v>100</v>
      </c>
      <c r="D177" s="5"/>
      <c r="E177" s="5"/>
      <c r="F177" s="5"/>
      <c r="G177" s="5"/>
      <c r="H177" s="5"/>
      <c r="I177" s="5"/>
      <c r="J177" s="5"/>
      <c r="K177" s="5"/>
      <c r="N177" s="1">
        <f>SUM(Q177:BA177)</f>
        <v>0</v>
      </c>
      <c r="Q177" s="1">
        <f>IFERROR(Założenia!$O$35/SUM(OBt.w3)*OBt.w3*IF(Założenia!$O$38="tak",'zakładka techniczna'!Q$10,1),0)</f>
        <v>0</v>
      </c>
      <c r="R177" s="1">
        <f>IFERROR(Założenia!$O$35/SUM(OBt.w3)*OBt.w3*IF(Założenia!$O$38="tak",'zakładka techniczna'!R$10,1),0)</f>
        <v>0</v>
      </c>
      <c r="S177" s="1">
        <f>IFERROR(Założenia!$O$35/SUM(OBt.w3)*OBt.w3*IF(Założenia!$O$38="tak",'zakładka techniczna'!S$10,1),0)</f>
        <v>0</v>
      </c>
      <c r="T177" s="1">
        <f>IFERROR(Założenia!$O$35/SUM(OBt.w3)*OBt.w3*IF(Założenia!$O$38="tak",'zakładka techniczna'!T$10,1),0)</f>
        <v>0</v>
      </c>
      <c r="U177" s="1">
        <f>IFERROR(Założenia!$O$35/SUM(OBt.w3)*OBt.w3*IF(Założenia!$O$38="tak",'zakładka techniczna'!U$10,1),0)</f>
        <v>0</v>
      </c>
      <c r="V177" s="1">
        <f>IFERROR(Założenia!$O$35/SUM(OBt.w3)*OBt.w3*IF(Założenia!$O$38="tak",'zakładka techniczna'!V$10,1),0)</f>
        <v>0</v>
      </c>
      <c r="W177" s="1">
        <f>IFERROR(Założenia!$O$35/SUM(OBt.w3)*OBt.w3*IF(Założenia!$O$38="tak",'zakładka techniczna'!W$10,1),0)</f>
        <v>0</v>
      </c>
      <c r="X177" s="1">
        <f>IFERROR(Założenia!$O$35/SUM(OBt.w3)*OBt.w3*IF(Założenia!$O$38="tak",'zakładka techniczna'!X$10,1),0)</f>
        <v>0</v>
      </c>
      <c r="Y177" s="1">
        <f>IFERROR(Założenia!$O$35/SUM(OBt.w3)*OBt.w3*IF(Założenia!$O$38="tak",'zakładka techniczna'!Y$10,1),0)</f>
        <v>0</v>
      </c>
      <c r="Z177" s="1">
        <f>IFERROR(Założenia!$O$35/SUM(OBt.w3)*OBt.w3*IF(Założenia!$O$38="tak",'zakładka techniczna'!Z$10,1),0)</f>
        <v>0</v>
      </c>
      <c r="AA177" s="1">
        <f>IFERROR(Założenia!$O$35/SUM(OBt.w3)*OBt.w3*IF(Założenia!$O$38="tak",'zakładka techniczna'!AA$10,1),0)</f>
        <v>0</v>
      </c>
      <c r="AB177" s="1">
        <f>IFERROR(Założenia!$O$35/SUM(OBt.w3)*OBt.w3*IF(Założenia!$O$38="tak",'zakładka techniczna'!AB$10,1),0)</f>
        <v>0</v>
      </c>
      <c r="AC177" s="1">
        <f>IFERROR(Założenia!$O$35/SUM(OBt.w3)*OBt.w3*IF(Założenia!$O$38="tak",'zakładka techniczna'!AC$10,1),0)</f>
        <v>0</v>
      </c>
      <c r="AD177" s="1">
        <f>IFERROR(Założenia!$O$35/SUM(OBt.w3)*OBt.w3*IF(Założenia!$O$38="tak",'zakładka techniczna'!AD$10,1),0)</f>
        <v>0</v>
      </c>
      <c r="AE177" s="1">
        <f>IFERROR(Założenia!$O$35/SUM(OBt.w3)*OBt.w3*IF(Założenia!$O$38="tak",'zakładka techniczna'!AE$10,1),0)</f>
        <v>0</v>
      </c>
      <c r="AF177" s="1">
        <f>IFERROR(Założenia!$O$35/SUM(OBt.w3)*OBt.w3*IF(Założenia!$O$38="tak",'zakładka techniczna'!AF$10,1),0)</f>
        <v>0</v>
      </c>
      <c r="AG177" s="1">
        <f>IFERROR(Założenia!$O$35/SUM(OBt.w3)*OBt.w3*IF(Założenia!$O$38="tak",'zakładka techniczna'!AG$10,1),0)</f>
        <v>0</v>
      </c>
      <c r="AH177" s="1">
        <f>IFERROR(Założenia!$O$35/SUM(OBt.w3)*OBt.w3*IF(Założenia!$O$38="tak",'zakładka techniczna'!AH$10,1),0)</f>
        <v>0</v>
      </c>
      <c r="AI177" s="1">
        <f>IFERROR(Założenia!$O$35/SUM(OBt.w3)*OBt.w3*IF(Założenia!$O$38="tak",'zakładka techniczna'!AI$10,1),0)</f>
        <v>0</v>
      </c>
      <c r="AJ177" s="1">
        <f>IFERROR(Założenia!$O$35/SUM(OBt.w3)*OBt.w3*IF(Założenia!$O$38="tak",'zakładka techniczna'!AJ$10,1),0)</f>
        <v>0</v>
      </c>
      <c r="AK177" s="1">
        <f>IFERROR(Założenia!$O$35/SUM(OBt.w3)*OBt.w3*IF(Założenia!$O$38="tak",'zakładka techniczna'!AK$10,1),0)</f>
        <v>0</v>
      </c>
      <c r="AL177" s="1">
        <f>IFERROR(Założenia!$O$35/SUM(OBt.w3)*OBt.w3*IF(Założenia!$O$38="tak",'zakładka techniczna'!AL$10,1),0)</f>
        <v>0</v>
      </c>
      <c r="AM177" s="1">
        <f>IFERROR(Założenia!$O$35/SUM(OBt.w3)*OBt.w3*IF(Założenia!$O$38="tak",'zakładka techniczna'!AM$10,1),0)</f>
        <v>0</v>
      </c>
      <c r="AN177" s="1">
        <f>IFERROR(Założenia!$O$35/SUM(OBt.w3)*OBt.w3*IF(Założenia!$O$38="tak",'zakładka techniczna'!AN$10,1),0)</f>
        <v>0</v>
      </c>
      <c r="AO177" s="1">
        <f>IFERROR(Założenia!$O$35/SUM(OBt.w3)*OBt.w3*IF(Założenia!$O$38="tak",'zakładka techniczna'!AO$10,1),0)</f>
        <v>0</v>
      </c>
      <c r="AP177" s="1">
        <f>IFERROR(Założenia!$O$35/SUM(OBt.w3)*OBt.w3*IF(Założenia!$O$38="tak",'zakładka techniczna'!AP$10,1),0)</f>
        <v>0</v>
      </c>
      <c r="AQ177" s="1">
        <f>IFERROR(Założenia!$O$35/SUM(OBt.w3)*OBt.w3*IF(Założenia!$O$38="tak",'zakładka techniczna'!AQ$10,1),0)</f>
        <v>0</v>
      </c>
      <c r="AR177" s="1">
        <f>IFERROR(Założenia!$O$35/SUM(OBt.w3)*OBt.w3*IF(Założenia!$O$38="tak",'zakładka techniczna'!AR$10,1),0)</f>
        <v>0</v>
      </c>
      <c r="AS177" s="1">
        <f>IFERROR(Założenia!$O$35/SUM(OBt.w3)*OBt.w3*IF(Założenia!$O$38="tak",'zakładka techniczna'!AS$10,1),0)</f>
        <v>0</v>
      </c>
      <c r="AT177" s="1">
        <f>IFERROR(Założenia!$O$35/SUM(OBt.w3)*OBt.w3*IF(Założenia!$O$38="tak",'zakładka techniczna'!AT$10,1),0)</f>
        <v>0</v>
      </c>
      <c r="AU177" s="1">
        <f>IFERROR(Założenia!$O$35/SUM(OBt.w3)*OBt.w3*IF(Założenia!$O$38="tak",'zakładka techniczna'!AU$10,1),0)</f>
        <v>0</v>
      </c>
      <c r="AV177" s="1">
        <f>IFERROR(Założenia!$O$35/SUM(OBt.w3)*OBt.w3*IF(Założenia!$O$38="tak",'zakładka techniczna'!AV$10,1),0)</f>
        <v>0</v>
      </c>
      <c r="AW177" s="1">
        <f>IFERROR(Założenia!$O$35/SUM(OBt.w3)*OBt.w3*IF(Założenia!$O$38="tak",'zakładka techniczna'!AW$10,1),0)</f>
        <v>0</v>
      </c>
      <c r="AX177" s="1">
        <f>IFERROR(Założenia!$O$35/SUM(OBt.w3)*OBt.w3*IF(Założenia!$O$38="tak",'zakładka techniczna'!AX$10,1),0)</f>
        <v>0</v>
      </c>
      <c r="AY177" s="1">
        <f>IFERROR(Założenia!$O$35/SUM(OBt.w3)*OBt.w3*IF(Założenia!$O$38="tak",'zakładka techniczna'!AY$10,1),0)</f>
        <v>0</v>
      </c>
      <c r="AZ177" s="1">
        <f>IFERROR(Założenia!$O$35/SUM(OBt.w3)*OBt.w3*IF(Założenia!$O$38="tak",'zakładka techniczna'!AZ$10,1),0)</f>
        <v>0</v>
      </c>
      <c r="BA177" s="1">
        <f>IFERROR(Założenia!$O$35/SUM(OBt.w3)*OBt.w3*IF(Założenia!$O$38="tak",'zakładka techniczna'!BA$10,1),0)</f>
        <v>0</v>
      </c>
    </row>
    <row r="178" spans="1:54" ht="15.75" customHeight="1" x14ac:dyDescent="0.35">
      <c r="B178" s="5"/>
      <c r="C178" s="5" t="s">
        <v>66</v>
      </c>
      <c r="D178" s="5"/>
      <c r="E178" s="5"/>
      <c r="F178" s="5"/>
      <c r="G178" s="5"/>
      <c r="H178" s="5"/>
      <c r="I178" s="5"/>
      <c r="J178" s="5"/>
      <c r="K178" s="5"/>
      <c r="N178" s="1">
        <f>SUM(Q178:BA178)</f>
        <v>0</v>
      </c>
      <c r="Q178" s="1">
        <f>IFERROR(Założenia!$O$36/SUM(OPt.w3,OBt.w3)*(OPt.w3+OBt.w3)*IF(Założenia!$O$38="tak",'zakładka techniczna'!Q$10,1),0)</f>
        <v>0</v>
      </c>
      <c r="R178" s="1">
        <f>IFERROR(Założenia!$O$36/SUM(OPt.w3,OBt.w3)*(OPt.w3+OBt.w3)*IF(Założenia!$O$38="tak",'zakładka techniczna'!R$10,1),0)</f>
        <v>0</v>
      </c>
      <c r="S178" s="1">
        <f>IFERROR(Założenia!$O$36/SUM(OPt.w3,OBt.w3)*(OPt.w3+OBt.w3)*IF(Założenia!$O$38="tak",'zakładka techniczna'!S$10,1),0)</f>
        <v>0</v>
      </c>
      <c r="T178" s="1">
        <f>IFERROR(Założenia!$O$36/SUM(OPt.w3,OBt.w3)*(OPt.w3+OBt.w3)*IF(Założenia!$O$38="tak",'zakładka techniczna'!T$10,1),0)</f>
        <v>0</v>
      </c>
      <c r="U178" s="1">
        <f>IFERROR(Założenia!$O$36/SUM(OPt.w3,OBt.w3)*(OPt.w3+OBt.w3)*IF(Założenia!$O$38="tak",'zakładka techniczna'!U$10,1),0)</f>
        <v>0</v>
      </c>
      <c r="V178" s="1">
        <f>IFERROR(Założenia!$O$36/SUM(OPt.w3,OBt.w3)*(OPt.w3+OBt.w3)*IF(Założenia!$O$38="tak",'zakładka techniczna'!V$10,1),0)</f>
        <v>0</v>
      </c>
      <c r="W178" s="1">
        <f>IFERROR(Założenia!$O$36/SUM(OPt.w3,OBt.w3)*(OPt.w3+OBt.w3)*IF(Założenia!$O$38="tak",'zakładka techniczna'!W$10,1),0)</f>
        <v>0</v>
      </c>
      <c r="X178" s="1">
        <f>IFERROR(Założenia!$O$36/SUM(OPt.w3,OBt.w3)*(OPt.w3+OBt.w3)*IF(Założenia!$O$38="tak",'zakładka techniczna'!X$10,1),0)</f>
        <v>0</v>
      </c>
      <c r="Y178" s="1">
        <f>IFERROR(Założenia!$O$36/SUM(OPt.w3,OBt.w3)*(OPt.w3+OBt.w3)*IF(Założenia!$O$38="tak",'zakładka techniczna'!Y$10,1),0)</f>
        <v>0</v>
      </c>
      <c r="Z178" s="1">
        <f>IFERROR(Założenia!$O$36/SUM(OPt.w3,OBt.w3)*(OPt.w3+OBt.w3)*IF(Założenia!$O$38="tak",'zakładka techniczna'!Z$10,1),0)</f>
        <v>0</v>
      </c>
      <c r="AA178" s="1">
        <f>IFERROR(Założenia!$O$36/SUM(OPt.w3,OBt.w3)*(OPt.w3+OBt.w3)*IF(Założenia!$O$38="tak",'zakładka techniczna'!AA$10,1),0)</f>
        <v>0</v>
      </c>
      <c r="AB178" s="1">
        <f>IFERROR(Założenia!$O$36/SUM(OPt.w3,OBt.w3)*(OPt.w3+OBt.w3)*IF(Założenia!$O$38="tak",'zakładka techniczna'!AB$10,1),0)</f>
        <v>0</v>
      </c>
      <c r="AC178" s="1">
        <f>IFERROR(Założenia!$O$36/SUM(OPt.w3,OBt.w3)*(OPt.w3+OBt.w3)*IF(Założenia!$O$38="tak",'zakładka techniczna'!AC$10,1),0)</f>
        <v>0</v>
      </c>
      <c r="AD178" s="1">
        <f>IFERROR(Założenia!$O$36/SUM(OPt.w3,OBt.w3)*(OPt.w3+OBt.w3)*IF(Założenia!$O$38="tak",'zakładka techniczna'!AD$10,1),0)</f>
        <v>0</v>
      </c>
      <c r="AE178" s="1">
        <f>IFERROR(Założenia!$O$36/SUM(OPt.w3,OBt.w3)*(OPt.w3+OBt.w3)*IF(Założenia!$O$38="tak",'zakładka techniczna'!AE$10,1),0)</f>
        <v>0</v>
      </c>
      <c r="AF178" s="1">
        <f>IFERROR(Założenia!$O$36/SUM(OPt.w3,OBt.w3)*(OPt.w3+OBt.w3)*IF(Założenia!$O$38="tak",'zakładka techniczna'!AF$10,1),0)</f>
        <v>0</v>
      </c>
      <c r="AG178" s="1">
        <f>IFERROR(Założenia!$O$36/SUM(OPt.w3,OBt.w3)*(OPt.w3+OBt.w3)*IF(Założenia!$O$38="tak",'zakładka techniczna'!AG$10,1),0)</f>
        <v>0</v>
      </c>
      <c r="AH178" s="1">
        <f>IFERROR(Założenia!$O$36/SUM(OPt.w3,OBt.w3)*(OPt.w3+OBt.w3)*IF(Założenia!$O$38="tak",'zakładka techniczna'!AH$10,1),0)</f>
        <v>0</v>
      </c>
      <c r="AI178" s="1">
        <f>IFERROR(Założenia!$O$36/SUM(OPt.w3,OBt.w3)*(OPt.w3+OBt.w3)*IF(Założenia!$O$38="tak",'zakładka techniczna'!AI$10,1),0)</f>
        <v>0</v>
      </c>
      <c r="AJ178" s="1">
        <f>IFERROR(Założenia!$O$36/SUM(OPt.w3,OBt.w3)*(OPt.w3+OBt.w3)*IF(Założenia!$O$38="tak",'zakładka techniczna'!AJ$10,1),0)</f>
        <v>0</v>
      </c>
      <c r="AK178" s="1">
        <f>IFERROR(Założenia!$O$36/SUM(OPt.w3,OBt.w3)*(OPt.w3+OBt.w3)*IF(Założenia!$O$38="tak",'zakładka techniczna'!AK$10,1),0)</f>
        <v>0</v>
      </c>
      <c r="AL178" s="1">
        <f>IFERROR(Założenia!$O$36/SUM(OPt.w3,OBt.w3)*(OPt.w3+OBt.w3)*IF(Założenia!$O$38="tak",'zakładka techniczna'!AL$10,1),0)</f>
        <v>0</v>
      </c>
      <c r="AM178" s="1">
        <f>IFERROR(Założenia!$O$36/SUM(OPt.w3,OBt.w3)*(OPt.w3+OBt.w3)*IF(Założenia!$O$38="tak",'zakładka techniczna'!AM$10,1),0)</f>
        <v>0</v>
      </c>
      <c r="AN178" s="1">
        <f>IFERROR(Założenia!$O$36/SUM(OPt.w3,OBt.w3)*(OPt.w3+OBt.w3)*IF(Założenia!$O$38="tak",'zakładka techniczna'!AN$10,1),0)</f>
        <v>0</v>
      </c>
      <c r="AO178" s="1">
        <f>IFERROR(Założenia!$O$36/SUM(OPt.w3,OBt.w3)*(OPt.w3+OBt.w3)*IF(Założenia!$O$38="tak",'zakładka techniczna'!AO$10,1),0)</f>
        <v>0</v>
      </c>
      <c r="AP178" s="1">
        <f>IFERROR(Założenia!$O$36/SUM(OPt.w3,OBt.w3)*(OPt.w3+OBt.w3)*IF(Założenia!$O$38="tak",'zakładka techniczna'!AP$10,1),0)</f>
        <v>0</v>
      </c>
      <c r="AQ178" s="1">
        <f>IFERROR(Założenia!$O$36/SUM(OPt.w3,OBt.w3)*(OPt.w3+OBt.w3)*IF(Założenia!$O$38="tak",'zakładka techniczna'!AQ$10,1),0)</f>
        <v>0</v>
      </c>
      <c r="AR178" s="1">
        <f>IFERROR(Założenia!$O$36/SUM(OPt.w3,OBt.w3)*(OPt.w3+OBt.w3)*IF(Założenia!$O$38="tak",'zakładka techniczna'!AR$10,1),0)</f>
        <v>0</v>
      </c>
      <c r="AS178" s="1">
        <f>IFERROR(Założenia!$O$36/SUM(OPt.w3,OBt.w3)*(OPt.w3+OBt.w3)*IF(Założenia!$O$38="tak",'zakładka techniczna'!AS$10,1),0)</f>
        <v>0</v>
      </c>
      <c r="AT178" s="1">
        <f>IFERROR(Założenia!$O$36/SUM(OPt.w3,OBt.w3)*(OPt.w3+OBt.w3)*IF(Założenia!$O$38="tak",'zakładka techniczna'!AT$10,1),0)</f>
        <v>0</v>
      </c>
      <c r="AU178" s="1">
        <f>IFERROR(Założenia!$O$36/SUM(OPt.w3,OBt.w3)*(OPt.w3+OBt.w3)*IF(Założenia!$O$38="tak",'zakładka techniczna'!AU$10,1),0)</f>
        <v>0</v>
      </c>
      <c r="AV178" s="1">
        <f>IFERROR(Założenia!$O$36/SUM(OPt.w3,OBt.w3)*(OPt.w3+OBt.w3)*IF(Założenia!$O$38="tak",'zakładka techniczna'!AV$10,1),0)</f>
        <v>0</v>
      </c>
      <c r="AW178" s="1">
        <f>IFERROR(Założenia!$O$36/SUM(OPt.w3,OBt.w3)*(OPt.w3+OBt.w3)*IF(Założenia!$O$38="tak",'zakładka techniczna'!AW$10,1),0)</f>
        <v>0</v>
      </c>
      <c r="AX178" s="1">
        <f>IFERROR(Założenia!$O$36/SUM(OPt.w3,OBt.w3)*(OPt.w3+OBt.w3)*IF(Założenia!$O$38="tak",'zakładka techniczna'!AX$10,1),0)</f>
        <v>0</v>
      </c>
      <c r="AY178" s="1">
        <f>IFERROR(Założenia!$O$36/SUM(OPt.w3,OBt.w3)*(OPt.w3+OBt.w3)*IF(Założenia!$O$38="tak",'zakładka techniczna'!AY$10,1),0)</f>
        <v>0</v>
      </c>
      <c r="AZ178" s="1">
        <f>IFERROR(Założenia!$O$36/SUM(OPt.w3,OBt.w3)*(OPt.w3+OBt.w3)*IF(Założenia!$O$38="tak",'zakładka techniczna'!AZ$10,1),0)</f>
        <v>0</v>
      </c>
      <c r="BA178" s="1">
        <f>IFERROR(Założenia!$O$36/SUM(OPt.w3,OBt.w3)*(OPt.w3+OBt.w3)*IF(Założenia!$O$38="tak",'zakładka techniczna'!BA$10,1),0)</f>
        <v>0</v>
      </c>
    </row>
    <row r="179" spans="1:54" ht="15.75" customHeight="1" x14ac:dyDescent="0.35">
      <c r="B179" s="5"/>
      <c r="C179" s="5"/>
      <c r="D179" s="5"/>
      <c r="E179" s="5"/>
      <c r="F179" s="5"/>
      <c r="G179" s="5"/>
      <c r="H179" s="5"/>
      <c r="I179" s="5"/>
      <c r="J179" s="5"/>
      <c r="K179" s="5"/>
    </row>
    <row r="180" spans="1:54" ht="15.75" customHeight="1" x14ac:dyDescent="0.35">
      <c r="B180" s="9" t="s">
        <v>29</v>
      </c>
      <c r="C180" s="9"/>
      <c r="D180" s="9"/>
      <c r="E180" s="9"/>
      <c r="F180" s="9"/>
      <c r="G180" s="9"/>
      <c r="H180" s="9"/>
      <c r="I180" s="9"/>
      <c r="J180" s="9"/>
      <c r="K180" s="9"/>
      <c r="L180" s="8"/>
      <c r="M180" s="8"/>
      <c r="N180" s="10">
        <f>SUM(Q180:BA180)</f>
        <v>0</v>
      </c>
      <c r="O180" s="8"/>
      <c r="P180" s="8"/>
      <c r="Q180" s="10">
        <f t="shared" ref="Q180:BA180" si="110">SUM(Q181:Q183)</f>
        <v>0</v>
      </c>
      <c r="R180" s="10">
        <f t="shared" si="110"/>
        <v>0</v>
      </c>
      <c r="S180" s="10">
        <f t="shared" si="110"/>
        <v>0</v>
      </c>
      <c r="T180" s="10">
        <f t="shared" si="110"/>
        <v>0</v>
      </c>
      <c r="U180" s="10">
        <f t="shared" si="110"/>
        <v>0</v>
      </c>
      <c r="V180" s="10">
        <f t="shared" si="110"/>
        <v>0</v>
      </c>
      <c r="W180" s="10">
        <f t="shared" si="110"/>
        <v>0</v>
      </c>
      <c r="X180" s="10">
        <f t="shared" si="110"/>
        <v>0</v>
      </c>
      <c r="Y180" s="10">
        <f t="shared" si="110"/>
        <v>0</v>
      </c>
      <c r="Z180" s="10">
        <f t="shared" si="110"/>
        <v>0</v>
      </c>
      <c r="AA180" s="10">
        <f t="shared" si="110"/>
        <v>0</v>
      </c>
      <c r="AB180" s="10">
        <f t="shared" si="110"/>
        <v>0</v>
      </c>
      <c r="AC180" s="10">
        <f t="shared" si="110"/>
        <v>0</v>
      </c>
      <c r="AD180" s="10">
        <f t="shared" si="110"/>
        <v>0</v>
      </c>
      <c r="AE180" s="10">
        <f t="shared" si="110"/>
        <v>0</v>
      </c>
      <c r="AF180" s="10">
        <f t="shared" si="110"/>
        <v>0</v>
      </c>
      <c r="AG180" s="10">
        <f t="shared" si="110"/>
        <v>0</v>
      </c>
      <c r="AH180" s="10">
        <f t="shared" si="110"/>
        <v>0</v>
      </c>
      <c r="AI180" s="10">
        <f t="shared" si="110"/>
        <v>0</v>
      </c>
      <c r="AJ180" s="10">
        <f t="shared" si="110"/>
        <v>0</v>
      </c>
      <c r="AK180" s="10">
        <f t="shared" si="110"/>
        <v>0</v>
      </c>
      <c r="AL180" s="10">
        <f t="shared" si="110"/>
        <v>0</v>
      </c>
      <c r="AM180" s="10">
        <f t="shared" si="110"/>
        <v>0</v>
      </c>
      <c r="AN180" s="10">
        <f t="shared" si="110"/>
        <v>0</v>
      </c>
      <c r="AO180" s="10">
        <f t="shared" si="110"/>
        <v>0</v>
      </c>
      <c r="AP180" s="10">
        <f t="shared" si="110"/>
        <v>0</v>
      </c>
      <c r="AQ180" s="10">
        <f t="shared" si="110"/>
        <v>0</v>
      </c>
      <c r="AR180" s="10">
        <f t="shared" si="110"/>
        <v>0</v>
      </c>
      <c r="AS180" s="10">
        <f t="shared" si="110"/>
        <v>0</v>
      </c>
      <c r="AT180" s="10">
        <f t="shared" si="110"/>
        <v>0</v>
      </c>
      <c r="AU180" s="10">
        <f t="shared" si="110"/>
        <v>0</v>
      </c>
      <c r="AV180" s="10">
        <f t="shared" si="110"/>
        <v>0</v>
      </c>
      <c r="AW180" s="10">
        <f t="shared" si="110"/>
        <v>0</v>
      </c>
      <c r="AX180" s="10">
        <f t="shared" si="110"/>
        <v>0</v>
      </c>
      <c r="AY180" s="10">
        <f t="shared" si="110"/>
        <v>0</v>
      </c>
      <c r="AZ180" s="10">
        <f t="shared" si="110"/>
        <v>0</v>
      </c>
      <c r="BA180" s="10">
        <f t="shared" si="110"/>
        <v>0</v>
      </c>
    </row>
    <row r="181" spans="1:54" ht="15.75" customHeight="1" x14ac:dyDescent="0.35">
      <c r="B181" s="5"/>
      <c r="C181" s="5" t="s">
        <v>104</v>
      </c>
      <c r="D181" s="5"/>
      <c r="E181" s="5"/>
      <c r="F181" s="5"/>
      <c r="G181" s="5"/>
      <c r="H181" s="5"/>
      <c r="I181" s="5"/>
      <c r="J181" s="5"/>
      <c r="K181" s="5"/>
      <c r="N181" s="1">
        <f>SUM(Q181:BA181)</f>
        <v>0</v>
      </c>
      <c r="Q181" s="1">
        <f>MIN(Q175,SUM($Q$175:$BA$175)*'zakładka techniczna'!$N$18-SUM($P$181:P181))</f>
        <v>0</v>
      </c>
      <c r="R181" s="1">
        <f>MIN(R175,SUM($Q$175:$BA$175)*'zakładka techniczna'!$N$18-SUM($Q$181:Q181))</f>
        <v>0</v>
      </c>
      <c r="S181" s="1">
        <f>MIN(S175,SUM($Q$175:$BA$175)*'zakładka techniczna'!$N$18-SUM($Q$181:R181))</f>
        <v>0</v>
      </c>
      <c r="T181" s="1">
        <f>MIN(T175,SUM($Q$175:$BA$175)*'zakładka techniczna'!$N$18-SUM($Q$181:S181))</f>
        <v>0</v>
      </c>
      <c r="U181" s="1">
        <f>MIN(U175,SUM($Q$175:$BA$175)*'zakładka techniczna'!$N$18-SUM($Q$181:T181))</f>
        <v>0</v>
      </c>
      <c r="V181" s="1">
        <f>MIN(V175,SUM($Q$175:$BA$175)*'zakładka techniczna'!$N$18-SUM($Q$181:U181))</f>
        <v>0</v>
      </c>
      <c r="W181" s="1">
        <f>MIN(W175,SUM($Q$175:$BA$175)*'zakładka techniczna'!$N$18-SUM($Q$181:V181))</f>
        <v>0</v>
      </c>
      <c r="X181" s="1">
        <f>MIN(X175,SUM($Q$175:$BA$175)*'zakładka techniczna'!$N$18-SUM($Q$181:W181))</f>
        <v>0</v>
      </c>
      <c r="Y181" s="1">
        <f>MIN(Y175,SUM($Q$175:$BA$175)*'zakładka techniczna'!$N$18-SUM($Q$181:X181))</f>
        <v>0</v>
      </c>
      <c r="Z181" s="1">
        <f>MIN(Z175,SUM($Q$175:$BA$175)*'zakładka techniczna'!$N$18-SUM($Q$181:Y181))</f>
        <v>0</v>
      </c>
      <c r="AA181" s="1">
        <f>MIN(AA175,SUM($Q$175:$BA$175)*'zakładka techniczna'!$N$18-SUM($Q$181:Z181))</f>
        <v>0</v>
      </c>
      <c r="AB181" s="1">
        <f>MIN(AB175,SUM($Q$175:$BA$175)*'zakładka techniczna'!$N$18-SUM($Q$181:AA181))</f>
        <v>0</v>
      </c>
      <c r="AC181" s="1">
        <f>MIN(AC175,SUM($Q$175:$BA$175)*'zakładka techniczna'!$N$18-SUM($Q$181:AB181))</f>
        <v>0</v>
      </c>
      <c r="AD181" s="1">
        <f>MIN(AD175,SUM($Q$175:$BA$175)*'zakładka techniczna'!$N$18-SUM($Q$181:AC181))</f>
        <v>0</v>
      </c>
      <c r="AE181" s="1">
        <f>MIN(AE175,SUM($Q$175:$BA$175)*'zakładka techniczna'!$N$18-SUM($Q$181:AD181))</f>
        <v>0</v>
      </c>
      <c r="AF181" s="1">
        <f>MIN(AF175,SUM($Q$175:$BA$175)*'zakładka techniczna'!$N$18-SUM($Q$181:AE181))</f>
        <v>0</v>
      </c>
      <c r="AG181" s="1">
        <f>MIN(AG175,SUM($Q$175:$BA$175)*'zakładka techniczna'!$N$18-SUM($Q$181:AF181))</f>
        <v>0</v>
      </c>
      <c r="AH181" s="1">
        <f>MIN(AH175,SUM($Q$175:$BA$175)*'zakładka techniczna'!$N$18-SUM($Q$181:AG181))</f>
        <v>0</v>
      </c>
      <c r="AI181" s="1">
        <f>MIN(AI175,SUM($Q$175:$BA$175)*'zakładka techniczna'!$N$18-SUM($Q$181:AH181))</f>
        <v>0</v>
      </c>
      <c r="AJ181" s="1">
        <f>MIN(AJ175,SUM($Q$175:$BA$175)*'zakładka techniczna'!$N$18-SUM($Q$181:AI181))</f>
        <v>0</v>
      </c>
      <c r="AK181" s="1">
        <f>MIN(AK175,SUM($Q$175:$BA$175)*'zakładka techniczna'!$N$18-SUM($Q$181:AJ181))</f>
        <v>0</v>
      </c>
      <c r="AL181" s="1">
        <f>MIN(AL175,SUM($Q$175:$BA$175)*'zakładka techniczna'!$N$18-SUM($Q$181:AK181))</f>
        <v>0</v>
      </c>
      <c r="AM181" s="1">
        <f>MIN(AM175,SUM($Q$175:$BA$175)*'zakładka techniczna'!$N$18-SUM($Q$181:AL181))</f>
        <v>0</v>
      </c>
      <c r="AN181" s="1">
        <f>MIN(AN175,SUM($Q$175:$BA$175)*'zakładka techniczna'!$N$18-SUM($Q$181:AM181))</f>
        <v>0</v>
      </c>
      <c r="AO181" s="1">
        <f>MIN(AO175,SUM($Q$175:$BA$175)*'zakładka techniczna'!$N$18-SUM($Q$181:AN181))</f>
        <v>0</v>
      </c>
      <c r="AP181" s="1">
        <f>MIN(AP175,SUM($Q$175:$BA$175)*'zakładka techniczna'!$N$18-SUM($Q$181:AO181))</f>
        <v>0</v>
      </c>
      <c r="AQ181" s="1">
        <f>MIN(AQ175,SUM($Q$175:$BA$175)*'zakładka techniczna'!$N$18-SUM($Q$181:AP181))</f>
        <v>0</v>
      </c>
      <c r="AR181" s="1">
        <f>MIN(AR175,SUM($Q$175:$BA$175)*'zakładka techniczna'!$N$18-SUM($Q$181:AQ181))</f>
        <v>0</v>
      </c>
      <c r="AS181" s="1">
        <f>MIN(AS175,SUM($Q$175:$BA$175)*'zakładka techniczna'!$N$18-SUM($Q$181:AR181))</f>
        <v>0</v>
      </c>
      <c r="AT181" s="1">
        <f>MIN(AT175,SUM($Q$175:$BA$175)*'zakładka techniczna'!$N$18-SUM($Q$181:AS181))</f>
        <v>0</v>
      </c>
      <c r="AU181" s="1">
        <f>MIN(AU175,SUM($Q$175:$BA$175)*'zakładka techniczna'!$N$18-SUM($Q$181:AT181))</f>
        <v>0</v>
      </c>
      <c r="AV181" s="1">
        <f>MIN(AV175,SUM($Q$175:$BA$175)*'zakładka techniczna'!$N$18-SUM($Q$181:AU181))</f>
        <v>0</v>
      </c>
      <c r="AW181" s="1">
        <f>MIN(AW175,SUM($Q$175:$BA$175)*'zakładka techniczna'!$N$18-SUM($Q$181:AV181))</f>
        <v>0</v>
      </c>
      <c r="AX181" s="1">
        <f>MIN(AX175,SUM($Q$175:$BA$175)*'zakładka techniczna'!$N$18-SUM($Q$181:AW181))</f>
        <v>0</v>
      </c>
      <c r="AY181" s="1">
        <f>MIN(AY175,SUM($Q$175:$BA$175)*'zakładka techniczna'!$N$18-SUM($Q$181:AX181))</f>
        <v>0</v>
      </c>
      <c r="AZ181" s="1">
        <f>MIN(AZ175,SUM($Q$175:$BA$175)*'zakładka techniczna'!$N$18-SUM($Q$181:AY181))</f>
        <v>0</v>
      </c>
      <c r="BA181" s="1">
        <f>MIN(BA175,SUM($Q$175:$BA$175)*'zakładka techniczna'!$N$18-SUM($Q$181:AZ181))</f>
        <v>0</v>
      </c>
    </row>
    <row r="182" spans="1:54" ht="15.75" customHeight="1" x14ac:dyDescent="0.35">
      <c r="B182" s="5"/>
      <c r="C182" s="5" t="s">
        <v>117</v>
      </c>
      <c r="D182" s="5"/>
      <c r="E182" s="5"/>
      <c r="F182" s="5"/>
      <c r="G182" s="5"/>
      <c r="H182" s="5"/>
      <c r="I182" s="5"/>
      <c r="J182" s="5"/>
      <c r="K182" s="5"/>
      <c r="N182" s="1">
        <f>SUM(Q182:BA182)</f>
        <v>0</v>
      </c>
      <c r="Q182" s="1">
        <f>MIN(Q175-Q181,SUM($Q$175:$BA$175)*'zakładka techniczna'!$N$19-SUM($P$182:P182))</f>
        <v>0</v>
      </c>
      <c r="R182" s="1">
        <f>MIN(R175-R181,SUM($Q$175:$BA$175)*'zakładka techniczna'!$N$19-SUM($P$182:Q182))</f>
        <v>0</v>
      </c>
      <c r="S182" s="1">
        <f>MIN(S175-S181,SUM($Q$175:$BA$175)*'zakładka techniczna'!$N$19-SUM($P$182:R182))</f>
        <v>0</v>
      </c>
      <c r="T182" s="1">
        <f>MIN(T175-T181,SUM($Q$175:$BA$175)*'zakładka techniczna'!$N$19-SUM($P$182:S182))</f>
        <v>0</v>
      </c>
      <c r="U182" s="1">
        <f>MIN(U175-U181,SUM($Q$175:$BA$175)*'zakładka techniczna'!$N$19-SUM($P$182:T182))</f>
        <v>0</v>
      </c>
      <c r="V182" s="1">
        <f>MIN(V175-V181,SUM($Q$175:$BA$175)*'zakładka techniczna'!$N$19-SUM($P$182:U182))</f>
        <v>0</v>
      </c>
      <c r="W182" s="1">
        <f>MIN(W175-W181,SUM($Q$175:$BA$175)*'zakładka techniczna'!$N$19-SUM($P$182:V182))</f>
        <v>0</v>
      </c>
      <c r="X182" s="1">
        <f>MIN(X175-X181,SUM($Q$175:$BA$175)*'zakładka techniczna'!$N$19-SUM($P$182:W182))</f>
        <v>0</v>
      </c>
      <c r="Y182" s="1">
        <f>MIN(Y175-Y181,SUM($Q$175:$BA$175)*'zakładka techniczna'!$N$19-SUM($P$182:X182))</f>
        <v>0</v>
      </c>
      <c r="Z182" s="1">
        <f>MIN(Z175-Z181,SUM($Q$175:$BA$175)*'zakładka techniczna'!$N$19-SUM($P$182:Y182))</f>
        <v>0</v>
      </c>
      <c r="AA182" s="1">
        <f>MIN(AA175-AA181,SUM($Q$175:$BA$175)*'zakładka techniczna'!$N$19-SUM($P$182:Z182))</f>
        <v>0</v>
      </c>
      <c r="AB182" s="1">
        <f>MIN(AB175-AB181,SUM($Q$175:$BA$175)*'zakładka techniczna'!$N$19-SUM($P$182:AA182))</f>
        <v>0</v>
      </c>
      <c r="AC182" s="1">
        <f>MIN(AC175-AC181,SUM($Q$175:$BA$175)*'zakładka techniczna'!$N$19-SUM($P$182:AB182))</f>
        <v>0</v>
      </c>
      <c r="AD182" s="1">
        <f>MIN(AD175-AD181,SUM($Q$175:$BA$175)*'zakładka techniczna'!$N$19-SUM($P$182:AC182))</f>
        <v>0</v>
      </c>
      <c r="AE182" s="1">
        <f>MIN(AE175-AE181,SUM($Q$175:$BA$175)*'zakładka techniczna'!$N$19-SUM($P$182:AD182))</f>
        <v>0</v>
      </c>
      <c r="AF182" s="1">
        <f>MIN(AF175-AF181,SUM($Q$175:$BA$175)*'zakładka techniczna'!$N$19-SUM($P$182:AE182))</f>
        <v>0</v>
      </c>
      <c r="AG182" s="1">
        <f>MIN(AG175-AG181,SUM($Q$175:$BA$175)*'zakładka techniczna'!$N$19-SUM($P$182:AF182))</f>
        <v>0</v>
      </c>
      <c r="AH182" s="1">
        <f>MIN(AH175-AH181,SUM($Q$175:$BA$175)*'zakładka techniczna'!$N$19-SUM($P$182:AG182))</f>
        <v>0</v>
      </c>
      <c r="AI182" s="1">
        <f>MIN(AI175-AI181,SUM($Q$175:$BA$175)*'zakładka techniczna'!$N$19-SUM($P$182:AH182))</f>
        <v>0</v>
      </c>
      <c r="AJ182" s="1">
        <f>MIN(AJ175-AJ181,SUM($Q$175:$BA$175)*'zakładka techniczna'!$N$19-SUM($P$182:AI182))</f>
        <v>0</v>
      </c>
      <c r="AK182" s="1">
        <f>MIN(AK175-AK181,SUM($Q$175:$BA$175)*'zakładka techniczna'!$N$19-SUM($P$182:AJ182))</f>
        <v>0</v>
      </c>
      <c r="AL182" s="1">
        <f>MIN(AL175-AL181,SUM($Q$175:$BA$175)*'zakładka techniczna'!$N$19-SUM($P$182:AK182))</f>
        <v>0</v>
      </c>
      <c r="AM182" s="1">
        <f>MIN(AM175-AM181,SUM($Q$175:$BA$175)*'zakładka techniczna'!$N$19-SUM($P$182:AL182))</f>
        <v>0</v>
      </c>
      <c r="AN182" s="1">
        <f>MIN(AN175-AN181,SUM($Q$175:$BA$175)*'zakładka techniczna'!$N$19-SUM($P$182:AM182))</f>
        <v>0</v>
      </c>
      <c r="AO182" s="1">
        <f>MIN(AO175-AO181,SUM($Q$175:$BA$175)*'zakładka techniczna'!$N$19-SUM($P$182:AN182))</f>
        <v>0</v>
      </c>
      <c r="AP182" s="1">
        <f>MIN(AP175-AP181,SUM($Q$175:$BA$175)*'zakładka techniczna'!$N$19-SUM($P$182:AO182))</f>
        <v>0</v>
      </c>
      <c r="AQ182" s="1">
        <f>MIN(AQ175-AQ181,SUM($Q$175:$BA$175)*'zakładka techniczna'!$N$19-SUM($P$182:AP182))</f>
        <v>0</v>
      </c>
      <c r="AR182" s="1">
        <f>MIN(AR175-AR181,SUM($Q$175:$BA$175)*'zakładka techniczna'!$N$19-SUM($P$182:AQ182))</f>
        <v>0</v>
      </c>
      <c r="AS182" s="1">
        <f>MIN(AS175-AS181,SUM($Q$175:$BA$175)*'zakładka techniczna'!$N$19-SUM($P$182:AR182))</f>
        <v>0</v>
      </c>
      <c r="AT182" s="1">
        <f>MIN(AT175-AT181,SUM($Q$175:$BA$175)*'zakładka techniczna'!$N$19-SUM($P$182:AS182))</f>
        <v>0</v>
      </c>
      <c r="AU182" s="1">
        <f>MIN(AU175-AU181,SUM($Q$175:$BA$175)*'zakładka techniczna'!$N$19-SUM($P$182:AT182))</f>
        <v>0</v>
      </c>
      <c r="AV182" s="1">
        <f>MIN(AV175-AV181,SUM($Q$175:$BA$175)*'zakładka techniczna'!$N$19-SUM($P$182:AU182))</f>
        <v>0</v>
      </c>
      <c r="AW182" s="1">
        <f>MIN(AW175-AW181,SUM($Q$175:$BA$175)*'zakładka techniczna'!$N$19-SUM($P$182:AV182))</f>
        <v>0</v>
      </c>
      <c r="AX182" s="1">
        <f>MIN(AX175-AX181,SUM($Q$175:$BA$175)*'zakładka techniczna'!$N$19-SUM($P$182:AW182))</f>
        <v>0</v>
      </c>
      <c r="AY182" s="1">
        <f>MIN(AY175-AY181,SUM($Q$175:$BA$175)*'zakładka techniczna'!$N$19-SUM($P$182:AX182))</f>
        <v>0</v>
      </c>
      <c r="AZ182" s="1">
        <f>MIN(AZ175-AZ181,SUM($Q$175:$BA$175)*'zakładka techniczna'!$N$19-SUM($P$182:AY182))</f>
        <v>0</v>
      </c>
      <c r="BA182" s="1">
        <f>MIN(BA175-BA181,SUM($Q$175:$BA$175)*'zakładka techniczna'!$N$19-SUM($P$182:AZ182))</f>
        <v>0</v>
      </c>
    </row>
    <row r="183" spans="1:54" ht="15.75" customHeight="1" x14ac:dyDescent="0.35">
      <c r="B183" s="5"/>
      <c r="C183" s="5" t="s">
        <v>118</v>
      </c>
      <c r="D183" s="5"/>
      <c r="E183" s="5"/>
      <c r="F183" s="5"/>
      <c r="G183" s="5"/>
      <c r="H183" s="5"/>
      <c r="I183" s="5"/>
      <c r="J183" s="5"/>
      <c r="K183" s="5"/>
      <c r="M183" s="19"/>
      <c r="N183" s="1">
        <f>SUM(Q183:BA183)</f>
        <v>0</v>
      </c>
      <c r="Q183" s="1">
        <f>MIN(Q175-Q181-Q182,SUM($Q$175:$BA$175)*'zakładka techniczna'!$N$20-SUM($P$183:P183))</f>
        <v>0</v>
      </c>
      <c r="R183" s="1">
        <f>MIN(R175-R181-R182,SUM($Q$175:$BA$175)*'zakładka techniczna'!$N$20-SUM($P$183:Q183))</f>
        <v>0</v>
      </c>
      <c r="S183" s="1">
        <f>MIN(S175-S181-S182,SUM($Q$175:$BA$175)*'zakładka techniczna'!$N$20-SUM($P$183:R183))</f>
        <v>0</v>
      </c>
      <c r="T183" s="1">
        <f>MIN(T175-T181-T182,SUM($Q$175:$BA$175)*'zakładka techniczna'!$N$20-SUM($P$183:S183))</f>
        <v>0</v>
      </c>
      <c r="U183" s="1">
        <f>MIN(U175-U181-U182,SUM($Q$175:$BA$175)*'zakładka techniczna'!$N$20-SUM($P$183:T183))</f>
        <v>0</v>
      </c>
      <c r="V183" s="1">
        <f>MIN(V175-V181-V182,SUM($Q$175:$BA$175)*'zakładka techniczna'!$N$20-SUM($P$183:U183))</f>
        <v>0</v>
      </c>
      <c r="W183" s="1">
        <f>MIN(W175-W181-W182,SUM($Q$175:$BA$175)*'zakładka techniczna'!$N$20-SUM($P$183:V183))</f>
        <v>0</v>
      </c>
      <c r="X183" s="1">
        <f>MIN(X175-X181-X182,SUM($Q$175:$BA$175)*'zakładka techniczna'!$N$20-SUM($P$183:W183))</f>
        <v>0</v>
      </c>
      <c r="Y183" s="1">
        <f>MIN(Y175-Y181-Y182,SUM($Q$175:$BA$175)*'zakładka techniczna'!$N$20-SUM($P$183:X183))</f>
        <v>0</v>
      </c>
      <c r="Z183" s="1">
        <f>MIN(Z175-Z181-Z182,SUM($Q$175:$BA$175)*'zakładka techniczna'!$N$20-SUM($P$183:Y183))</f>
        <v>0</v>
      </c>
      <c r="AA183" s="1">
        <f>MIN(AA175-AA181-AA182,SUM($Q$175:$BA$175)*'zakładka techniczna'!$N$20-SUM($P$183:Z183))</f>
        <v>0</v>
      </c>
      <c r="AB183" s="1">
        <f>MIN(AB175-AB181-AB182,SUM($Q$175:$BA$175)*'zakładka techniczna'!$N$20-SUM($P$183:AA183))</f>
        <v>0</v>
      </c>
      <c r="AC183" s="1">
        <f>MIN(AC175-AC181-AC182,SUM($Q$175:$BA$175)*'zakładka techniczna'!$N$20-SUM($P$183:AB183))</f>
        <v>0</v>
      </c>
      <c r="AD183" s="1">
        <f>MIN(AD175-AD181-AD182,SUM($Q$175:$BA$175)*'zakładka techniczna'!$N$20-SUM($P$183:AC183))</f>
        <v>0</v>
      </c>
      <c r="AE183" s="1">
        <f>MIN(AE175-AE181-AE182,SUM($Q$175:$BA$175)*'zakładka techniczna'!$N$20-SUM($P$183:AD183))</f>
        <v>0</v>
      </c>
      <c r="AF183" s="1">
        <f>MIN(AF175-AF181-AF182,SUM($Q$175:$BA$175)*'zakładka techniczna'!$N$20-SUM($P$183:AE183))</f>
        <v>0</v>
      </c>
      <c r="AG183" s="1">
        <f>MIN(AG175-AG181-AG182,SUM($Q$175:$BA$175)*'zakładka techniczna'!$N$20-SUM($P$183:AF183))</f>
        <v>0</v>
      </c>
      <c r="AH183" s="1">
        <f>MIN(AH175-AH181-AH182,SUM($Q$175:$BA$175)*'zakładka techniczna'!$N$20-SUM($P$183:AG183))</f>
        <v>0</v>
      </c>
      <c r="AI183" s="1">
        <f>MIN(AI175-AI181-AI182,SUM($Q$175:$BA$175)*'zakładka techniczna'!$N$20-SUM($P$183:AH183))</f>
        <v>0</v>
      </c>
      <c r="AJ183" s="1">
        <f>MIN(AJ175-AJ181-AJ182,SUM($Q$175:$BA$175)*'zakładka techniczna'!$N$20-SUM($P$183:AI183))</f>
        <v>0</v>
      </c>
      <c r="AK183" s="1">
        <f>MIN(AK175-AK181-AK182,SUM($Q$175:$BA$175)*'zakładka techniczna'!$N$20-SUM($P$183:AJ183))</f>
        <v>0</v>
      </c>
      <c r="AL183" s="1">
        <f>MIN(AL175-AL181-AL182,SUM($Q$175:$BA$175)*'zakładka techniczna'!$N$20-SUM($P$183:AK183))</f>
        <v>0</v>
      </c>
      <c r="AM183" s="1">
        <f>MIN(AM175-AM181-AM182,SUM($Q$175:$BA$175)*'zakładka techniczna'!$N$20-SUM($P$183:AL183))</f>
        <v>0</v>
      </c>
      <c r="AN183" s="1">
        <f>MIN(AN175-AN181-AN182,SUM($Q$175:$BA$175)*'zakładka techniczna'!$N$20-SUM($P$183:AM183))</f>
        <v>0</v>
      </c>
      <c r="AO183" s="1">
        <f>MIN(AO175-AO181-AO182,SUM($Q$175:$BA$175)*'zakładka techniczna'!$N$20-SUM($P$183:AN183))</f>
        <v>0</v>
      </c>
      <c r="AP183" s="1">
        <f>MIN(AP175-AP181-AP182,SUM($Q$175:$BA$175)*'zakładka techniczna'!$N$20-SUM($P$183:AO183))</f>
        <v>0</v>
      </c>
      <c r="AQ183" s="1">
        <f>MIN(AQ175-AQ181-AQ182,SUM($Q$175:$BA$175)*'zakładka techniczna'!$N$20-SUM($P$183:AP183))</f>
        <v>0</v>
      </c>
      <c r="AR183" s="1">
        <f>MIN(AR175-AR181-AR182,SUM($Q$175:$BA$175)*'zakładka techniczna'!$N$20-SUM($P$183:AQ183))</f>
        <v>0</v>
      </c>
      <c r="AS183" s="1">
        <f>MIN(AS175-AS181-AS182,SUM($Q$175:$BA$175)*'zakładka techniczna'!$N$20-SUM($P$183:AR183))</f>
        <v>0</v>
      </c>
      <c r="AT183" s="1">
        <f>MIN(AT175-AT181-AT182,SUM($Q$175:$BA$175)*'zakładka techniczna'!$N$20-SUM($P$183:AS183))</f>
        <v>0</v>
      </c>
      <c r="AU183" s="1">
        <f>MIN(AU175-AU181-AU182,SUM($Q$175:$BA$175)*'zakładka techniczna'!$N$20-SUM($P$183:AT183))</f>
        <v>0</v>
      </c>
      <c r="AV183" s="1">
        <f>MIN(AV175-AV181-AV182,SUM($Q$175:$BA$175)*'zakładka techniczna'!$N$20-SUM($P$183:AU183))</f>
        <v>0</v>
      </c>
      <c r="AW183" s="1">
        <f>MIN(AW175-AW181-AW182,SUM($Q$175:$BA$175)*'zakładka techniczna'!$N$20-SUM($P$183:AV183))</f>
        <v>0</v>
      </c>
      <c r="AX183" s="1">
        <f>MIN(AX175-AX181-AX182,SUM($Q$175:$BA$175)*'zakładka techniczna'!$N$20-SUM($P$183:AW183))</f>
        <v>0</v>
      </c>
      <c r="AY183" s="1">
        <f>MIN(AY175-AY181-AY182,SUM($Q$175:$BA$175)*'zakładka techniczna'!$N$20-SUM($P$183:AX183))</f>
        <v>0</v>
      </c>
      <c r="AZ183" s="1">
        <f>MIN(AZ175-AZ181-AZ182,SUM($Q$175:$BA$175)*'zakładka techniczna'!$N$20-SUM($P$183:AY183))</f>
        <v>0</v>
      </c>
      <c r="BA183" s="1">
        <f>MIN(BA175-BA181-BA182,SUM($Q$175:$BA$175)*'zakładka techniczna'!$N$20-SUM($P$183:AZ183))</f>
        <v>0</v>
      </c>
    </row>
    <row r="184" spans="1:54" ht="15.75" customHeight="1" x14ac:dyDescent="0.35">
      <c r="B184" s="5"/>
      <c r="C184" s="5"/>
      <c r="D184" s="5"/>
      <c r="E184" s="5"/>
      <c r="F184" s="5"/>
      <c r="G184" s="5"/>
      <c r="H184" s="5"/>
      <c r="I184" s="5"/>
      <c r="J184" s="5"/>
      <c r="K184" s="5"/>
    </row>
    <row r="185" spans="1:54" ht="15.75" customHeight="1" thickBot="1" x14ac:dyDescent="0.4">
      <c r="A185" s="44" t="s">
        <v>87</v>
      </c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5"/>
    </row>
    <row r="186" spans="1:54" ht="15" thickTop="1" x14ac:dyDescent="0.35"/>
    <row r="187" spans="1:54" ht="15.75" customHeight="1" x14ac:dyDescent="0.35">
      <c r="C187" s="5" t="s">
        <v>26</v>
      </c>
      <c r="D187" s="5"/>
      <c r="E187" s="5"/>
      <c r="F187" s="5"/>
      <c r="G187" s="5"/>
      <c r="H187" s="5"/>
      <c r="I187" s="5"/>
      <c r="J187" s="5"/>
      <c r="K187" s="5"/>
      <c r="Q187" s="13">
        <v>0</v>
      </c>
      <c r="R187" s="1">
        <f t="shared" ref="R187:BA187" si="111">Q201</f>
        <v>0</v>
      </c>
      <c r="S187" s="1">
        <f t="shared" si="111"/>
        <v>0</v>
      </c>
      <c r="T187" s="1">
        <f t="shared" si="111"/>
        <v>0</v>
      </c>
      <c r="U187" s="1">
        <f t="shared" si="111"/>
        <v>0</v>
      </c>
      <c r="V187" s="1">
        <f t="shared" si="111"/>
        <v>0</v>
      </c>
      <c r="W187" s="1">
        <f t="shared" si="111"/>
        <v>0</v>
      </c>
      <c r="X187" s="1">
        <f t="shared" si="111"/>
        <v>0</v>
      </c>
      <c r="Y187" s="1">
        <f t="shared" si="111"/>
        <v>0</v>
      </c>
      <c r="Z187" s="1">
        <f t="shared" si="111"/>
        <v>0</v>
      </c>
      <c r="AA187" s="1">
        <f t="shared" si="111"/>
        <v>0</v>
      </c>
      <c r="AB187" s="1">
        <f t="shared" si="111"/>
        <v>0</v>
      </c>
      <c r="AC187" s="1">
        <f t="shared" si="111"/>
        <v>0</v>
      </c>
      <c r="AD187" s="1">
        <f t="shared" si="111"/>
        <v>0</v>
      </c>
      <c r="AE187" s="1">
        <f t="shared" si="111"/>
        <v>0</v>
      </c>
      <c r="AF187" s="1">
        <f t="shared" si="111"/>
        <v>0</v>
      </c>
      <c r="AG187" s="1">
        <f t="shared" si="111"/>
        <v>0</v>
      </c>
      <c r="AH187" s="1">
        <f t="shared" si="111"/>
        <v>0</v>
      </c>
      <c r="AI187" s="1">
        <f t="shared" si="111"/>
        <v>0</v>
      </c>
      <c r="AJ187" s="1">
        <f t="shared" si="111"/>
        <v>0</v>
      </c>
      <c r="AK187" s="1">
        <f t="shared" si="111"/>
        <v>0</v>
      </c>
      <c r="AL187" s="1">
        <f t="shared" si="111"/>
        <v>0</v>
      </c>
      <c r="AM187" s="1">
        <f t="shared" si="111"/>
        <v>0</v>
      </c>
      <c r="AN187" s="1">
        <f t="shared" si="111"/>
        <v>0</v>
      </c>
      <c r="AO187" s="1">
        <f t="shared" si="111"/>
        <v>0</v>
      </c>
      <c r="AP187" s="1">
        <f t="shared" si="111"/>
        <v>0</v>
      </c>
      <c r="AQ187" s="1">
        <f t="shared" si="111"/>
        <v>0</v>
      </c>
      <c r="AR187" s="1">
        <f t="shared" si="111"/>
        <v>0</v>
      </c>
      <c r="AS187" s="1">
        <f t="shared" si="111"/>
        <v>0</v>
      </c>
      <c r="AT187" s="1">
        <f t="shared" si="111"/>
        <v>0</v>
      </c>
      <c r="AU187" s="1">
        <f t="shared" si="111"/>
        <v>0</v>
      </c>
      <c r="AV187" s="1">
        <f t="shared" si="111"/>
        <v>0</v>
      </c>
      <c r="AW187" s="1">
        <f t="shared" si="111"/>
        <v>0</v>
      </c>
      <c r="AX187" s="1">
        <f t="shared" si="111"/>
        <v>0</v>
      </c>
      <c r="AY187" s="1">
        <f t="shared" si="111"/>
        <v>0</v>
      </c>
      <c r="AZ187" s="1">
        <f t="shared" si="111"/>
        <v>0</v>
      </c>
      <c r="BA187" s="1">
        <f t="shared" si="111"/>
        <v>0</v>
      </c>
    </row>
    <row r="188" spans="1:54" ht="15.75" customHeight="1" x14ac:dyDescent="0.35">
      <c r="C188" s="5" t="s">
        <v>16</v>
      </c>
      <c r="D188" s="5"/>
      <c r="E188" s="5"/>
      <c r="F188" s="5"/>
      <c r="G188" s="5"/>
      <c r="H188" s="5"/>
      <c r="I188" s="5"/>
      <c r="J188" s="5"/>
      <c r="K188" s="5"/>
      <c r="N188" s="1">
        <f>SUM(Q188:BA188)</f>
        <v>0</v>
      </c>
      <c r="Q188" s="1">
        <f t="shared" ref="Q188:BA188" si="112">Q35</f>
        <v>0</v>
      </c>
      <c r="R188" s="1">
        <f t="shared" si="112"/>
        <v>0</v>
      </c>
      <c r="S188" s="1">
        <f t="shared" si="112"/>
        <v>0</v>
      </c>
      <c r="T188" s="1">
        <f t="shared" si="112"/>
        <v>0</v>
      </c>
      <c r="U188" s="1">
        <f t="shared" si="112"/>
        <v>0</v>
      </c>
      <c r="V188" s="1">
        <f t="shared" si="112"/>
        <v>0</v>
      </c>
      <c r="W188" s="1">
        <f t="shared" si="112"/>
        <v>0</v>
      </c>
      <c r="X188" s="1">
        <f t="shared" si="112"/>
        <v>0</v>
      </c>
      <c r="Y188" s="1">
        <f t="shared" si="112"/>
        <v>0</v>
      </c>
      <c r="Z188" s="1">
        <f t="shared" si="112"/>
        <v>0</v>
      </c>
      <c r="AA188" s="1">
        <f t="shared" si="112"/>
        <v>0</v>
      </c>
      <c r="AB188" s="1">
        <f t="shared" si="112"/>
        <v>0</v>
      </c>
      <c r="AC188" s="1">
        <f t="shared" si="112"/>
        <v>0</v>
      </c>
      <c r="AD188" s="1">
        <f t="shared" si="112"/>
        <v>0</v>
      </c>
      <c r="AE188" s="1">
        <f t="shared" si="112"/>
        <v>0</v>
      </c>
      <c r="AF188" s="1">
        <f t="shared" si="112"/>
        <v>0</v>
      </c>
      <c r="AG188" s="1">
        <f t="shared" si="112"/>
        <v>0</v>
      </c>
      <c r="AH188" s="1">
        <f t="shared" si="112"/>
        <v>0</v>
      </c>
      <c r="AI188" s="1">
        <f t="shared" si="112"/>
        <v>0</v>
      </c>
      <c r="AJ188" s="1">
        <f t="shared" si="112"/>
        <v>0</v>
      </c>
      <c r="AK188" s="1">
        <f t="shared" si="112"/>
        <v>0</v>
      </c>
      <c r="AL188" s="1">
        <f t="shared" si="112"/>
        <v>0</v>
      </c>
      <c r="AM188" s="1">
        <f t="shared" si="112"/>
        <v>0</v>
      </c>
      <c r="AN188" s="1">
        <f t="shared" si="112"/>
        <v>0</v>
      </c>
      <c r="AO188" s="1">
        <f t="shared" si="112"/>
        <v>0</v>
      </c>
      <c r="AP188" s="1">
        <f t="shared" si="112"/>
        <v>0</v>
      </c>
      <c r="AQ188" s="1">
        <f t="shared" si="112"/>
        <v>0</v>
      </c>
      <c r="AR188" s="1">
        <f t="shared" si="112"/>
        <v>0</v>
      </c>
      <c r="AS188" s="1">
        <f t="shared" si="112"/>
        <v>0</v>
      </c>
      <c r="AT188" s="1">
        <f t="shared" si="112"/>
        <v>0</v>
      </c>
      <c r="AU188" s="1">
        <f t="shared" si="112"/>
        <v>0</v>
      </c>
      <c r="AV188" s="1">
        <f t="shared" si="112"/>
        <v>0</v>
      </c>
      <c r="AW188" s="1">
        <f t="shared" si="112"/>
        <v>0</v>
      </c>
      <c r="AX188" s="1">
        <f t="shared" si="112"/>
        <v>0</v>
      </c>
      <c r="AY188" s="1">
        <f t="shared" si="112"/>
        <v>0</v>
      </c>
      <c r="AZ188" s="1">
        <f t="shared" si="112"/>
        <v>0</v>
      </c>
      <c r="BA188" s="1">
        <f t="shared" si="112"/>
        <v>0</v>
      </c>
    </row>
    <row r="189" spans="1:54" ht="15.75" customHeight="1" x14ac:dyDescent="0.35">
      <c r="C189" s="5" t="s">
        <v>104</v>
      </c>
      <c r="D189" s="5"/>
      <c r="E189" s="5"/>
      <c r="F189" s="5"/>
      <c r="G189" s="5"/>
      <c r="H189" s="5"/>
      <c r="I189" s="5"/>
      <c r="J189" s="5"/>
      <c r="K189" s="5"/>
      <c r="N189" s="1">
        <f>SUM(Q189:BA189)</f>
        <v>0</v>
      </c>
      <c r="Q189" s="1">
        <f t="shared" ref="Q189:BA189" si="113">Q47</f>
        <v>0</v>
      </c>
      <c r="R189" s="1">
        <f t="shared" si="113"/>
        <v>0</v>
      </c>
      <c r="S189" s="1">
        <f t="shared" si="113"/>
        <v>0</v>
      </c>
      <c r="T189" s="1">
        <f t="shared" si="113"/>
        <v>0</v>
      </c>
      <c r="U189" s="1">
        <f t="shared" si="113"/>
        <v>0</v>
      </c>
      <c r="V189" s="1">
        <f t="shared" si="113"/>
        <v>0</v>
      </c>
      <c r="W189" s="1">
        <f t="shared" si="113"/>
        <v>0</v>
      </c>
      <c r="X189" s="1">
        <f t="shared" si="113"/>
        <v>0</v>
      </c>
      <c r="Y189" s="1">
        <f t="shared" si="113"/>
        <v>0</v>
      </c>
      <c r="Z189" s="1">
        <f t="shared" si="113"/>
        <v>0</v>
      </c>
      <c r="AA189" s="1">
        <f t="shared" si="113"/>
        <v>0</v>
      </c>
      <c r="AB189" s="1">
        <f t="shared" si="113"/>
        <v>0</v>
      </c>
      <c r="AC189" s="1">
        <f t="shared" si="113"/>
        <v>0</v>
      </c>
      <c r="AD189" s="1">
        <f t="shared" si="113"/>
        <v>0</v>
      </c>
      <c r="AE189" s="1">
        <f t="shared" si="113"/>
        <v>0</v>
      </c>
      <c r="AF189" s="1">
        <f t="shared" si="113"/>
        <v>0</v>
      </c>
      <c r="AG189" s="1">
        <f t="shared" si="113"/>
        <v>0</v>
      </c>
      <c r="AH189" s="1">
        <f t="shared" si="113"/>
        <v>0</v>
      </c>
      <c r="AI189" s="1">
        <f t="shared" si="113"/>
        <v>0</v>
      </c>
      <c r="AJ189" s="1">
        <f t="shared" si="113"/>
        <v>0</v>
      </c>
      <c r="AK189" s="1">
        <f t="shared" si="113"/>
        <v>0</v>
      </c>
      <c r="AL189" s="1">
        <f t="shared" si="113"/>
        <v>0</v>
      </c>
      <c r="AM189" s="1">
        <f t="shared" si="113"/>
        <v>0</v>
      </c>
      <c r="AN189" s="1">
        <f t="shared" si="113"/>
        <v>0</v>
      </c>
      <c r="AO189" s="1">
        <f t="shared" si="113"/>
        <v>0</v>
      </c>
      <c r="AP189" s="1">
        <f t="shared" si="113"/>
        <v>0</v>
      </c>
      <c r="AQ189" s="1">
        <f t="shared" si="113"/>
        <v>0</v>
      </c>
      <c r="AR189" s="1">
        <f t="shared" si="113"/>
        <v>0</v>
      </c>
      <c r="AS189" s="1">
        <f t="shared" si="113"/>
        <v>0</v>
      </c>
      <c r="AT189" s="1">
        <f t="shared" si="113"/>
        <v>0</v>
      </c>
      <c r="AU189" s="1">
        <f t="shared" si="113"/>
        <v>0</v>
      </c>
      <c r="AV189" s="1">
        <f t="shared" si="113"/>
        <v>0</v>
      </c>
      <c r="AW189" s="1">
        <f t="shared" si="113"/>
        <v>0</v>
      </c>
      <c r="AX189" s="1">
        <f t="shared" si="113"/>
        <v>0</v>
      </c>
      <c r="AY189" s="1">
        <f t="shared" si="113"/>
        <v>0</v>
      </c>
      <c r="AZ189" s="1">
        <f t="shared" si="113"/>
        <v>0</v>
      </c>
      <c r="BA189" s="1">
        <f t="shared" si="113"/>
        <v>0</v>
      </c>
    </row>
    <row r="190" spans="1:54" ht="15.75" customHeight="1" x14ac:dyDescent="0.35">
      <c r="C190" s="5" t="s">
        <v>94</v>
      </c>
      <c r="D190" s="5"/>
      <c r="E190" s="5"/>
      <c r="F190" s="5"/>
      <c r="G190" s="5"/>
      <c r="H190" s="5"/>
      <c r="I190" s="5"/>
      <c r="J190" s="5"/>
      <c r="K190" s="5"/>
      <c r="N190" s="1">
        <f>SUM(Q190:BA190)</f>
        <v>0</v>
      </c>
      <c r="Q190" s="1">
        <f t="shared" ref="Q190:BA190" si="114">SUM(Q121,Q128,-Q123,-Q124,Q127)</f>
        <v>0</v>
      </c>
      <c r="R190" s="1">
        <f t="shared" si="114"/>
        <v>0</v>
      </c>
      <c r="S190" s="1">
        <f t="shared" si="114"/>
        <v>0</v>
      </c>
      <c r="T190" s="1">
        <f t="shared" si="114"/>
        <v>0</v>
      </c>
      <c r="U190" s="1">
        <f t="shared" si="114"/>
        <v>0</v>
      </c>
      <c r="V190" s="1">
        <f t="shared" si="114"/>
        <v>0</v>
      </c>
      <c r="W190" s="1">
        <f t="shared" si="114"/>
        <v>0</v>
      </c>
      <c r="X190" s="1">
        <f t="shared" si="114"/>
        <v>0</v>
      </c>
      <c r="Y190" s="1">
        <f t="shared" si="114"/>
        <v>0</v>
      </c>
      <c r="Z190" s="1">
        <f t="shared" si="114"/>
        <v>0</v>
      </c>
      <c r="AA190" s="1">
        <f t="shared" si="114"/>
        <v>0</v>
      </c>
      <c r="AB190" s="1">
        <f t="shared" si="114"/>
        <v>0</v>
      </c>
      <c r="AC190" s="1">
        <f t="shared" si="114"/>
        <v>0</v>
      </c>
      <c r="AD190" s="1">
        <f t="shared" si="114"/>
        <v>0</v>
      </c>
      <c r="AE190" s="1">
        <f t="shared" si="114"/>
        <v>0</v>
      </c>
      <c r="AF190" s="1">
        <f t="shared" si="114"/>
        <v>0</v>
      </c>
      <c r="AG190" s="1">
        <f t="shared" si="114"/>
        <v>0</v>
      </c>
      <c r="AH190" s="1">
        <f t="shared" si="114"/>
        <v>0</v>
      </c>
      <c r="AI190" s="1">
        <f t="shared" si="114"/>
        <v>0</v>
      </c>
      <c r="AJ190" s="1">
        <f t="shared" si="114"/>
        <v>0</v>
      </c>
      <c r="AK190" s="1">
        <f t="shared" si="114"/>
        <v>0</v>
      </c>
      <c r="AL190" s="1">
        <f t="shared" si="114"/>
        <v>0</v>
      </c>
      <c r="AM190" s="1">
        <f t="shared" si="114"/>
        <v>0</v>
      </c>
      <c r="AN190" s="1">
        <f t="shared" si="114"/>
        <v>0</v>
      </c>
      <c r="AO190" s="1">
        <f t="shared" si="114"/>
        <v>0</v>
      </c>
      <c r="AP190" s="1">
        <f t="shared" si="114"/>
        <v>0</v>
      </c>
      <c r="AQ190" s="1">
        <f t="shared" si="114"/>
        <v>0</v>
      </c>
      <c r="AR190" s="1">
        <f t="shared" si="114"/>
        <v>0</v>
      </c>
      <c r="AS190" s="1">
        <f t="shared" si="114"/>
        <v>0</v>
      </c>
      <c r="AT190" s="1">
        <f t="shared" si="114"/>
        <v>0</v>
      </c>
      <c r="AU190" s="1">
        <f t="shared" si="114"/>
        <v>0</v>
      </c>
      <c r="AV190" s="1">
        <f t="shared" si="114"/>
        <v>0</v>
      </c>
      <c r="AW190" s="1">
        <f t="shared" si="114"/>
        <v>0</v>
      </c>
      <c r="AX190" s="1">
        <f t="shared" si="114"/>
        <v>0</v>
      </c>
      <c r="AY190" s="1">
        <f t="shared" si="114"/>
        <v>0</v>
      </c>
      <c r="AZ190" s="1">
        <f t="shared" si="114"/>
        <v>0</v>
      </c>
      <c r="BA190" s="1">
        <f t="shared" si="114"/>
        <v>0</v>
      </c>
    </row>
    <row r="191" spans="1:54" ht="15.75" customHeight="1" x14ac:dyDescent="0.35">
      <c r="C191" s="5" t="s">
        <v>123</v>
      </c>
      <c r="D191" s="5"/>
      <c r="E191" s="5"/>
      <c r="F191" s="5"/>
      <c r="G191" s="5"/>
      <c r="H191" s="5"/>
      <c r="I191" s="5"/>
      <c r="J191" s="5"/>
      <c r="K191" s="5"/>
      <c r="N191" s="1">
        <f>SUM(Q191:BA191)</f>
        <v>0</v>
      </c>
      <c r="Q191" s="26">
        <f t="shared" ref="Q191:BA191" si="115">SUM(Q138,-Q140,-Q141,Q143)</f>
        <v>0</v>
      </c>
      <c r="R191" s="26">
        <f t="shared" si="115"/>
        <v>0</v>
      </c>
      <c r="S191" s="26">
        <f t="shared" si="115"/>
        <v>0</v>
      </c>
      <c r="T191" s="26">
        <f t="shared" si="115"/>
        <v>0</v>
      </c>
      <c r="U191" s="26">
        <f t="shared" si="115"/>
        <v>0</v>
      </c>
      <c r="V191" s="26">
        <f t="shared" si="115"/>
        <v>0</v>
      </c>
      <c r="W191" s="26">
        <f t="shared" si="115"/>
        <v>0</v>
      </c>
      <c r="X191" s="26">
        <f t="shared" si="115"/>
        <v>0</v>
      </c>
      <c r="Y191" s="26">
        <f t="shared" si="115"/>
        <v>0</v>
      </c>
      <c r="Z191" s="26">
        <f t="shared" si="115"/>
        <v>0</v>
      </c>
      <c r="AA191" s="26">
        <f t="shared" si="115"/>
        <v>0</v>
      </c>
      <c r="AB191" s="26">
        <f t="shared" si="115"/>
        <v>0</v>
      </c>
      <c r="AC191" s="26">
        <f t="shared" si="115"/>
        <v>0</v>
      </c>
      <c r="AD191" s="26">
        <f t="shared" si="115"/>
        <v>0</v>
      </c>
      <c r="AE191" s="26">
        <f t="shared" si="115"/>
        <v>0</v>
      </c>
      <c r="AF191" s="26">
        <f t="shared" si="115"/>
        <v>0</v>
      </c>
      <c r="AG191" s="26">
        <f t="shared" si="115"/>
        <v>0</v>
      </c>
      <c r="AH191" s="26">
        <f t="shared" si="115"/>
        <v>0</v>
      </c>
      <c r="AI191" s="26">
        <f t="shared" si="115"/>
        <v>0</v>
      </c>
      <c r="AJ191" s="26">
        <f t="shared" si="115"/>
        <v>0</v>
      </c>
      <c r="AK191" s="26">
        <f t="shared" si="115"/>
        <v>0</v>
      </c>
      <c r="AL191" s="26">
        <f t="shared" si="115"/>
        <v>0</v>
      </c>
      <c r="AM191" s="26">
        <f t="shared" si="115"/>
        <v>0</v>
      </c>
      <c r="AN191" s="26">
        <f t="shared" si="115"/>
        <v>0</v>
      </c>
      <c r="AO191" s="26">
        <f t="shared" si="115"/>
        <v>0</v>
      </c>
      <c r="AP191" s="26">
        <f t="shared" si="115"/>
        <v>0</v>
      </c>
      <c r="AQ191" s="26">
        <f t="shared" si="115"/>
        <v>0</v>
      </c>
      <c r="AR191" s="26">
        <f t="shared" si="115"/>
        <v>0</v>
      </c>
      <c r="AS191" s="26">
        <f t="shared" si="115"/>
        <v>0</v>
      </c>
      <c r="AT191" s="26">
        <f t="shared" si="115"/>
        <v>0</v>
      </c>
      <c r="AU191" s="26">
        <f t="shared" si="115"/>
        <v>0</v>
      </c>
      <c r="AV191" s="26">
        <f t="shared" si="115"/>
        <v>0</v>
      </c>
      <c r="AW191" s="26">
        <f t="shared" si="115"/>
        <v>0</v>
      </c>
      <c r="AX191" s="26">
        <f t="shared" si="115"/>
        <v>0</v>
      </c>
      <c r="AY191" s="26">
        <f t="shared" si="115"/>
        <v>0</v>
      </c>
      <c r="AZ191" s="26">
        <f t="shared" si="115"/>
        <v>0</v>
      </c>
      <c r="BA191" s="26">
        <f t="shared" si="115"/>
        <v>0</v>
      </c>
    </row>
    <row r="192" spans="1:54" ht="15.75" customHeight="1" x14ac:dyDescent="0.35">
      <c r="B192" s="8"/>
      <c r="C192" s="9" t="s">
        <v>147</v>
      </c>
      <c r="D192" s="9"/>
      <c r="E192" s="9"/>
      <c r="F192" s="9"/>
      <c r="G192" s="9"/>
      <c r="H192" s="9"/>
      <c r="I192" s="9"/>
      <c r="J192" s="9"/>
      <c r="K192" s="9"/>
      <c r="L192" s="8"/>
      <c r="M192" s="8"/>
      <c r="N192" s="10">
        <f>SUM(Q192:BA192)</f>
        <v>0</v>
      </c>
      <c r="O192" s="8"/>
      <c r="P192" s="8"/>
      <c r="Q192" s="10">
        <f t="shared" ref="Q192:BA192" si="116">Q52</f>
        <v>0</v>
      </c>
      <c r="R192" s="10">
        <f t="shared" si="116"/>
        <v>0</v>
      </c>
      <c r="S192" s="10">
        <f t="shared" si="116"/>
        <v>0</v>
      </c>
      <c r="T192" s="10">
        <f t="shared" si="116"/>
        <v>0</v>
      </c>
      <c r="U192" s="10">
        <f t="shared" si="116"/>
        <v>0</v>
      </c>
      <c r="V192" s="10">
        <f t="shared" si="116"/>
        <v>0</v>
      </c>
      <c r="W192" s="10">
        <f t="shared" si="116"/>
        <v>0</v>
      </c>
      <c r="X192" s="10">
        <f t="shared" si="116"/>
        <v>0</v>
      </c>
      <c r="Y192" s="10">
        <f t="shared" si="116"/>
        <v>0</v>
      </c>
      <c r="Z192" s="10">
        <f t="shared" si="116"/>
        <v>0</v>
      </c>
      <c r="AA192" s="10">
        <f t="shared" si="116"/>
        <v>0</v>
      </c>
      <c r="AB192" s="10">
        <f t="shared" si="116"/>
        <v>0</v>
      </c>
      <c r="AC192" s="10">
        <f t="shared" si="116"/>
        <v>0</v>
      </c>
      <c r="AD192" s="10">
        <f t="shared" si="116"/>
        <v>0</v>
      </c>
      <c r="AE192" s="10">
        <f t="shared" si="116"/>
        <v>0</v>
      </c>
      <c r="AF192" s="10">
        <f t="shared" si="116"/>
        <v>0</v>
      </c>
      <c r="AG192" s="10">
        <f t="shared" si="116"/>
        <v>0</v>
      </c>
      <c r="AH192" s="10">
        <f t="shared" si="116"/>
        <v>0</v>
      </c>
      <c r="AI192" s="10">
        <f t="shared" si="116"/>
        <v>0</v>
      </c>
      <c r="AJ192" s="10">
        <f t="shared" si="116"/>
        <v>0</v>
      </c>
      <c r="AK192" s="10">
        <f t="shared" si="116"/>
        <v>0</v>
      </c>
      <c r="AL192" s="10">
        <f t="shared" si="116"/>
        <v>0</v>
      </c>
      <c r="AM192" s="10">
        <f t="shared" si="116"/>
        <v>0</v>
      </c>
      <c r="AN192" s="10">
        <f t="shared" si="116"/>
        <v>0</v>
      </c>
      <c r="AO192" s="10">
        <f t="shared" si="116"/>
        <v>0</v>
      </c>
      <c r="AP192" s="10">
        <f t="shared" si="116"/>
        <v>0</v>
      </c>
      <c r="AQ192" s="10">
        <f t="shared" si="116"/>
        <v>0</v>
      </c>
      <c r="AR192" s="10">
        <f t="shared" si="116"/>
        <v>0</v>
      </c>
      <c r="AS192" s="10">
        <f t="shared" si="116"/>
        <v>0</v>
      </c>
      <c r="AT192" s="10">
        <f t="shared" si="116"/>
        <v>0</v>
      </c>
      <c r="AU192" s="10">
        <f t="shared" si="116"/>
        <v>0</v>
      </c>
      <c r="AV192" s="10">
        <f t="shared" si="116"/>
        <v>0</v>
      </c>
      <c r="AW192" s="10">
        <f t="shared" si="116"/>
        <v>0</v>
      </c>
      <c r="AX192" s="10">
        <f t="shared" si="116"/>
        <v>0</v>
      </c>
      <c r="AY192" s="10">
        <f t="shared" si="116"/>
        <v>0</v>
      </c>
      <c r="AZ192" s="10">
        <f t="shared" si="116"/>
        <v>0</v>
      </c>
      <c r="BA192" s="10">
        <f t="shared" si="116"/>
        <v>0</v>
      </c>
    </row>
    <row r="193" spans="1:54" ht="15.75" customHeight="1" x14ac:dyDescent="0.35">
      <c r="B193" s="2" t="s">
        <v>54</v>
      </c>
      <c r="C193" s="5"/>
      <c r="D193" s="5"/>
      <c r="E193" s="5"/>
      <c r="F193" s="5"/>
      <c r="G193" s="5"/>
      <c r="H193" s="5"/>
      <c r="I193" s="5"/>
      <c r="J193" s="5"/>
      <c r="K193" s="5"/>
      <c r="Q193" s="1">
        <f t="shared" ref="Q193:BA193" si="117">SUM(Q187:Q192)</f>
        <v>0</v>
      </c>
      <c r="R193" s="1">
        <f t="shared" si="117"/>
        <v>0</v>
      </c>
      <c r="S193" s="1">
        <f t="shared" si="117"/>
        <v>0</v>
      </c>
      <c r="T193" s="1">
        <f t="shared" si="117"/>
        <v>0</v>
      </c>
      <c r="U193" s="1">
        <f t="shared" si="117"/>
        <v>0</v>
      </c>
      <c r="V193" s="1">
        <f t="shared" si="117"/>
        <v>0</v>
      </c>
      <c r="W193" s="1">
        <f t="shared" si="117"/>
        <v>0</v>
      </c>
      <c r="X193" s="1">
        <f t="shared" si="117"/>
        <v>0</v>
      </c>
      <c r="Y193" s="1">
        <f t="shared" si="117"/>
        <v>0</v>
      </c>
      <c r="Z193" s="1">
        <f t="shared" si="117"/>
        <v>0</v>
      </c>
      <c r="AA193" s="1">
        <f t="shared" si="117"/>
        <v>0</v>
      </c>
      <c r="AB193" s="1">
        <f t="shared" si="117"/>
        <v>0</v>
      </c>
      <c r="AC193" s="1">
        <f t="shared" si="117"/>
        <v>0</v>
      </c>
      <c r="AD193" s="1">
        <f t="shared" si="117"/>
        <v>0</v>
      </c>
      <c r="AE193" s="1">
        <f t="shared" si="117"/>
        <v>0</v>
      </c>
      <c r="AF193" s="1">
        <f t="shared" si="117"/>
        <v>0</v>
      </c>
      <c r="AG193" s="1">
        <f t="shared" si="117"/>
        <v>0</v>
      </c>
      <c r="AH193" s="1">
        <f t="shared" si="117"/>
        <v>0</v>
      </c>
      <c r="AI193" s="1">
        <f t="shared" si="117"/>
        <v>0</v>
      </c>
      <c r="AJ193" s="1">
        <f t="shared" si="117"/>
        <v>0</v>
      </c>
      <c r="AK193" s="1">
        <f t="shared" si="117"/>
        <v>0</v>
      </c>
      <c r="AL193" s="1">
        <f t="shared" si="117"/>
        <v>0</v>
      </c>
      <c r="AM193" s="1">
        <f t="shared" si="117"/>
        <v>0</v>
      </c>
      <c r="AN193" s="1">
        <f t="shared" si="117"/>
        <v>0</v>
      </c>
      <c r="AO193" s="1">
        <f t="shared" si="117"/>
        <v>0</v>
      </c>
      <c r="AP193" s="1">
        <f t="shared" si="117"/>
        <v>0</v>
      </c>
      <c r="AQ193" s="1">
        <f t="shared" si="117"/>
        <v>0</v>
      </c>
      <c r="AR193" s="1">
        <f t="shared" si="117"/>
        <v>0</v>
      </c>
      <c r="AS193" s="1">
        <f t="shared" si="117"/>
        <v>0</v>
      </c>
      <c r="AT193" s="1">
        <f t="shared" si="117"/>
        <v>0</v>
      </c>
      <c r="AU193" s="1">
        <f t="shared" si="117"/>
        <v>0</v>
      </c>
      <c r="AV193" s="1">
        <f t="shared" si="117"/>
        <v>0</v>
      </c>
      <c r="AW193" s="1">
        <f t="shared" si="117"/>
        <v>0</v>
      </c>
      <c r="AX193" s="1">
        <f t="shared" si="117"/>
        <v>0</v>
      </c>
      <c r="AY193" s="1">
        <f t="shared" si="117"/>
        <v>0</v>
      </c>
      <c r="AZ193" s="1">
        <f t="shared" si="117"/>
        <v>0</v>
      </c>
      <c r="BA193" s="1">
        <f t="shared" si="117"/>
        <v>0</v>
      </c>
    </row>
    <row r="194" spans="1:54" ht="15.75" customHeight="1" x14ac:dyDescent="0.35">
      <c r="B194" s="8"/>
      <c r="C194" s="9" t="s">
        <v>21</v>
      </c>
      <c r="D194" s="9"/>
      <c r="E194" s="9"/>
      <c r="F194" s="9"/>
      <c r="G194" s="9"/>
      <c r="H194" s="9"/>
      <c r="I194" s="9"/>
      <c r="J194" s="9"/>
      <c r="K194" s="9"/>
      <c r="L194" s="8"/>
      <c r="M194" s="8"/>
      <c r="N194" s="10">
        <f>SUM(Q194:BA194)</f>
        <v>0</v>
      </c>
      <c r="O194" s="8"/>
      <c r="P194" s="8"/>
      <c r="Q194" s="10">
        <f>-MAX(MIN(SUM($P$114:P115),Q193),0)*OEt.w3</f>
        <v>0</v>
      </c>
      <c r="R194" s="10">
        <f>-MAX(MIN(SUM($P$114:Q115),R193),0)*OEt.w3</f>
        <v>0</v>
      </c>
      <c r="S194" s="10">
        <f>-MAX(MIN(SUM($P$114:R115),S193),0)*OEt.w3</f>
        <v>0</v>
      </c>
      <c r="T194" s="10">
        <f>-MAX(MIN(SUM($P$114:S115),T193),0)*OEt.w3</f>
        <v>0</v>
      </c>
      <c r="U194" s="10">
        <f>-MAX(MIN(SUM($P$114:T115),U193),0)*OEt.w3</f>
        <v>0</v>
      </c>
      <c r="V194" s="10">
        <f>-MAX(MIN(SUM($P$114:U115),V193),0)*OEt.w3</f>
        <v>0</v>
      </c>
      <c r="W194" s="10">
        <f>-MAX(MIN(SUM($P$114:V115),W193),0)*OEt.w3</f>
        <v>0</v>
      </c>
      <c r="X194" s="10">
        <f>-MAX(MIN(SUM($P$114:W115),X193),0)*OEt.w3</f>
        <v>0</v>
      </c>
      <c r="Y194" s="10">
        <f>-MAX(MIN(SUM($P$114:X115),Y193),0)*OEt.w3</f>
        <v>0</v>
      </c>
      <c r="Z194" s="10">
        <f>-MAX(MIN(SUM($P$114:Y115),Z193),0)*OEt.w3</f>
        <v>0</v>
      </c>
      <c r="AA194" s="10">
        <f>-MAX(MIN(SUM($P$114:Z115),AA193),0)*OEt.w3</f>
        <v>0</v>
      </c>
      <c r="AB194" s="10">
        <f>-MAX(MIN(SUM($P$114:AA115),AB193),0)*OEt.w3</f>
        <v>0</v>
      </c>
      <c r="AC194" s="10">
        <f>-MAX(MIN(SUM($P$114:AB115),AC193),0)*OEt.w3</f>
        <v>0</v>
      </c>
      <c r="AD194" s="10">
        <f>-MAX(MIN(SUM($P$114:AC115),AD193),0)*OEt.w3</f>
        <v>0</v>
      </c>
      <c r="AE194" s="10">
        <f>-MAX(MIN(SUM($P$114:AD115),AE193),0)*OEt.w3</f>
        <v>0</v>
      </c>
      <c r="AF194" s="10">
        <f>-MAX(MIN(SUM($P$114:AE115),AF193),0)*OEt.w3</f>
        <v>0</v>
      </c>
      <c r="AG194" s="10">
        <f>-MAX(MIN(SUM($P$114:AF115),AG193),0)*OEt.w3</f>
        <v>0</v>
      </c>
      <c r="AH194" s="10">
        <f>-MAX(MIN(SUM($P$114:AG115),AH193),0)*OEt.w3</f>
        <v>0</v>
      </c>
      <c r="AI194" s="10">
        <f>-MAX(MIN(SUM($P$114:AH115),AI193),0)*OEt.w3</f>
        <v>0</v>
      </c>
      <c r="AJ194" s="10">
        <f>-MAX(MIN(SUM($P$114:AI115),AJ193),0)*OEt.w3</f>
        <v>0</v>
      </c>
      <c r="AK194" s="10">
        <f>-MAX(MIN(SUM($P$114:AJ115),AK193),0)*OEt.w3</f>
        <v>0</v>
      </c>
      <c r="AL194" s="10">
        <f>-MAX(MIN(SUM($P$114:AK115),AL193),0)*OEt.w3</f>
        <v>0</v>
      </c>
      <c r="AM194" s="10">
        <f>-MAX(MIN(SUM($P$114:AL115),AM193),0)*OEt.w3</f>
        <v>0</v>
      </c>
      <c r="AN194" s="10">
        <f>-MAX(MIN(SUM($P$114:AM115),AN193),0)*OEt.w3</f>
        <v>0</v>
      </c>
      <c r="AO194" s="10">
        <f>-MAX(MIN(SUM($P$114:AN115),AO193),0)*OEt.w3</f>
        <v>0</v>
      </c>
      <c r="AP194" s="10">
        <f>-MAX(MIN(SUM($P$114:AO115),AP193),0)*OEt.w3</f>
        <v>0</v>
      </c>
      <c r="AQ194" s="10">
        <f>-MAX(MIN(SUM($P$114:AP115),AQ193),0)*OEt.w3</f>
        <v>0</v>
      </c>
      <c r="AR194" s="10">
        <f>-MAX(MIN(SUM($P$114:AQ115),AR193),0)*OEt.w3</f>
        <v>0</v>
      </c>
      <c r="AS194" s="10">
        <f>-MAX(MIN(SUM($P$114:AR115),AS193),0)*OEt.w3</f>
        <v>0</v>
      </c>
      <c r="AT194" s="10">
        <f>-MAX(MIN(SUM($P$114:AS115),AT193),0)*OEt.w3</f>
        <v>0</v>
      </c>
      <c r="AU194" s="10">
        <f>-MAX(MIN(SUM($P$114:AT115),AU193),0)*OEt.w3</f>
        <v>0</v>
      </c>
      <c r="AV194" s="10">
        <f>-MAX(MIN(SUM($P$114:AU115),AV193),0)*OEt.w3</f>
        <v>0</v>
      </c>
      <c r="AW194" s="10">
        <f>-MAX(MIN(SUM($P$114:AV115),AW193),0)*OEt.w3</f>
        <v>0</v>
      </c>
      <c r="AX194" s="10">
        <f>-MAX(MIN(SUM($P$114:AW115),AX193),0)*OEt.w3</f>
        <v>0</v>
      </c>
      <c r="AY194" s="10">
        <f>-MAX(MIN(SUM($P$114:AX115),AY193),0)*OEt.w3</f>
        <v>0</v>
      </c>
      <c r="AZ194" s="10">
        <f>-MAX(MIN(SUM($P$114:AY115),AZ193),0)*OEt.w3</f>
        <v>0</v>
      </c>
      <c r="BA194" s="10">
        <f>-MAX(MIN(SUM($P$114:AZ115),BA193),0)*OEt.w3</f>
        <v>0</v>
      </c>
    </row>
    <row r="195" spans="1:54" ht="15.75" customHeight="1" x14ac:dyDescent="0.35">
      <c r="B195" s="2" t="s">
        <v>121</v>
      </c>
      <c r="C195" s="5"/>
      <c r="D195" s="5"/>
      <c r="E195" s="5"/>
      <c r="F195" s="5"/>
      <c r="G195" s="5"/>
      <c r="H195" s="5"/>
      <c r="I195" s="5"/>
      <c r="J195" s="5"/>
      <c r="K195" s="5"/>
      <c r="Q195" s="1">
        <f t="shared" ref="Q195:BA195" si="118">SUM(Q193:Q194)</f>
        <v>0</v>
      </c>
      <c r="R195" s="1">
        <f t="shared" si="118"/>
        <v>0</v>
      </c>
      <c r="S195" s="1">
        <f t="shared" si="118"/>
        <v>0</v>
      </c>
      <c r="T195" s="1">
        <f t="shared" si="118"/>
        <v>0</v>
      </c>
      <c r="U195" s="1">
        <f t="shared" si="118"/>
        <v>0</v>
      </c>
      <c r="V195" s="1">
        <f t="shared" si="118"/>
        <v>0</v>
      </c>
      <c r="W195" s="1">
        <f t="shared" si="118"/>
        <v>0</v>
      </c>
      <c r="X195" s="1">
        <f t="shared" si="118"/>
        <v>0</v>
      </c>
      <c r="Y195" s="1">
        <f t="shared" si="118"/>
        <v>0</v>
      </c>
      <c r="Z195" s="1">
        <f t="shared" si="118"/>
        <v>0</v>
      </c>
      <c r="AA195" s="1">
        <f t="shared" si="118"/>
        <v>0</v>
      </c>
      <c r="AB195" s="1">
        <f t="shared" si="118"/>
        <v>0</v>
      </c>
      <c r="AC195" s="1">
        <f t="shared" si="118"/>
        <v>0</v>
      </c>
      <c r="AD195" s="1">
        <f t="shared" si="118"/>
        <v>0</v>
      </c>
      <c r="AE195" s="1">
        <f t="shared" si="118"/>
        <v>0</v>
      </c>
      <c r="AF195" s="1">
        <f t="shared" si="118"/>
        <v>0</v>
      </c>
      <c r="AG195" s="1">
        <f t="shared" si="118"/>
        <v>0</v>
      </c>
      <c r="AH195" s="1">
        <f t="shared" si="118"/>
        <v>0</v>
      </c>
      <c r="AI195" s="1">
        <f t="shared" si="118"/>
        <v>0</v>
      </c>
      <c r="AJ195" s="1">
        <f t="shared" si="118"/>
        <v>0</v>
      </c>
      <c r="AK195" s="1">
        <f t="shared" si="118"/>
        <v>0</v>
      </c>
      <c r="AL195" s="1">
        <f t="shared" si="118"/>
        <v>0</v>
      </c>
      <c r="AM195" s="1">
        <f t="shared" si="118"/>
        <v>0</v>
      </c>
      <c r="AN195" s="1">
        <f t="shared" si="118"/>
        <v>0</v>
      </c>
      <c r="AO195" s="1">
        <f t="shared" si="118"/>
        <v>0</v>
      </c>
      <c r="AP195" s="1">
        <f t="shared" si="118"/>
        <v>0</v>
      </c>
      <c r="AQ195" s="1">
        <f t="shared" si="118"/>
        <v>0</v>
      </c>
      <c r="AR195" s="1">
        <f t="shared" si="118"/>
        <v>0</v>
      </c>
      <c r="AS195" s="1">
        <f t="shared" si="118"/>
        <v>0</v>
      </c>
      <c r="AT195" s="1">
        <f t="shared" si="118"/>
        <v>0</v>
      </c>
      <c r="AU195" s="1">
        <f t="shared" si="118"/>
        <v>0</v>
      </c>
      <c r="AV195" s="1">
        <f t="shared" si="118"/>
        <v>0</v>
      </c>
      <c r="AW195" s="1">
        <f t="shared" si="118"/>
        <v>0</v>
      </c>
      <c r="AX195" s="1">
        <f t="shared" si="118"/>
        <v>0</v>
      </c>
      <c r="AY195" s="1">
        <f t="shared" si="118"/>
        <v>0</v>
      </c>
      <c r="AZ195" s="1">
        <f t="shared" si="118"/>
        <v>0</v>
      </c>
      <c r="BA195" s="1">
        <f t="shared" si="118"/>
        <v>0</v>
      </c>
    </row>
    <row r="196" spans="1:54" ht="15.75" customHeight="1" x14ac:dyDescent="0.35">
      <c r="B196" s="8"/>
      <c r="C196" s="9" t="s">
        <v>119</v>
      </c>
      <c r="D196" s="9"/>
      <c r="E196" s="9"/>
      <c r="F196" s="9"/>
      <c r="G196" s="9"/>
      <c r="H196" s="9"/>
      <c r="I196" s="9"/>
      <c r="J196" s="9"/>
      <c r="K196" s="9"/>
      <c r="L196" s="8"/>
      <c r="M196" s="8"/>
      <c r="N196" s="10">
        <f>SUM(Q196:BA196)</f>
        <v>0</v>
      </c>
      <c r="O196" s="8"/>
      <c r="P196" s="8"/>
      <c r="Q196" s="10">
        <f t="shared" ref="Q196:BA196" si="119">MIN(MAX(-SUM(Q120,Q128),-Q195),0)</f>
        <v>0</v>
      </c>
      <c r="R196" s="10">
        <f t="shared" si="119"/>
        <v>0</v>
      </c>
      <c r="S196" s="10">
        <f t="shared" si="119"/>
        <v>0</v>
      </c>
      <c r="T196" s="10">
        <f t="shared" si="119"/>
        <v>0</v>
      </c>
      <c r="U196" s="10">
        <f t="shared" si="119"/>
        <v>0</v>
      </c>
      <c r="V196" s="10">
        <f t="shared" si="119"/>
        <v>0</v>
      </c>
      <c r="W196" s="10">
        <f t="shared" si="119"/>
        <v>0</v>
      </c>
      <c r="X196" s="10">
        <f t="shared" si="119"/>
        <v>0</v>
      </c>
      <c r="Y196" s="10">
        <f t="shared" si="119"/>
        <v>0</v>
      </c>
      <c r="Z196" s="10">
        <f t="shared" si="119"/>
        <v>0</v>
      </c>
      <c r="AA196" s="10">
        <f t="shared" si="119"/>
        <v>0</v>
      </c>
      <c r="AB196" s="10">
        <f t="shared" si="119"/>
        <v>0</v>
      </c>
      <c r="AC196" s="10">
        <f t="shared" si="119"/>
        <v>0</v>
      </c>
      <c r="AD196" s="10">
        <f t="shared" si="119"/>
        <v>0</v>
      </c>
      <c r="AE196" s="10">
        <f t="shared" si="119"/>
        <v>0</v>
      </c>
      <c r="AF196" s="10">
        <f t="shared" si="119"/>
        <v>0</v>
      </c>
      <c r="AG196" s="10">
        <f t="shared" si="119"/>
        <v>0</v>
      </c>
      <c r="AH196" s="10">
        <f t="shared" si="119"/>
        <v>0</v>
      </c>
      <c r="AI196" s="10">
        <f t="shared" si="119"/>
        <v>0</v>
      </c>
      <c r="AJ196" s="10">
        <f t="shared" si="119"/>
        <v>0</v>
      </c>
      <c r="AK196" s="10">
        <f t="shared" si="119"/>
        <v>0</v>
      </c>
      <c r="AL196" s="10">
        <f t="shared" si="119"/>
        <v>0</v>
      </c>
      <c r="AM196" s="10">
        <f t="shared" si="119"/>
        <v>0</v>
      </c>
      <c r="AN196" s="10">
        <f t="shared" si="119"/>
        <v>0</v>
      </c>
      <c r="AO196" s="10">
        <f t="shared" si="119"/>
        <v>0</v>
      </c>
      <c r="AP196" s="10">
        <f t="shared" si="119"/>
        <v>0</v>
      </c>
      <c r="AQ196" s="10">
        <f t="shared" si="119"/>
        <v>0</v>
      </c>
      <c r="AR196" s="10">
        <f t="shared" si="119"/>
        <v>0</v>
      </c>
      <c r="AS196" s="10">
        <f t="shared" si="119"/>
        <v>0</v>
      </c>
      <c r="AT196" s="10">
        <f t="shared" si="119"/>
        <v>0</v>
      </c>
      <c r="AU196" s="10">
        <f t="shared" si="119"/>
        <v>0</v>
      </c>
      <c r="AV196" s="10">
        <f t="shared" si="119"/>
        <v>0</v>
      </c>
      <c r="AW196" s="10">
        <f t="shared" si="119"/>
        <v>0</v>
      </c>
      <c r="AX196" s="10">
        <f t="shared" si="119"/>
        <v>0</v>
      </c>
      <c r="AY196" s="10">
        <f t="shared" si="119"/>
        <v>0</v>
      </c>
      <c r="AZ196" s="10">
        <f t="shared" si="119"/>
        <v>0</v>
      </c>
      <c r="BA196" s="10">
        <f t="shared" si="119"/>
        <v>0</v>
      </c>
    </row>
    <row r="197" spans="1:54" ht="15.75" customHeight="1" x14ac:dyDescent="0.35">
      <c r="B197" s="2" t="s">
        <v>122</v>
      </c>
      <c r="C197" s="5"/>
      <c r="D197" s="5"/>
      <c r="E197" s="5"/>
      <c r="F197" s="5"/>
      <c r="G197" s="5"/>
      <c r="H197" s="5"/>
      <c r="I197" s="5"/>
      <c r="J197" s="5"/>
      <c r="K197" s="5"/>
      <c r="Q197" s="1">
        <f t="shared" ref="Q197:BA199" si="120">SUM(Q195:Q196)</f>
        <v>0</v>
      </c>
      <c r="R197" s="1">
        <f t="shared" si="120"/>
        <v>0</v>
      </c>
      <c r="S197" s="1">
        <f t="shared" si="120"/>
        <v>0</v>
      </c>
      <c r="T197" s="1">
        <f t="shared" si="120"/>
        <v>0</v>
      </c>
      <c r="U197" s="1">
        <f t="shared" si="120"/>
        <v>0</v>
      </c>
      <c r="V197" s="1">
        <f t="shared" si="120"/>
        <v>0</v>
      </c>
      <c r="W197" s="1">
        <f t="shared" si="120"/>
        <v>0</v>
      </c>
      <c r="X197" s="1">
        <f t="shared" si="120"/>
        <v>0</v>
      </c>
      <c r="Y197" s="1">
        <f t="shared" si="120"/>
        <v>0</v>
      </c>
      <c r="Z197" s="1">
        <f t="shared" si="120"/>
        <v>0</v>
      </c>
      <c r="AA197" s="1">
        <f t="shared" si="120"/>
        <v>0</v>
      </c>
      <c r="AB197" s="1">
        <f t="shared" si="120"/>
        <v>0</v>
      </c>
      <c r="AC197" s="1">
        <f t="shared" si="120"/>
        <v>0</v>
      </c>
      <c r="AD197" s="1">
        <f t="shared" si="120"/>
        <v>0</v>
      </c>
      <c r="AE197" s="1">
        <f t="shared" si="120"/>
        <v>0</v>
      </c>
      <c r="AF197" s="1">
        <f t="shared" si="120"/>
        <v>0</v>
      </c>
      <c r="AG197" s="1">
        <f t="shared" si="120"/>
        <v>0</v>
      </c>
      <c r="AH197" s="1">
        <f t="shared" si="120"/>
        <v>0</v>
      </c>
      <c r="AI197" s="1">
        <f t="shared" si="120"/>
        <v>0</v>
      </c>
      <c r="AJ197" s="1">
        <f t="shared" si="120"/>
        <v>0</v>
      </c>
      <c r="AK197" s="1">
        <f t="shared" si="120"/>
        <v>0</v>
      </c>
      <c r="AL197" s="1">
        <f t="shared" si="120"/>
        <v>0</v>
      </c>
      <c r="AM197" s="1">
        <f t="shared" si="120"/>
        <v>0</v>
      </c>
      <c r="AN197" s="1">
        <f t="shared" si="120"/>
        <v>0</v>
      </c>
      <c r="AO197" s="1">
        <f t="shared" si="120"/>
        <v>0</v>
      </c>
      <c r="AP197" s="1">
        <f t="shared" si="120"/>
        <v>0</v>
      </c>
      <c r="AQ197" s="1">
        <f t="shared" si="120"/>
        <v>0</v>
      </c>
      <c r="AR197" s="1">
        <f t="shared" si="120"/>
        <v>0</v>
      </c>
      <c r="AS197" s="1">
        <f t="shared" si="120"/>
        <v>0</v>
      </c>
      <c r="AT197" s="1">
        <f t="shared" si="120"/>
        <v>0</v>
      </c>
      <c r="AU197" s="1">
        <f t="shared" si="120"/>
        <v>0</v>
      </c>
      <c r="AV197" s="1">
        <f t="shared" si="120"/>
        <v>0</v>
      </c>
      <c r="AW197" s="1">
        <f t="shared" si="120"/>
        <v>0</v>
      </c>
      <c r="AX197" s="1">
        <f t="shared" si="120"/>
        <v>0</v>
      </c>
      <c r="AY197" s="1">
        <f t="shared" si="120"/>
        <v>0</v>
      </c>
      <c r="AZ197" s="1">
        <f t="shared" si="120"/>
        <v>0</v>
      </c>
      <c r="BA197" s="1">
        <f t="shared" si="120"/>
        <v>0</v>
      </c>
    </row>
    <row r="198" spans="1:54" ht="15.75" customHeight="1" x14ac:dyDescent="0.35">
      <c r="B198" s="8"/>
      <c r="C198" s="9" t="s">
        <v>120</v>
      </c>
      <c r="D198" s="9"/>
      <c r="E198" s="9"/>
      <c r="F198" s="9"/>
      <c r="G198" s="9"/>
      <c r="H198" s="9"/>
      <c r="I198" s="9"/>
      <c r="J198" s="9"/>
      <c r="K198" s="9"/>
      <c r="L198" s="8"/>
      <c r="M198" s="8"/>
      <c r="N198" s="10">
        <f>SUM(Q198:BA198)</f>
        <v>0</v>
      </c>
      <c r="O198" s="8"/>
      <c r="P198" s="8"/>
      <c r="Q198" s="10">
        <f t="shared" ref="Q198:BA198" si="121">MIN(MAX(-SUM(Q137,Q143),-Q197),0)</f>
        <v>0</v>
      </c>
      <c r="R198" s="10">
        <f t="shared" si="121"/>
        <v>0</v>
      </c>
      <c r="S198" s="10">
        <f t="shared" si="121"/>
        <v>0</v>
      </c>
      <c r="T198" s="10">
        <f t="shared" si="121"/>
        <v>0</v>
      </c>
      <c r="U198" s="10">
        <f t="shared" si="121"/>
        <v>0</v>
      </c>
      <c r="V198" s="10">
        <f t="shared" si="121"/>
        <v>0</v>
      </c>
      <c r="W198" s="10">
        <f t="shared" si="121"/>
        <v>0</v>
      </c>
      <c r="X198" s="10">
        <f t="shared" si="121"/>
        <v>0</v>
      </c>
      <c r="Y198" s="10">
        <f t="shared" si="121"/>
        <v>0</v>
      </c>
      <c r="Z198" s="10">
        <f t="shared" si="121"/>
        <v>0</v>
      </c>
      <c r="AA198" s="10">
        <f t="shared" si="121"/>
        <v>0</v>
      </c>
      <c r="AB198" s="10">
        <f t="shared" si="121"/>
        <v>0</v>
      </c>
      <c r="AC198" s="10">
        <f t="shared" si="121"/>
        <v>0</v>
      </c>
      <c r="AD198" s="10">
        <f t="shared" si="121"/>
        <v>0</v>
      </c>
      <c r="AE198" s="10">
        <f t="shared" si="121"/>
        <v>0</v>
      </c>
      <c r="AF198" s="10">
        <f t="shared" si="121"/>
        <v>0</v>
      </c>
      <c r="AG198" s="10">
        <f t="shared" si="121"/>
        <v>0</v>
      </c>
      <c r="AH198" s="10">
        <f t="shared" si="121"/>
        <v>0</v>
      </c>
      <c r="AI198" s="10">
        <f t="shared" si="121"/>
        <v>0</v>
      </c>
      <c r="AJ198" s="10">
        <f t="shared" si="121"/>
        <v>0</v>
      </c>
      <c r="AK198" s="10">
        <f t="shared" si="121"/>
        <v>0</v>
      </c>
      <c r="AL198" s="10">
        <f t="shared" si="121"/>
        <v>0</v>
      </c>
      <c r="AM198" s="10">
        <f t="shared" si="121"/>
        <v>0</v>
      </c>
      <c r="AN198" s="10">
        <f t="shared" si="121"/>
        <v>0</v>
      </c>
      <c r="AO198" s="10">
        <f t="shared" si="121"/>
        <v>0</v>
      </c>
      <c r="AP198" s="10">
        <f t="shared" si="121"/>
        <v>0</v>
      </c>
      <c r="AQ198" s="10">
        <f t="shared" si="121"/>
        <v>0</v>
      </c>
      <c r="AR198" s="10">
        <f t="shared" si="121"/>
        <v>0</v>
      </c>
      <c r="AS198" s="10">
        <f t="shared" si="121"/>
        <v>0</v>
      </c>
      <c r="AT198" s="10">
        <f t="shared" si="121"/>
        <v>0</v>
      </c>
      <c r="AU198" s="10">
        <f t="shared" si="121"/>
        <v>0</v>
      </c>
      <c r="AV198" s="10">
        <f t="shared" si="121"/>
        <v>0</v>
      </c>
      <c r="AW198" s="10">
        <f t="shared" si="121"/>
        <v>0</v>
      </c>
      <c r="AX198" s="10">
        <f t="shared" si="121"/>
        <v>0</v>
      </c>
      <c r="AY198" s="10">
        <f t="shared" si="121"/>
        <v>0</v>
      </c>
      <c r="AZ198" s="10">
        <f t="shared" si="121"/>
        <v>0</v>
      </c>
      <c r="BA198" s="10">
        <f t="shared" si="121"/>
        <v>0</v>
      </c>
    </row>
    <row r="199" spans="1:54" ht="15.75" customHeight="1" x14ac:dyDescent="0.35">
      <c r="B199" s="2" t="s">
        <v>85</v>
      </c>
      <c r="C199" s="5"/>
      <c r="D199" s="5"/>
      <c r="E199" s="5"/>
      <c r="F199" s="5"/>
      <c r="G199" s="5"/>
      <c r="H199" s="5"/>
      <c r="I199" s="5"/>
      <c r="J199" s="5"/>
      <c r="K199" s="5"/>
      <c r="Q199" s="1">
        <f t="shared" si="120"/>
        <v>0</v>
      </c>
      <c r="R199" s="1">
        <f t="shared" si="120"/>
        <v>0</v>
      </c>
      <c r="S199" s="1">
        <f t="shared" si="120"/>
        <v>0</v>
      </c>
      <c r="T199" s="1">
        <f t="shared" si="120"/>
        <v>0</v>
      </c>
      <c r="U199" s="1">
        <f t="shared" si="120"/>
        <v>0</v>
      </c>
      <c r="V199" s="1">
        <f t="shared" si="120"/>
        <v>0</v>
      </c>
      <c r="W199" s="1">
        <f t="shared" si="120"/>
        <v>0</v>
      </c>
      <c r="X199" s="1">
        <f t="shared" si="120"/>
        <v>0</v>
      </c>
      <c r="Y199" s="1">
        <f t="shared" si="120"/>
        <v>0</v>
      </c>
      <c r="Z199" s="1">
        <f t="shared" si="120"/>
        <v>0</v>
      </c>
      <c r="AA199" s="1">
        <f t="shared" si="120"/>
        <v>0</v>
      </c>
      <c r="AB199" s="1">
        <f t="shared" si="120"/>
        <v>0</v>
      </c>
      <c r="AC199" s="1">
        <f t="shared" si="120"/>
        <v>0</v>
      </c>
      <c r="AD199" s="1">
        <f t="shared" si="120"/>
        <v>0</v>
      </c>
      <c r="AE199" s="1">
        <f t="shared" si="120"/>
        <v>0</v>
      </c>
      <c r="AF199" s="1">
        <f t="shared" si="120"/>
        <v>0</v>
      </c>
      <c r="AG199" s="1">
        <f t="shared" si="120"/>
        <v>0</v>
      </c>
      <c r="AH199" s="1">
        <f t="shared" si="120"/>
        <v>0</v>
      </c>
      <c r="AI199" s="1">
        <f t="shared" si="120"/>
        <v>0</v>
      </c>
      <c r="AJ199" s="1">
        <f t="shared" si="120"/>
        <v>0</v>
      </c>
      <c r="AK199" s="1">
        <f t="shared" si="120"/>
        <v>0</v>
      </c>
      <c r="AL199" s="1">
        <f t="shared" si="120"/>
        <v>0</v>
      </c>
      <c r="AM199" s="1">
        <f t="shared" si="120"/>
        <v>0</v>
      </c>
      <c r="AN199" s="1">
        <f t="shared" si="120"/>
        <v>0</v>
      </c>
      <c r="AO199" s="1">
        <f t="shared" si="120"/>
        <v>0</v>
      </c>
      <c r="AP199" s="1">
        <f t="shared" si="120"/>
        <v>0</v>
      </c>
      <c r="AQ199" s="1">
        <f t="shared" si="120"/>
        <v>0</v>
      </c>
      <c r="AR199" s="1">
        <f t="shared" si="120"/>
        <v>0</v>
      </c>
      <c r="AS199" s="1">
        <f t="shared" si="120"/>
        <v>0</v>
      </c>
      <c r="AT199" s="1">
        <f t="shared" si="120"/>
        <v>0</v>
      </c>
      <c r="AU199" s="1">
        <f t="shared" si="120"/>
        <v>0</v>
      </c>
      <c r="AV199" s="1">
        <f t="shared" si="120"/>
        <v>0</v>
      </c>
      <c r="AW199" s="1">
        <f t="shared" si="120"/>
        <v>0</v>
      </c>
      <c r="AX199" s="1">
        <f t="shared" si="120"/>
        <v>0</v>
      </c>
      <c r="AY199" s="1">
        <f t="shared" si="120"/>
        <v>0</v>
      </c>
      <c r="AZ199" s="1">
        <f t="shared" si="120"/>
        <v>0</v>
      </c>
      <c r="BA199" s="1">
        <f t="shared" si="120"/>
        <v>0</v>
      </c>
    </row>
    <row r="200" spans="1:54" ht="15.75" customHeight="1" x14ac:dyDescent="0.35">
      <c r="B200" s="8"/>
      <c r="C200" s="9" t="s">
        <v>57</v>
      </c>
      <c r="D200" s="9"/>
      <c r="E200" s="9"/>
      <c r="F200" s="9"/>
      <c r="G200" s="9"/>
      <c r="H200" s="9"/>
      <c r="I200" s="9"/>
      <c r="J200" s="9"/>
      <c r="K200" s="9"/>
      <c r="L200" s="8"/>
      <c r="M200" s="8"/>
      <c r="N200" s="10">
        <f>SUM(Q200:BA200)</f>
        <v>0</v>
      </c>
      <c r="O200" s="8"/>
      <c r="P200" s="8"/>
      <c r="Q200" s="10">
        <f t="shared" ref="Q200:AX200" si="122">MIN(-Q199,0)</f>
        <v>0</v>
      </c>
      <c r="R200" s="10">
        <f t="shared" si="122"/>
        <v>0</v>
      </c>
      <c r="S200" s="10">
        <f t="shared" si="122"/>
        <v>0</v>
      </c>
      <c r="T200" s="10">
        <f t="shared" si="122"/>
        <v>0</v>
      </c>
      <c r="U200" s="10">
        <f t="shared" si="122"/>
        <v>0</v>
      </c>
      <c r="V200" s="10">
        <f t="shared" si="122"/>
        <v>0</v>
      </c>
      <c r="W200" s="10">
        <f t="shared" si="122"/>
        <v>0</v>
      </c>
      <c r="X200" s="10">
        <f t="shared" si="122"/>
        <v>0</v>
      </c>
      <c r="Y200" s="10">
        <f t="shared" si="122"/>
        <v>0</v>
      </c>
      <c r="Z200" s="10">
        <f t="shared" si="122"/>
        <v>0</v>
      </c>
      <c r="AA200" s="10">
        <f t="shared" si="122"/>
        <v>0</v>
      </c>
      <c r="AB200" s="10">
        <f t="shared" si="122"/>
        <v>0</v>
      </c>
      <c r="AC200" s="10">
        <f t="shared" si="122"/>
        <v>0</v>
      </c>
      <c r="AD200" s="10">
        <f t="shared" si="122"/>
        <v>0</v>
      </c>
      <c r="AE200" s="10">
        <f t="shared" si="122"/>
        <v>0</v>
      </c>
      <c r="AF200" s="10">
        <f t="shared" si="122"/>
        <v>0</v>
      </c>
      <c r="AG200" s="10">
        <f t="shared" si="122"/>
        <v>0</v>
      </c>
      <c r="AH200" s="10">
        <f t="shared" si="122"/>
        <v>0</v>
      </c>
      <c r="AI200" s="10">
        <f t="shared" si="122"/>
        <v>0</v>
      </c>
      <c r="AJ200" s="10">
        <f t="shared" si="122"/>
        <v>0</v>
      </c>
      <c r="AK200" s="10">
        <f t="shared" si="122"/>
        <v>0</v>
      </c>
      <c r="AL200" s="10">
        <f t="shared" si="122"/>
        <v>0</v>
      </c>
      <c r="AM200" s="10">
        <f t="shared" si="122"/>
        <v>0</v>
      </c>
      <c r="AN200" s="10">
        <f t="shared" si="122"/>
        <v>0</v>
      </c>
      <c r="AO200" s="10">
        <f t="shared" si="122"/>
        <v>0</v>
      </c>
      <c r="AP200" s="10">
        <f t="shared" si="122"/>
        <v>0</v>
      </c>
      <c r="AQ200" s="10">
        <f t="shared" si="122"/>
        <v>0</v>
      </c>
      <c r="AR200" s="10">
        <f t="shared" si="122"/>
        <v>0</v>
      </c>
      <c r="AS200" s="10">
        <f t="shared" si="122"/>
        <v>0</v>
      </c>
      <c r="AT200" s="10">
        <f t="shared" si="122"/>
        <v>0</v>
      </c>
      <c r="AU200" s="10">
        <f t="shared" si="122"/>
        <v>0</v>
      </c>
      <c r="AV200" s="10">
        <f t="shared" si="122"/>
        <v>0</v>
      </c>
      <c r="AW200" s="10">
        <f t="shared" si="122"/>
        <v>0</v>
      </c>
      <c r="AX200" s="10">
        <f t="shared" si="122"/>
        <v>0</v>
      </c>
      <c r="AY200" s="10">
        <f>MIN(-AY199,0)</f>
        <v>0</v>
      </c>
      <c r="AZ200" s="10">
        <f t="shared" ref="AZ200:BA200" si="123">MIN(-AZ199,0)</f>
        <v>0</v>
      </c>
      <c r="BA200" s="10">
        <f t="shared" si="123"/>
        <v>0</v>
      </c>
    </row>
    <row r="201" spans="1:54" ht="15.75" customHeight="1" x14ac:dyDescent="0.35">
      <c r="B201" s="2" t="s">
        <v>60</v>
      </c>
      <c r="C201" s="5"/>
      <c r="D201" s="5"/>
      <c r="E201" s="5"/>
      <c r="F201" s="5"/>
      <c r="G201" s="5"/>
      <c r="H201" s="5"/>
      <c r="I201" s="5"/>
      <c r="J201" s="5"/>
      <c r="K201" s="5"/>
      <c r="Q201" s="1">
        <f t="shared" ref="Q201" si="124">SUM(Q199:Q200)</f>
        <v>0</v>
      </c>
      <c r="R201" s="1">
        <f>SUM(R199:R200)</f>
        <v>0</v>
      </c>
      <c r="S201" s="1">
        <f t="shared" ref="S201:BA201" si="125">SUM(S199:S200)</f>
        <v>0</v>
      </c>
      <c r="T201" s="1">
        <f t="shared" si="125"/>
        <v>0</v>
      </c>
      <c r="U201" s="1">
        <f t="shared" si="125"/>
        <v>0</v>
      </c>
      <c r="V201" s="1">
        <f t="shared" si="125"/>
        <v>0</v>
      </c>
      <c r="W201" s="1">
        <f t="shared" si="125"/>
        <v>0</v>
      </c>
      <c r="X201" s="1">
        <f t="shared" si="125"/>
        <v>0</v>
      </c>
      <c r="Y201" s="1">
        <f t="shared" si="125"/>
        <v>0</v>
      </c>
      <c r="Z201" s="1">
        <f t="shared" si="125"/>
        <v>0</v>
      </c>
      <c r="AA201" s="1">
        <f t="shared" si="125"/>
        <v>0</v>
      </c>
      <c r="AB201" s="1">
        <f t="shared" si="125"/>
        <v>0</v>
      </c>
      <c r="AC201" s="1">
        <f t="shared" si="125"/>
        <v>0</v>
      </c>
      <c r="AD201" s="1">
        <f t="shared" si="125"/>
        <v>0</v>
      </c>
      <c r="AE201" s="1">
        <f t="shared" si="125"/>
        <v>0</v>
      </c>
      <c r="AF201" s="1">
        <f t="shared" si="125"/>
        <v>0</v>
      </c>
      <c r="AG201" s="1">
        <f t="shared" si="125"/>
        <v>0</v>
      </c>
      <c r="AH201" s="1">
        <f t="shared" si="125"/>
        <v>0</v>
      </c>
      <c r="AI201" s="1">
        <f t="shared" si="125"/>
        <v>0</v>
      </c>
      <c r="AJ201" s="1">
        <f t="shared" si="125"/>
        <v>0</v>
      </c>
      <c r="AK201" s="1">
        <f t="shared" si="125"/>
        <v>0</v>
      </c>
      <c r="AL201" s="1">
        <f t="shared" si="125"/>
        <v>0</v>
      </c>
      <c r="AM201" s="1">
        <f t="shared" si="125"/>
        <v>0</v>
      </c>
      <c r="AN201" s="1">
        <f t="shared" si="125"/>
        <v>0</v>
      </c>
      <c r="AO201" s="1">
        <f t="shared" si="125"/>
        <v>0</v>
      </c>
      <c r="AP201" s="1">
        <f t="shared" si="125"/>
        <v>0</v>
      </c>
      <c r="AQ201" s="1">
        <f t="shared" si="125"/>
        <v>0</v>
      </c>
      <c r="AR201" s="1">
        <f t="shared" si="125"/>
        <v>0</v>
      </c>
      <c r="AS201" s="1">
        <f t="shared" si="125"/>
        <v>0</v>
      </c>
      <c r="AT201" s="1">
        <f t="shared" si="125"/>
        <v>0</v>
      </c>
      <c r="AU201" s="1">
        <f t="shared" si="125"/>
        <v>0</v>
      </c>
      <c r="AV201" s="1">
        <f t="shared" si="125"/>
        <v>0</v>
      </c>
      <c r="AW201" s="1">
        <f t="shared" si="125"/>
        <v>0</v>
      </c>
      <c r="AX201" s="1">
        <f t="shared" si="125"/>
        <v>0</v>
      </c>
      <c r="AY201" s="1">
        <f t="shared" si="125"/>
        <v>0</v>
      </c>
      <c r="AZ201" s="1">
        <f t="shared" si="125"/>
        <v>0</v>
      </c>
      <c r="BA201" s="1">
        <f t="shared" si="125"/>
        <v>0</v>
      </c>
    </row>
    <row r="202" spans="1:54" x14ac:dyDescent="0.35"/>
    <row r="203" spans="1:54" ht="15.75" customHeight="1" thickBot="1" x14ac:dyDescent="0.4">
      <c r="A203" s="44" t="s">
        <v>59</v>
      </c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5"/>
    </row>
    <row r="204" spans="1:54" ht="15" thickTop="1" x14ac:dyDescent="0.35"/>
    <row r="205" spans="1:54" ht="15.75" customHeight="1" x14ac:dyDescent="0.35">
      <c r="C205" s="2" t="s">
        <v>104</v>
      </c>
      <c r="D205" s="5"/>
      <c r="E205" s="5"/>
      <c r="F205" s="5"/>
      <c r="G205" s="5"/>
      <c r="H205" s="5"/>
      <c r="I205" s="5"/>
      <c r="J205" s="5"/>
      <c r="K205" s="5"/>
      <c r="L205" s="5"/>
      <c r="N205" s="1">
        <f>SUM(Q205:BA205)</f>
        <v>0</v>
      </c>
      <c r="Q205" s="1">
        <f t="shared" ref="Q205:BA205" si="126">-Q113</f>
        <v>0</v>
      </c>
      <c r="R205" s="1">
        <f t="shared" si="126"/>
        <v>0</v>
      </c>
      <c r="S205" s="1">
        <f t="shared" si="126"/>
        <v>0</v>
      </c>
      <c r="T205" s="1">
        <f t="shared" si="126"/>
        <v>0</v>
      </c>
      <c r="U205" s="1">
        <f t="shared" si="126"/>
        <v>0</v>
      </c>
      <c r="V205" s="1">
        <f t="shared" si="126"/>
        <v>0</v>
      </c>
      <c r="W205" s="1">
        <f t="shared" si="126"/>
        <v>0</v>
      </c>
      <c r="X205" s="1">
        <f t="shared" si="126"/>
        <v>0</v>
      </c>
      <c r="Y205" s="1">
        <f t="shared" si="126"/>
        <v>0</v>
      </c>
      <c r="Z205" s="1">
        <f t="shared" si="126"/>
        <v>0</v>
      </c>
      <c r="AA205" s="1">
        <f t="shared" si="126"/>
        <v>0</v>
      </c>
      <c r="AB205" s="1">
        <f t="shared" si="126"/>
        <v>0</v>
      </c>
      <c r="AC205" s="1">
        <f t="shared" si="126"/>
        <v>0</v>
      </c>
      <c r="AD205" s="1">
        <f t="shared" si="126"/>
        <v>0</v>
      </c>
      <c r="AE205" s="1">
        <f t="shared" si="126"/>
        <v>0</v>
      </c>
      <c r="AF205" s="1">
        <f t="shared" si="126"/>
        <v>0</v>
      </c>
      <c r="AG205" s="1">
        <f t="shared" si="126"/>
        <v>0</v>
      </c>
      <c r="AH205" s="1">
        <f t="shared" si="126"/>
        <v>0</v>
      </c>
      <c r="AI205" s="1">
        <f t="shared" si="126"/>
        <v>0</v>
      </c>
      <c r="AJ205" s="1">
        <f t="shared" si="126"/>
        <v>0</v>
      </c>
      <c r="AK205" s="1">
        <f t="shared" si="126"/>
        <v>0</v>
      </c>
      <c r="AL205" s="1">
        <f t="shared" si="126"/>
        <v>0</v>
      </c>
      <c r="AM205" s="1">
        <f t="shared" si="126"/>
        <v>0</v>
      </c>
      <c r="AN205" s="1">
        <f t="shared" si="126"/>
        <v>0</v>
      </c>
      <c r="AO205" s="1">
        <f t="shared" si="126"/>
        <v>0</v>
      </c>
      <c r="AP205" s="1">
        <f t="shared" si="126"/>
        <v>0</v>
      </c>
      <c r="AQ205" s="1">
        <f t="shared" si="126"/>
        <v>0</v>
      </c>
      <c r="AR205" s="1">
        <f t="shared" si="126"/>
        <v>0</v>
      </c>
      <c r="AS205" s="1">
        <f t="shared" si="126"/>
        <v>0</v>
      </c>
      <c r="AT205" s="1">
        <f t="shared" si="126"/>
        <v>0</v>
      </c>
      <c r="AU205" s="1">
        <f t="shared" si="126"/>
        <v>0</v>
      </c>
      <c r="AV205" s="1">
        <f t="shared" si="126"/>
        <v>0</v>
      </c>
      <c r="AW205" s="1">
        <f t="shared" si="126"/>
        <v>0</v>
      </c>
      <c r="AX205" s="1">
        <f t="shared" si="126"/>
        <v>0</v>
      </c>
      <c r="AY205" s="1">
        <f t="shared" si="126"/>
        <v>0</v>
      </c>
      <c r="AZ205" s="1">
        <f t="shared" si="126"/>
        <v>0</v>
      </c>
      <c r="BA205" s="1">
        <f t="shared" si="126"/>
        <v>0</v>
      </c>
    </row>
    <row r="206" spans="1:54" ht="15.75" customHeight="1" x14ac:dyDescent="0.35">
      <c r="C206" s="2" t="s">
        <v>21</v>
      </c>
      <c r="D206" s="5"/>
      <c r="E206" s="5"/>
      <c r="F206" s="5"/>
      <c r="G206" s="5"/>
      <c r="H206" s="5"/>
      <c r="I206" s="5"/>
      <c r="J206" s="5"/>
      <c r="K206" s="5"/>
      <c r="L206" s="5"/>
      <c r="N206" s="1">
        <f>SUM(Q206:BA206)</f>
        <v>0</v>
      </c>
      <c r="Q206" s="1">
        <f t="shared" ref="Q206:BA206" si="127">-Q194</f>
        <v>0</v>
      </c>
      <c r="R206" s="1">
        <f t="shared" si="127"/>
        <v>0</v>
      </c>
      <c r="S206" s="1">
        <f t="shared" si="127"/>
        <v>0</v>
      </c>
      <c r="T206" s="1">
        <f t="shared" si="127"/>
        <v>0</v>
      </c>
      <c r="U206" s="1">
        <f t="shared" si="127"/>
        <v>0</v>
      </c>
      <c r="V206" s="1">
        <f t="shared" si="127"/>
        <v>0</v>
      </c>
      <c r="W206" s="1">
        <f t="shared" si="127"/>
        <v>0</v>
      </c>
      <c r="X206" s="1">
        <f t="shared" si="127"/>
        <v>0</v>
      </c>
      <c r="Y206" s="1">
        <f t="shared" si="127"/>
        <v>0</v>
      </c>
      <c r="Z206" s="1">
        <f t="shared" si="127"/>
        <v>0</v>
      </c>
      <c r="AA206" s="1">
        <f t="shared" si="127"/>
        <v>0</v>
      </c>
      <c r="AB206" s="1">
        <f t="shared" si="127"/>
        <v>0</v>
      </c>
      <c r="AC206" s="1">
        <f t="shared" si="127"/>
        <v>0</v>
      </c>
      <c r="AD206" s="1">
        <f t="shared" si="127"/>
        <v>0</v>
      </c>
      <c r="AE206" s="1">
        <f t="shared" si="127"/>
        <v>0</v>
      </c>
      <c r="AF206" s="1">
        <f t="shared" si="127"/>
        <v>0</v>
      </c>
      <c r="AG206" s="1">
        <f t="shared" si="127"/>
        <v>0</v>
      </c>
      <c r="AH206" s="1">
        <f t="shared" si="127"/>
        <v>0</v>
      </c>
      <c r="AI206" s="1">
        <f t="shared" si="127"/>
        <v>0</v>
      </c>
      <c r="AJ206" s="1">
        <f t="shared" si="127"/>
        <v>0</v>
      </c>
      <c r="AK206" s="1">
        <f t="shared" si="127"/>
        <v>0</v>
      </c>
      <c r="AL206" s="1">
        <f t="shared" si="127"/>
        <v>0</v>
      </c>
      <c r="AM206" s="1">
        <f t="shared" si="127"/>
        <v>0</v>
      </c>
      <c r="AN206" s="1">
        <f t="shared" si="127"/>
        <v>0</v>
      </c>
      <c r="AO206" s="1">
        <f t="shared" si="127"/>
        <v>0</v>
      </c>
      <c r="AP206" s="1">
        <f t="shared" si="127"/>
        <v>0</v>
      </c>
      <c r="AQ206" s="1">
        <f t="shared" si="127"/>
        <v>0</v>
      </c>
      <c r="AR206" s="1">
        <f t="shared" si="127"/>
        <v>0</v>
      </c>
      <c r="AS206" s="1">
        <f t="shared" si="127"/>
        <v>0</v>
      </c>
      <c r="AT206" s="1">
        <f t="shared" si="127"/>
        <v>0</v>
      </c>
      <c r="AU206" s="1">
        <f t="shared" si="127"/>
        <v>0</v>
      </c>
      <c r="AV206" s="1">
        <f t="shared" si="127"/>
        <v>0</v>
      </c>
      <c r="AW206" s="1">
        <f t="shared" si="127"/>
        <v>0</v>
      </c>
      <c r="AX206" s="1">
        <f t="shared" si="127"/>
        <v>0</v>
      </c>
      <c r="AY206" s="1">
        <f t="shared" si="127"/>
        <v>0</v>
      </c>
      <c r="AZ206" s="1">
        <f t="shared" si="127"/>
        <v>0</v>
      </c>
      <c r="BA206" s="1">
        <f t="shared" si="127"/>
        <v>0</v>
      </c>
    </row>
    <row r="207" spans="1:54" ht="15.75" customHeight="1" x14ac:dyDescent="0.35">
      <c r="B207" s="8"/>
      <c r="C207" s="8" t="s">
        <v>57</v>
      </c>
      <c r="D207" s="9"/>
      <c r="E207" s="9"/>
      <c r="F207" s="9"/>
      <c r="G207" s="9"/>
      <c r="H207" s="9"/>
      <c r="I207" s="9"/>
      <c r="J207" s="9"/>
      <c r="K207" s="9"/>
      <c r="L207" s="9"/>
      <c r="M207" s="8"/>
      <c r="N207" s="10">
        <f>SUM(Q207:BA207)</f>
        <v>0</v>
      </c>
      <c r="O207" s="8"/>
      <c r="P207" s="8"/>
      <c r="Q207" s="10">
        <f t="shared" ref="Q207:BA207" si="128">-Q116</f>
        <v>0</v>
      </c>
      <c r="R207" s="10">
        <f t="shared" si="128"/>
        <v>0</v>
      </c>
      <c r="S207" s="10">
        <f t="shared" si="128"/>
        <v>0</v>
      </c>
      <c r="T207" s="10">
        <f t="shared" si="128"/>
        <v>0</v>
      </c>
      <c r="U207" s="10">
        <f t="shared" si="128"/>
        <v>0</v>
      </c>
      <c r="V207" s="10">
        <f t="shared" si="128"/>
        <v>0</v>
      </c>
      <c r="W207" s="10">
        <f t="shared" si="128"/>
        <v>0</v>
      </c>
      <c r="X207" s="10">
        <f t="shared" si="128"/>
        <v>0</v>
      </c>
      <c r="Y207" s="10">
        <f t="shared" si="128"/>
        <v>0</v>
      </c>
      <c r="Z207" s="10">
        <f t="shared" si="128"/>
        <v>0</v>
      </c>
      <c r="AA207" s="10">
        <f t="shared" si="128"/>
        <v>0</v>
      </c>
      <c r="AB207" s="10">
        <f t="shared" si="128"/>
        <v>0</v>
      </c>
      <c r="AC207" s="10">
        <f t="shared" si="128"/>
        <v>0</v>
      </c>
      <c r="AD207" s="10">
        <f t="shared" si="128"/>
        <v>0</v>
      </c>
      <c r="AE207" s="10">
        <f t="shared" si="128"/>
        <v>0</v>
      </c>
      <c r="AF207" s="10">
        <f t="shared" si="128"/>
        <v>0</v>
      </c>
      <c r="AG207" s="10">
        <f t="shared" si="128"/>
        <v>0</v>
      </c>
      <c r="AH207" s="10">
        <f t="shared" si="128"/>
        <v>0</v>
      </c>
      <c r="AI207" s="10">
        <f t="shared" si="128"/>
        <v>0</v>
      </c>
      <c r="AJ207" s="10">
        <f t="shared" si="128"/>
        <v>0</v>
      </c>
      <c r="AK207" s="10">
        <f t="shared" si="128"/>
        <v>0</v>
      </c>
      <c r="AL207" s="10">
        <f t="shared" si="128"/>
        <v>0</v>
      </c>
      <c r="AM207" s="10">
        <f t="shared" si="128"/>
        <v>0</v>
      </c>
      <c r="AN207" s="10">
        <f t="shared" si="128"/>
        <v>0</v>
      </c>
      <c r="AO207" s="10">
        <f t="shared" si="128"/>
        <v>0</v>
      </c>
      <c r="AP207" s="10">
        <f t="shared" si="128"/>
        <v>0</v>
      </c>
      <c r="AQ207" s="10">
        <f t="shared" si="128"/>
        <v>0</v>
      </c>
      <c r="AR207" s="10">
        <f t="shared" si="128"/>
        <v>0</v>
      </c>
      <c r="AS207" s="10">
        <f t="shared" si="128"/>
        <v>0</v>
      </c>
      <c r="AT207" s="10">
        <f t="shared" si="128"/>
        <v>0</v>
      </c>
      <c r="AU207" s="10">
        <f t="shared" si="128"/>
        <v>0</v>
      </c>
      <c r="AV207" s="10">
        <f t="shared" si="128"/>
        <v>0</v>
      </c>
      <c r="AW207" s="10">
        <f t="shared" si="128"/>
        <v>0</v>
      </c>
      <c r="AX207" s="10">
        <f t="shared" si="128"/>
        <v>0</v>
      </c>
      <c r="AY207" s="10">
        <f t="shared" si="128"/>
        <v>0</v>
      </c>
      <c r="AZ207" s="10">
        <f t="shared" si="128"/>
        <v>0</v>
      </c>
      <c r="BA207" s="10">
        <f t="shared" si="128"/>
        <v>0</v>
      </c>
    </row>
    <row r="208" spans="1:54" ht="15.75" customHeight="1" x14ac:dyDescent="0.35">
      <c r="B208" s="2" t="s">
        <v>22</v>
      </c>
      <c r="D208" s="5"/>
      <c r="E208" s="5"/>
      <c r="F208" s="5"/>
      <c r="G208" s="5"/>
      <c r="H208" s="5"/>
      <c r="I208" s="5"/>
      <c r="J208" s="5"/>
      <c r="K208" s="5"/>
      <c r="L208" s="5"/>
      <c r="N208" s="11">
        <f>SUM(Q208:BA208)</f>
        <v>0</v>
      </c>
      <c r="Q208" s="11">
        <f t="shared" ref="Q208:BA208" si="129">SUM(Q205:Q207)</f>
        <v>0</v>
      </c>
      <c r="R208" s="11">
        <f t="shared" si="129"/>
        <v>0</v>
      </c>
      <c r="S208" s="11">
        <f t="shared" si="129"/>
        <v>0</v>
      </c>
      <c r="T208" s="11">
        <f t="shared" si="129"/>
        <v>0</v>
      </c>
      <c r="U208" s="11">
        <f t="shared" si="129"/>
        <v>0</v>
      </c>
      <c r="V208" s="11">
        <f t="shared" si="129"/>
        <v>0</v>
      </c>
      <c r="W208" s="11">
        <f t="shared" si="129"/>
        <v>0</v>
      </c>
      <c r="X208" s="11">
        <f t="shared" si="129"/>
        <v>0</v>
      </c>
      <c r="Y208" s="11">
        <f t="shared" si="129"/>
        <v>0</v>
      </c>
      <c r="Z208" s="11">
        <f t="shared" si="129"/>
        <v>0</v>
      </c>
      <c r="AA208" s="11">
        <f t="shared" si="129"/>
        <v>0</v>
      </c>
      <c r="AB208" s="11">
        <f t="shared" si="129"/>
        <v>0</v>
      </c>
      <c r="AC208" s="11">
        <f t="shared" si="129"/>
        <v>0</v>
      </c>
      <c r="AD208" s="11">
        <f t="shared" si="129"/>
        <v>0</v>
      </c>
      <c r="AE208" s="11">
        <f t="shared" si="129"/>
        <v>0</v>
      </c>
      <c r="AF208" s="11">
        <f t="shared" si="129"/>
        <v>0</v>
      </c>
      <c r="AG208" s="11">
        <f t="shared" si="129"/>
        <v>0</v>
      </c>
      <c r="AH208" s="11">
        <f t="shared" si="129"/>
        <v>0</v>
      </c>
      <c r="AI208" s="11">
        <f t="shared" si="129"/>
        <v>0</v>
      </c>
      <c r="AJ208" s="11">
        <f t="shared" si="129"/>
        <v>0</v>
      </c>
      <c r="AK208" s="11">
        <f t="shared" si="129"/>
        <v>0</v>
      </c>
      <c r="AL208" s="11">
        <f t="shared" si="129"/>
        <v>0</v>
      </c>
      <c r="AM208" s="11">
        <f t="shared" si="129"/>
        <v>0</v>
      </c>
      <c r="AN208" s="11">
        <f t="shared" si="129"/>
        <v>0</v>
      </c>
      <c r="AO208" s="11">
        <f t="shared" si="129"/>
        <v>0</v>
      </c>
      <c r="AP208" s="11">
        <f t="shared" si="129"/>
        <v>0</v>
      </c>
      <c r="AQ208" s="11">
        <f t="shared" si="129"/>
        <v>0</v>
      </c>
      <c r="AR208" s="11">
        <f t="shared" si="129"/>
        <v>0</v>
      </c>
      <c r="AS208" s="11">
        <f t="shared" si="129"/>
        <v>0</v>
      </c>
      <c r="AT208" s="11">
        <f t="shared" si="129"/>
        <v>0</v>
      </c>
      <c r="AU208" s="11">
        <f t="shared" si="129"/>
        <v>0</v>
      </c>
      <c r="AV208" s="11">
        <f t="shared" si="129"/>
        <v>0</v>
      </c>
      <c r="AW208" s="11">
        <f t="shared" si="129"/>
        <v>0</v>
      </c>
      <c r="AX208" s="11">
        <f t="shared" si="129"/>
        <v>0</v>
      </c>
      <c r="AY208" s="11">
        <f t="shared" si="129"/>
        <v>0</v>
      </c>
      <c r="AZ208" s="11">
        <f t="shared" si="129"/>
        <v>0</v>
      </c>
      <c r="BA208" s="11">
        <f t="shared" si="129"/>
        <v>0</v>
      </c>
    </row>
    <row r="209" spans="2:14" x14ac:dyDescent="0.35"/>
    <row r="210" spans="2:14" ht="15.75" customHeight="1" x14ac:dyDescent="0.35">
      <c r="B210" s="2" t="s">
        <v>58</v>
      </c>
      <c r="D210" s="5"/>
      <c r="E210" s="5"/>
      <c r="F210" s="5"/>
      <c r="G210" s="5"/>
      <c r="H210" s="5"/>
      <c r="I210" s="5"/>
      <c r="J210" s="5"/>
      <c r="K210" s="5"/>
      <c r="L210" s="5"/>
      <c r="N210" s="12">
        <f>IFERROR(IRR(Q208:BA208),0)</f>
        <v>0</v>
      </c>
    </row>
    <row r="211" spans="2:14" x14ac:dyDescent="0.35"/>
  </sheetData>
  <sheetProtection algorithmName="SHA-512" hashValue="ANK6ms/8mxV+aC/7Dvw+LpKaxdm9nKErqwzFeBsGswW+bWR4edQlEJz1rMXUMjcWwYiWDpxaqXy3FWZ5JPtdjg==" saltValue="0C7LV08WbUQLRsEVFy/rIQ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1FD9B-3F59-45A4-B965-0E1908C20CB5}">
  <sheetPr codeName="Sheet4">
    <tabColor theme="2"/>
  </sheetPr>
  <dimension ref="A1:BC12"/>
  <sheetViews>
    <sheetView zoomScale="90" zoomScaleNormal="90" zoomScaleSheetLayoutView="111" workbookViewId="0">
      <pane xSplit="1" ySplit="2" topLeftCell="B3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defaultColWidth="0" defaultRowHeight="14.5" zeroHeight="1" x14ac:dyDescent="0.35"/>
  <cols>
    <col min="1" max="1" width="26.26953125" style="2" customWidth="1"/>
    <col min="2" max="2" width="105.26953125" style="2" customWidth="1"/>
    <col min="3" max="5" width="3.453125" hidden="1" customWidth="1"/>
    <col min="6" max="13" width="9.1796875" hidden="1" customWidth="1"/>
    <col min="14" max="14" width="15" hidden="1" customWidth="1"/>
    <col min="15" max="15" width="3.26953125" hidden="1" customWidth="1"/>
    <col min="16" max="16" width="9.1796875" hidden="1" customWidth="1"/>
    <col min="17" max="55" width="14.7265625" hidden="1" customWidth="1"/>
    <col min="56" max="16384" width="9.1796875" hidden="1"/>
  </cols>
  <sheetData>
    <row r="1" spans="1:2" ht="17.25" customHeight="1" x14ac:dyDescent="0.35">
      <c r="A1" s="159" t="s">
        <v>175</v>
      </c>
      <c r="B1" s="160"/>
    </row>
    <row r="2" spans="1:2" ht="22.5" customHeight="1" thickBot="1" x14ac:dyDescent="0.4">
      <c r="A2" s="67" t="s">
        <v>176</v>
      </c>
      <c r="B2" s="68" t="s">
        <v>229</v>
      </c>
    </row>
    <row r="3" spans="1:2" ht="33" customHeight="1" x14ac:dyDescent="0.35">
      <c r="A3" s="164" t="s">
        <v>234</v>
      </c>
      <c r="B3" s="97" t="str">
        <f>"Prognoza inflacji bazuje na: "&amp;'zakładka techniczna'!Q6</f>
        <v>Prognoza inflacji bazuje na: Prognozy NBP z listopada 2025 r. za okres 2025-2027, zaś w kolejnych latach przyjmujemy wskaźnik inflacji będzie znajdował w środku celu inflacyjnego (2,5%).</v>
      </c>
    </row>
    <row r="4" spans="1:2" ht="48" customHeight="1" x14ac:dyDescent="0.35">
      <c r="A4" s="164"/>
      <c r="B4" s="98" t="str">
        <f>'zakładka techniczna'!Q7</f>
        <v>Założenia w zakresie WIBOR na lata 2025-2027 przyjęto na podstawie prognozy NBP z dn. 7 listopada 2025 r. W kolejnych latach stopę WIBOR przyjęto na poziomie 1 p.p. powyżej prognozy inflacji.</v>
      </c>
    </row>
    <row r="5" spans="1:2" ht="42" customHeight="1" x14ac:dyDescent="0.35">
      <c r="A5" s="163" t="s">
        <v>17</v>
      </c>
      <c r="B5" s="99" t="s">
        <v>235</v>
      </c>
    </row>
    <row r="6" spans="1:2" ht="55.5" customHeight="1" x14ac:dyDescent="0.35">
      <c r="A6" s="164"/>
      <c r="B6" s="97" t="s">
        <v>236</v>
      </c>
    </row>
    <row r="7" spans="1:2" ht="39.75" customHeight="1" x14ac:dyDescent="0.35">
      <c r="A7" s="164"/>
      <c r="B7" s="97" t="s">
        <v>243</v>
      </c>
    </row>
    <row r="8" spans="1:2" ht="42.75" customHeight="1" x14ac:dyDescent="0.35">
      <c r="A8" s="165"/>
      <c r="B8" s="100" t="s">
        <v>244</v>
      </c>
    </row>
    <row r="9" spans="1:2" ht="40.5" customHeight="1" x14ac:dyDescent="0.35">
      <c r="A9" s="161" t="s">
        <v>238</v>
      </c>
      <c r="B9" s="99" t="str">
        <f>"Finansowanie projektu dzieli się na finansowanie kapitałowe ("&amp;TEXT('zakładka techniczna'!N18,"0,00%")&amp;"), finansowanie zwrotne podporządkowane ("&amp;TEXT('zakładka techniczna'!N19,"0,00%")&amp;") oraz finansowanie zwrotne bankowe ("&amp;TEXT('zakładka techniczna'!N20,"0,00%")&amp;")."</f>
        <v>Finansowanie projektu dzieli się na finansowanie kapitałowe (10,00%), finansowanie zwrotne podporządkowane (10,00%) oraz finansowanie zwrotne bankowe (80,00%).</v>
      </c>
    </row>
    <row r="10" spans="1:2" ht="62.25" customHeight="1" x14ac:dyDescent="0.35">
      <c r="A10" s="161"/>
      <c r="B10" s="98" t="str">
        <f>"Koszt finansowania kapitałowego przyjęto na poziomie "&amp;TEXT('zakładka techniczna'!N26,"0,00%")&amp;" IRR; koszt finansowania zwrotnego podporządkowanego przyjęto na poziomie WIBOR plus "&amp;TEXT('zakładka techniczna'!N23,"0,00%")&amp;" marży oraz "&amp;TEXT('zakładka techniczna'!N24,"0,00%")&amp;" dodatkowanej marży za podporządkowanie; koszt finansowania zwrotnego bankowego przyjęto na poziomie WIBOR plus "&amp;TEXT('zakładka techniczna'!N23,"0,00%")&amp;" marży. Ponadto założono brak dodatkowej prowizji za wcześniejszą spłatę finansowania zwrotnego."</f>
        <v>Koszt finansowania kapitałowego przyjęto na poziomie 12,00% IRR; koszt finansowania zwrotnego podporządkowanego przyjęto na poziomie WIBOR plus 2,50% marży oraz 1,50% dodatkowanej marży za podporządkowanie; koszt finansowania zwrotnego bankowego przyjęto na poziomie WIBOR plus 2,50% marży. Ponadto założono brak dodatkowej prowizji za wcześniejszą spłatę finansowania zwrotnego.</v>
      </c>
    </row>
    <row r="11" spans="1:2" ht="48" customHeight="1" x14ac:dyDescent="0.35">
      <c r="A11" s="161" t="s">
        <v>36</v>
      </c>
      <c r="B11" s="96" t="s">
        <v>246</v>
      </c>
    </row>
    <row r="12" spans="1:2" ht="62.25" customHeight="1" thickBot="1" x14ac:dyDescent="0.4">
      <c r="A12" s="162"/>
      <c r="B12" s="101" t="s">
        <v>237</v>
      </c>
    </row>
  </sheetData>
  <sheetProtection algorithmName="SHA-512" hashValue="/4IllbNV7Ye/KO8s6Ntchrqe4iGuRYQKszonT4m+ihxCY/Ohs69/N+tPEYhaECjA6F52Ybbj67FWjPangpj17Q==" saltValue="jWbC1S47C6bUssM+4DHsxQ==" spinCount="100000" sheet="1" objects="1" scenarios="1"/>
  <mergeCells count="5">
    <mergeCell ref="A1:B1"/>
    <mergeCell ref="A11:A12"/>
    <mergeCell ref="A5:A8"/>
    <mergeCell ref="A9:A10"/>
    <mergeCell ref="A3:A4"/>
  </mergeCells>
  <pageMargins left="0.7" right="0.7" top="0.75" bottom="0.75" header="0.3" footer="0.3"/>
  <pageSetup paperSize="9" scale="4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57626-3238-449C-A055-D41BD1A5D1F0}">
  <sheetPr codeName="Sheet5">
    <tabColor theme="0"/>
  </sheetPr>
  <dimension ref="A1:BB116"/>
  <sheetViews>
    <sheetView zoomScale="80" zoomScaleNormal="8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N8" sqref="N8"/>
    </sheetView>
  </sheetViews>
  <sheetFormatPr defaultColWidth="0" defaultRowHeight="14.5" zeroHeight="1" x14ac:dyDescent="0.35"/>
  <cols>
    <col min="1" max="2" width="3.453125" style="2" customWidth="1"/>
    <col min="3" max="3" width="5.1796875" style="2" customWidth="1"/>
    <col min="4" max="4" width="1.7265625" style="2" customWidth="1"/>
    <col min="5" max="5" width="32.1796875" style="2" customWidth="1"/>
    <col min="6" max="9" width="1" style="2" customWidth="1"/>
    <col min="10" max="10" width="5.54296875" style="2" customWidth="1"/>
    <col min="11" max="13" width="3.1796875" style="2" customWidth="1"/>
    <col min="14" max="14" width="25.453125" style="2" customWidth="1"/>
    <col min="15" max="15" width="2.54296875" style="2" customWidth="1"/>
    <col min="16" max="16" width="7.1796875" style="2" customWidth="1"/>
    <col min="17" max="53" width="14.7265625" style="2" customWidth="1"/>
    <col min="54" max="54" width="8.7265625" hidden="1" customWidth="1"/>
    <col min="55" max="16384" width="9.1796875" hidden="1"/>
  </cols>
  <sheetData>
    <row r="1" spans="1:53" ht="15.75" customHeight="1" x14ac:dyDescent="0.35">
      <c r="A1" s="46" t="s">
        <v>131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 t="s">
        <v>0</v>
      </c>
      <c r="Q1" s="35">
        <v>2024</v>
      </c>
      <c r="R1" s="35">
        <f t="shared" ref="R1:BA1" si="0">Q1+1</f>
        <v>2025</v>
      </c>
      <c r="S1" s="35">
        <f t="shared" si="0"/>
        <v>2026</v>
      </c>
      <c r="T1" s="35">
        <f t="shared" si="0"/>
        <v>2027</v>
      </c>
      <c r="U1" s="35">
        <f t="shared" si="0"/>
        <v>2028</v>
      </c>
      <c r="V1" s="35">
        <f t="shared" si="0"/>
        <v>2029</v>
      </c>
      <c r="W1" s="35">
        <f t="shared" si="0"/>
        <v>2030</v>
      </c>
      <c r="X1" s="35">
        <f t="shared" si="0"/>
        <v>2031</v>
      </c>
      <c r="Y1" s="35">
        <f t="shared" si="0"/>
        <v>2032</v>
      </c>
      <c r="Z1" s="35">
        <f t="shared" si="0"/>
        <v>2033</v>
      </c>
      <c r="AA1" s="35">
        <f t="shared" si="0"/>
        <v>2034</v>
      </c>
      <c r="AB1" s="35">
        <f t="shared" si="0"/>
        <v>2035</v>
      </c>
      <c r="AC1" s="35">
        <f t="shared" si="0"/>
        <v>2036</v>
      </c>
      <c r="AD1" s="35">
        <f t="shared" si="0"/>
        <v>2037</v>
      </c>
      <c r="AE1" s="35">
        <f t="shared" si="0"/>
        <v>2038</v>
      </c>
      <c r="AF1" s="35">
        <f t="shared" si="0"/>
        <v>2039</v>
      </c>
      <c r="AG1" s="35">
        <f t="shared" si="0"/>
        <v>2040</v>
      </c>
      <c r="AH1" s="35">
        <f t="shared" si="0"/>
        <v>2041</v>
      </c>
      <c r="AI1" s="35">
        <f t="shared" si="0"/>
        <v>2042</v>
      </c>
      <c r="AJ1" s="35">
        <f t="shared" si="0"/>
        <v>2043</v>
      </c>
      <c r="AK1" s="35">
        <f t="shared" si="0"/>
        <v>2044</v>
      </c>
      <c r="AL1" s="35">
        <f t="shared" si="0"/>
        <v>2045</v>
      </c>
      <c r="AM1" s="35">
        <f t="shared" si="0"/>
        <v>2046</v>
      </c>
      <c r="AN1" s="35">
        <f t="shared" si="0"/>
        <v>2047</v>
      </c>
      <c r="AO1" s="35">
        <f t="shared" si="0"/>
        <v>2048</v>
      </c>
      <c r="AP1" s="35">
        <f t="shared" si="0"/>
        <v>2049</v>
      </c>
      <c r="AQ1" s="35">
        <f t="shared" si="0"/>
        <v>2050</v>
      </c>
      <c r="AR1" s="35">
        <f t="shared" si="0"/>
        <v>2051</v>
      </c>
      <c r="AS1" s="35">
        <f t="shared" si="0"/>
        <v>2052</v>
      </c>
      <c r="AT1" s="35">
        <f t="shared" si="0"/>
        <v>2053</v>
      </c>
      <c r="AU1" s="35">
        <f t="shared" si="0"/>
        <v>2054</v>
      </c>
      <c r="AV1" s="35">
        <f t="shared" si="0"/>
        <v>2055</v>
      </c>
      <c r="AW1" s="35">
        <f t="shared" si="0"/>
        <v>2056</v>
      </c>
      <c r="AX1" s="35">
        <f t="shared" si="0"/>
        <v>2057</v>
      </c>
      <c r="AY1" s="35">
        <f t="shared" si="0"/>
        <v>2058</v>
      </c>
      <c r="AZ1" s="35">
        <f t="shared" si="0"/>
        <v>2059</v>
      </c>
      <c r="BA1" s="35">
        <f t="shared" si="0"/>
        <v>2060</v>
      </c>
    </row>
    <row r="2" spans="1:53" ht="15.75" customHeight="1" collapsed="1" x14ac:dyDescent="0.35">
      <c r="A2" s="32" t="s">
        <v>130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5"/>
      <c r="O2" s="33"/>
      <c r="P2" s="35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</row>
    <row r="3" spans="1:53" x14ac:dyDescent="0.35"/>
    <row r="4" spans="1:53" ht="15.75" customHeight="1" thickBot="1" x14ac:dyDescent="0.4">
      <c r="A4" s="44" t="s">
        <v>45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</row>
    <row r="5" spans="1:53" ht="15" thickTop="1" x14ac:dyDescent="0.35"/>
    <row r="6" spans="1:53" x14ac:dyDescent="0.35">
      <c r="B6" s="5" t="s">
        <v>110</v>
      </c>
      <c r="Q6" s="48" t="s">
        <v>271</v>
      </c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50"/>
    </row>
    <row r="7" spans="1:53" x14ac:dyDescent="0.35">
      <c r="B7" s="5" t="s">
        <v>230</v>
      </c>
      <c r="Q7" s="48" t="s">
        <v>272</v>
      </c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50"/>
    </row>
    <row r="8" spans="1:53" ht="15" thickBot="1" x14ac:dyDescent="0.4"/>
    <row r="9" spans="1:53" ht="15.75" customHeight="1" thickTop="1" thickBot="1" x14ac:dyDescent="0.4">
      <c r="B9" s="5" t="s">
        <v>34</v>
      </c>
      <c r="C9" s="5"/>
      <c r="D9" s="5"/>
      <c r="E9" s="5"/>
      <c r="F9" s="5"/>
      <c r="G9" s="5"/>
      <c r="H9" s="5"/>
      <c r="I9" s="5"/>
      <c r="J9" s="5"/>
      <c r="K9" s="5"/>
      <c r="Q9" s="142">
        <v>3.9E-2</v>
      </c>
      <c r="R9" s="107">
        <v>3.6999999999999998E-2</v>
      </c>
      <c r="S9" s="138">
        <v>2.9000000000000001E-2</v>
      </c>
      <c r="T9" s="138">
        <v>2.5000000000000001E-2</v>
      </c>
      <c r="U9" s="107">
        <v>2.5000000000000001E-2</v>
      </c>
      <c r="V9" s="107">
        <v>2.5000000000000001E-2</v>
      </c>
      <c r="W9" s="107">
        <v>2.5000000000000001E-2</v>
      </c>
      <c r="X9" s="107">
        <v>2.5000000000000001E-2</v>
      </c>
      <c r="Y9" s="107">
        <v>2.5000000000000001E-2</v>
      </c>
      <c r="Z9" s="107">
        <v>2.5000000000000001E-2</v>
      </c>
      <c r="AA9" s="107">
        <v>2.5000000000000001E-2</v>
      </c>
      <c r="AB9" s="107">
        <v>2.5000000000000001E-2</v>
      </c>
      <c r="AC9" s="107">
        <v>2.5000000000000001E-2</v>
      </c>
      <c r="AD9" s="107">
        <v>2.5000000000000001E-2</v>
      </c>
      <c r="AE9" s="107">
        <v>2.5000000000000001E-2</v>
      </c>
      <c r="AF9" s="107">
        <v>2.5000000000000001E-2</v>
      </c>
      <c r="AG9" s="107">
        <v>2.5000000000000001E-2</v>
      </c>
      <c r="AH9" s="107">
        <v>2.5000000000000001E-2</v>
      </c>
      <c r="AI9" s="107">
        <v>2.5000000000000001E-2</v>
      </c>
      <c r="AJ9" s="107">
        <v>2.5000000000000001E-2</v>
      </c>
      <c r="AK9" s="107">
        <v>2.5000000000000001E-2</v>
      </c>
      <c r="AL9" s="107">
        <v>2.5000000000000001E-2</v>
      </c>
      <c r="AM9" s="107">
        <v>2.5000000000000001E-2</v>
      </c>
      <c r="AN9" s="107">
        <v>2.5000000000000001E-2</v>
      </c>
      <c r="AO9" s="107">
        <v>2.5000000000000001E-2</v>
      </c>
      <c r="AP9" s="107">
        <v>2.5000000000000001E-2</v>
      </c>
      <c r="AQ9" s="107">
        <v>2.5000000000000001E-2</v>
      </c>
      <c r="AR9" s="107">
        <v>2.5000000000000001E-2</v>
      </c>
      <c r="AS9" s="107">
        <v>2.5000000000000001E-2</v>
      </c>
      <c r="AT9" s="107">
        <v>2.5000000000000001E-2</v>
      </c>
      <c r="AU9" s="107">
        <v>2.5000000000000001E-2</v>
      </c>
      <c r="AV9" s="107">
        <v>2.5000000000000001E-2</v>
      </c>
      <c r="AW9" s="107">
        <v>2.5000000000000001E-2</v>
      </c>
      <c r="AX9" s="107">
        <v>2.5000000000000001E-2</v>
      </c>
      <c r="AY9" s="107">
        <v>2.5000000000000001E-2</v>
      </c>
      <c r="AZ9" s="107">
        <v>2.5000000000000001E-2</v>
      </c>
      <c r="BA9" s="143">
        <v>2.5000000000000001E-2</v>
      </c>
    </row>
    <row r="10" spans="1:53" ht="15.75" customHeight="1" thickTop="1" thickBot="1" x14ac:dyDescent="0.4">
      <c r="B10" s="5" t="s">
        <v>56</v>
      </c>
      <c r="C10" s="5"/>
      <c r="D10" s="5"/>
      <c r="E10" s="5"/>
      <c r="F10" s="5"/>
      <c r="G10" s="5"/>
      <c r="H10" s="5"/>
      <c r="I10" s="5"/>
      <c r="J10" s="5"/>
      <c r="K10" s="5"/>
      <c r="Q10" s="140">
        <f>IF(Założenia!$I$8=Q$1,1,P10*(1+Q9))</f>
        <v>1</v>
      </c>
      <c r="R10" s="139">
        <f>IF(Założenia!$I$8=R$1,1,Q10*(1+R9))</f>
        <v>1.0369999999999999</v>
      </c>
      <c r="S10" s="139">
        <f>IF(Założenia!$I$8=S$1,1,R10*(1+S9))</f>
        <v>1.0670729999999999</v>
      </c>
      <c r="T10" s="139">
        <f>IF(Założenia!$I$8=T$1,1,S10*(1+T9))</f>
        <v>1.0937498249999997</v>
      </c>
      <c r="U10" s="139">
        <f>IF(Założenia!$I$8=U$1,1,T10*(1+U9))</f>
        <v>1.1210935706249996</v>
      </c>
      <c r="V10" s="139">
        <f>IF(Założenia!$I$8=V$1,1,U10*(1+V9))</f>
        <v>1.1491209098906245</v>
      </c>
      <c r="W10" s="139">
        <f>IF(Założenia!$I$8=W$1,1,V10*(1+W9))</f>
        <v>1.17784893263789</v>
      </c>
      <c r="X10" s="139">
        <f>IF(Założenia!$I$8=X$1,1,W10*(1+X9))</f>
        <v>1.2072951559538372</v>
      </c>
      <c r="Y10" s="139">
        <f>IF(Założenia!$I$8=Y$1,1,X10*(1+Y9))</f>
        <v>1.237477534852683</v>
      </c>
      <c r="Z10" s="139">
        <f>IF(Założenia!$I$8=Z$1,1,Y10*(1+Z9))</f>
        <v>1.2684144732239999</v>
      </c>
      <c r="AA10" s="139">
        <f>IF(Założenia!$I$8=AA$1,1,Z10*(1+AA9))</f>
        <v>1.3001248350545997</v>
      </c>
      <c r="AB10" s="139">
        <f>IF(Założenia!$I$8=AB$1,1,AA10*(1+AB9))</f>
        <v>1.3326279559309646</v>
      </c>
      <c r="AC10" s="139">
        <f>IF(Założenia!$I$8=AC$1,1,AB10*(1+AC9))</f>
        <v>1.3659436548292385</v>
      </c>
      <c r="AD10" s="139">
        <f>IF(Założenia!$I$8=AD$1,1,AC10*(1+AD9))</f>
        <v>1.4000922461999694</v>
      </c>
      <c r="AE10" s="139">
        <f>IF(Założenia!$I$8=AE$1,1,AD10*(1+AE9))</f>
        <v>1.4350945523549685</v>
      </c>
      <c r="AF10" s="139">
        <f>IF(Założenia!$I$8=AF$1,1,AE10*(1+AF9))</f>
        <v>1.4709719161638426</v>
      </c>
      <c r="AG10" s="139">
        <f>IF(Założenia!$I$8=AG$1,1,AF10*(1+AG9))</f>
        <v>1.5077462140679385</v>
      </c>
      <c r="AH10" s="139">
        <f>IF(Założenia!$I$8=AH$1,1,AG10*(1+AH9))</f>
        <v>1.5454398694196367</v>
      </c>
      <c r="AI10" s="139">
        <f>IF(Założenia!$I$8=AI$1,1,AH10*(1+AI9))</f>
        <v>1.5840758661551275</v>
      </c>
      <c r="AJ10" s="139">
        <f>IF(Założenia!$I$8=AJ$1,1,AI10*(1+AJ9))</f>
        <v>1.6236777628090056</v>
      </c>
      <c r="AK10" s="139">
        <f>IF(Założenia!$I$8=AK$1,1,AJ10*(1+AK9))</f>
        <v>1.6642697068792305</v>
      </c>
      <c r="AL10" s="139">
        <f>IF(Założenia!$I$8=AL$1,1,AK10*(1+AL9))</f>
        <v>1.7058764495512111</v>
      </c>
      <c r="AM10" s="139">
        <f>IF(Założenia!$I$8=AM$1,1,AL10*(1+AM9))</f>
        <v>1.7485233607899913</v>
      </c>
      <c r="AN10" s="139">
        <f>IF(Założenia!$I$8=AN$1,1,AM10*(1+AN9))</f>
        <v>1.792236444809741</v>
      </c>
      <c r="AO10" s="139">
        <f>IF(Założenia!$I$8=AO$1,1,AN10*(1+AO9))</f>
        <v>1.8370423559299844</v>
      </c>
      <c r="AP10" s="139">
        <f>IF(Założenia!$I$8=AP$1,1,AO10*(1+AP9))</f>
        <v>1.882968414828234</v>
      </c>
      <c r="AQ10" s="139">
        <f>IF(Założenia!$I$8=AQ$1,1,AP10*(1+AQ9))</f>
        <v>1.9300426251989395</v>
      </c>
      <c r="AR10" s="139">
        <f>IF(Założenia!$I$8=AR$1,1,AQ10*(1+AR9))</f>
        <v>1.9782936908289128</v>
      </c>
      <c r="AS10" s="139">
        <f>IF(Założenia!$I$8=AS$1,1,AR10*(1+AS9))</f>
        <v>2.0277510330996353</v>
      </c>
      <c r="AT10" s="139">
        <f>IF(Założenia!$I$8=AT$1,1,AS10*(1+AT9))</f>
        <v>2.0784448089271259</v>
      </c>
      <c r="AU10" s="139">
        <f>IF(Założenia!$I$8=AU$1,1,AT10*(1+AU9))</f>
        <v>2.1304059291503039</v>
      </c>
      <c r="AV10" s="139">
        <f>IF(Założenia!$I$8=AV$1,1,AU10*(1+AV9))</f>
        <v>2.1836660773790615</v>
      </c>
      <c r="AW10" s="139">
        <f>IF(Założenia!$I$8=AW$1,1,AV10*(1+AW9))</f>
        <v>2.2382577293135379</v>
      </c>
      <c r="AX10" s="139">
        <f>IF(Założenia!$I$8=AX$1,1,AW10*(1+AX9))</f>
        <v>2.2942141725463761</v>
      </c>
      <c r="AY10" s="139">
        <f>IF(Założenia!$I$8=AY$1,1,AX10*(1+AY9))</f>
        <v>2.3515695268600352</v>
      </c>
      <c r="AZ10" s="139">
        <f>IF(Założenia!$I$8=AZ$1,1,AY10*(1+AZ9))</f>
        <v>2.4103587650315359</v>
      </c>
      <c r="BA10" s="141">
        <f>IF(Założenia!$I$8=BA$1,1,AZ10*(1+BA9))</f>
        <v>2.4706177341573241</v>
      </c>
    </row>
    <row r="11" spans="1:53" s="108" customFormat="1" ht="15.75" customHeight="1" thickTop="1" thickBot="1" x14ac:dyDescent="0.4">
      <c r="A11" s="2"/>
      <c r="B11" s="5" t="s">
        <v>35</v>
      </c>
      <c r="C11" s="5"/>
      <c r="D11" s="5"/>
      <c r="E11" s="5"/>
      <c r="F11" s="5"/>
      <c r="G11" s="5"/>
      <c r="H11" s="5"/>
      <c r="I11" s="5"/>
      <c r="J11" s="5"/>
      <c r="K11" s="5"/>
      <c r="L11" s="2"/>
      <c r="M11" s="2"/>
      <c r="N11" s="2"/>
      <c r="O11" s="2"/>
      <c r="P11" s="2"/>
      <c r="Q11" s="142">
        <v>5.5199999999999999E-2</v>
      </c>
      <c r="R11" s="138">
        <v>5.1799999999999999E-2</v>
      </c>
      <c r="S11" s="138">
        <v>4.6199999999999998E-2</v>
      </c>
      <c r="T11" s="138">
        <f>4.62%</f>
        <v>4.6199999999999998E-2</v>
      </c>
      <c r="U11" s="106">
        <f t="shared" ref="T11:BA11" si="1">U9+1%</f>
        <v>3.5000000000000003E-2</v>
      </c>
      <c r="V11" s="106">
        <f t="shared" si="1"/>
        <v>3.5000000000000003E-2</v>
      </c>
      <c r="W11" s="106">
        <f t="shared" si="1"/>
        <v>3.5000000000000003E-2</v>
      </c>
      <c r="X11" s="106">
        <f t="shared" si="1"/>
        <v>3.5000000000000003E-2</v>
      </c>
      <c r="Y11" s="106">
        <f t="shared" si="1"/>
        <v>3.5000000000000003E-2</v>
      </c>
      <c r="Z11" s="106">
        <f t="shared" si="1"/>
        <v>3.5000000000000003E-2</v>
      </c>
      <c r="AA11" s="106">
        <f t="shared" si="1"/>
        <v>3.5000000000000003E-2</v>
      </c>
      <c r="AB11" s="106">
        <f t="shared" si="1"/>
        <v>3.5000000000000003E-2</v>
      </c>
      <c r="AC11" s="106">
        <f t="shared" si="1"/>
        <v>3.5000000000000003E-2</v>
      </c>
      <c r="AD11" s="106">
        <f t="shared" si="1"/>
        <v>3.5000000000000003E-2</v>
      </c>
      <c r="AE11" s="106">
        <f t="shared" si="1"/>
        <v>3.5000000000000003E-2</v>
      </c>
      <c r="AF11" s="106">
        <f t="shared" si="1"/>
        <v>3.5000000000000003E-2</v>
      </c>
      <c r="AG11" s="106">
        <f t="shared" si="1"/>
        <v>3.5000000000000003E-2</v>
      </c>
      <c r="AH11" s="106">
        <f t="shared" si="1"/>
        <v>3.5000000000000003E-2</v>
      </c>
      <c r="AI11" s="106">
        <f t="shared" si="1"/>
        <v>3.5000000000000003E-2</v>
      </c>
      <c r="AJ11" s="106">
        <f t="shared" si="1"/>
        <v>3.5000000000000003E-2</v>
      </c>
      <c r="AK11" s="106">
        <f t="shared" si="1"/>
        <v>3.5000000000000003E-2</v>
      </c>
      <c r="AL11" s="106">
        <f t="shared" si="1"/>
        <v>3.5000000000000003E-2</v>
      </c>
      <c r="AM11" s="106">
        <f t="shared" si="1"/>
        <v>3.5000000000000003E-2</v>
      </c>
      <c r="AN11" s="106">
        <f t="shared" si="1"/>
        <v>3.5000000000000003E-2</v>
      </c>
      <c r="AO11" s="106">
        <f t="shared" si="1"/>
        <v>3.5000000000000003E-2</v>
      </c>
      <c r="AP11" s="106">
        <f t="shared" si="1"/>
        <v>3.5000000000000003E-2</v>
      </c>
      <c r="AQ11" s="106">
        <f t="shared" si="1"/>
        <v>3.5000000000000003E-2</v>
      </c>
      <c r="AR11" s="106">
        <f t="shared" si="1"/>
        <v>3.5000000000000003E-2</v>
      </c>
      <c r="AS11" s="106">
        <f t="shared" si="1"/>
        <v>3.5000000000000003E-2</v>
      </c>
      <c r="AT11" s="106">
        <f t="shared" si="1"/>
        <v>3.5000000000000003E-2</v>
      </c>
      <c r="AU11" s="106">
        <f t="shared" si="1"/>
        <v>3.5000000000000003E-2</v>
      </c>
      <c r="AV11" s="106">
        <f t="shared" si="1"/>
        <v>3.5000000000000003E-2</v>
      </c>
      <c r="AW11" s="106">
        <f t="shared" si="1"/>
        <v>3.5000000000000003E-2</v>
      </c>
      <c r="AX11" s="106">
        <f t="shared" si="1"/>
        <v>3.5000000000000003E-2</v>
      </c>
      <c r="AY11" s="106">
        <f t="shared" si="1"/>
        <v>3.5000000000000003E-2</v>
      </c>
      <c r="AZ11" s="106">
        <f t="shared" si="1"/>
        <v>3.5000000000000003E-2</v>
      </c>
      <c r="BA11" s="106">
        <f t="shared" si="1"/>
        <v>3.5000000000000003E-2</v>
      </c>
    </row>
    <row r="12" spans="1:53" ht="15.75" customHeight="1" thickTop="1" x14ac:dyDescent="0.35">
      <c r="B12" s="5" t="s">
        <v>9</v>
      </c>
      <c r="C12" s="5"/>
      <c r="D12" s="5"/>
      <c r="E12" s="5"/>
      <c r="F12" s="5"/>
      <c r="G12" s="5"/>
      <c r="H12" s="5"/>
      <c r="I12" s="5"/>
      <c r="J12" s="5"/>
      <c r="K12" s="5"/>
      <c r="Q12" s="105">
        <v>0.19</v>
      </c>
      <c r="R12" s="105">
        <v>0.19</v>
      </c>
      <c r="S12" s="105">
        <v>0.19</v>
      </c>
      <c r="T12" s="105">
        <v>0.19</v>
      </c>
      <c r="U12" s="105">
        <v>0.19</v>
      </c>
      <c r="V12" s="105">
        <v>0.19</v>
      </c>
      <c r="W12" s="105">
        <v>0.19</v>
      </c>
      <c r="X12" s="105">
        <v>0.19</v>
      </c>
      <c r="Y12" s="105">
        <v>0.19</v>
      </c>
      <c r="Z12" s="105">
        <v>0.19</v>
      </c>
      <c r="AA12" s="105">
        <v>0.19</v>
      </c>
      <c r="AB12" s="105">
        <v>0.19</v>
      </c>
      <c r="AC12" s="105">
        <v>0.19</v>
      </c>
      <c r="AD12" s="105">
        <v>0.19</v>
      </c>
      <c r="AE12" s="105">
        <v>0.19</v>
      </c>
      <c r="AF12" s="105">
        <v>0.19</v>
      </c>
      <c r="AG12" s="105">
        <v>0.19</v>
      </c>
      <c r="AH12" s="105">
        <v>0.19</v>
      </c>
      <c r="AI12" s="105">
        <v>0.19</v>
      </c>
      <c r="AJ12" s="105">
        <v>0.19</v>
      </c>
      <c r="AK12" s="105">
        <v>0.19</v>
      </c>
      <c r="AL12" s="105">
        <v>0.19</v>
      </c>
      <c r="AM12" s="105">
        <v>0.19</v>
      </c>
      <c r="AN12" s="105">
        <v>0.19</v>
      </c>
      <c r="AO12" s="105">
        <v>0.19</v>
      </c>
      <c r="AP12" s="105">
        <v>0.19</v>
      </c>
      <c r="AQ12" s="105">
        <v>0.19</v>
      </c>
      <c r="AR12" s="105">
        <v>0.19</v>
      </c>
      <c r="AS12" s="105">
        <v>0.19</v>
      </c>
      <c r="AT12" s="105">
        <v>0.19</v>
      </c>
      <c r="AU12" s="105">
        <v>0.19</v>
      </c>
      <c r="AV12" s="105">
        <v>0.19</v>
      </c>
      <c r="AW12" s="105">
        <v>0.19</v>
      </c>
      <c r="AX12" s="105">
        <v>0.19</v>
      </c>
      <c r="AY12" s="105">
        <v>0.19</v>
      </c>
      <c r="AZ12" s="105">
        <v>0.19</v>
      </c>
      <c r="BA12" s="105">
        <v>0.19</v>
      </c>
    </row>
    <row r="13" spans="1:53" ht="15.75" customHeight="1" x14ac:dyDescent="0.35">
      <c r="B13" s="5" t="s">
        <v>36</v>
      </c>
      <c r="C13" s="5"/>
      <c r="D13" s="5"/>
      <c r="E13" s="5"/>
      <c r="F13" s="5"/>
      <c r="G13" s="5"/>
      <c r="H13" s="5"/>
      <c r="I13" s="5"/>
      <c r="J13" s="5"/>
      <c r="K13" s="5"/>
      <c r="Q13" s="71">
        <v>0.23</v>
      </c>
      <c r="R13" s="71">
        <v>0.23</v>
      </c>
      <c r="S13" s="71">
        <v>0.23</v>
      </c>
      <c r="T13" s="71">
        <v>0.23</v>
      </c>
      <c r="U13" s="71">
        <v>0.23</v>
      </c>
      <c r="V13" s="71">
        <v>0.23</v>
      </c>
      <c r="W13" s="71">
        <v>0.23</v>
      </c>
      <c r="X13" s="71">
        <v>0.23</v>
      </c>
      <c r="Y13" s="71">
        <v>0.23</v>
      </c>
      <c r="Z13" s="71">
        <v>0.23</v>
      </c>
      <c r="AA13" s="71">
        <v>0.23</v>
      </c>
      <c r="AB13" s="71">
        <v>0.23</v>
      </c>
      <c r="AC13" s="71">
        <v>0.23</v>
      </c>
      <c r="AD13" s="71">
        <v>0.23</v>
      </c>
      <c r="AE13" s="71">
        <v>0.23</v>
      </c>
      <c r="AF13" s="71">
        <v>0.23</v>
      </c>
      <c r="AG13" s="71">
        <v>0.23</v>
      </c>
      <c r="AH13" s="71">
        <v>0.23</v>
      </c>
      <c r="AI13" s="71">
        <v>0.23</v>
      </c>
      <c r="AJ13" s="71">
        <v>0.23</v>
      </c>
      <c r="AK13" s="71">
        <v>0.23</v>
      </c>
      <c r="AL13" s="71">
        <v>0.23</v>
      </c>
      <c r="AM13" s="71">
        <v>0.23</v>
      </c>
      <c r="AN13" s="71">
        <v>0.23</v>
      </c>
      <c r="AO13" s="71">
        <v>0.23</v>
      </c>
      <c r="AP13" s="71">
        <v>0.23</v>
      </c>
      <c r="AQ13" s="71">
        <v>0.23</v>
      </c>
      <c r="AR13" s="71">
        <v>0.23</v>
      </c>
      <c r="AS13" s="71">
        <v>0.23</v>
      </c>
      <c r="AT13" s="71">
        <v>0.23</v>
      </c>
      <c r="AU13" s="71">
        <v>0.23</v>
      </c>
      <c r="AV13" s="71">
        <v>0.23</v>
      </c>
      <c r="AW13" s="71">
        <v>0.23</v>
      </c>
      <c r="AX13" s="71">
        <v>0.23</v>
      </c>
      <c r="AY13" s="71">
        <v>0.23</v>
      </c>
      <c r="AZ13" s="71">
        <v>0.23</v>
      </c>
      <c r="BA13" s="71">
        <v>0.23</v>
      </c>
    </row>
    <row r="14" spans="1:53" x14ac:dyDescent="0.35"/>
    <row r="15" spans="1:53" ht="15.75" customHeight="1" thickBot="1" x14ac:dyDescent="0.4">
      <c r="A15" s="44" t="s">
        <v>92</v>
      </c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</row>
    <row r="16" spans="1:53" ht="15" thickTop="1" x14ac:dyDescent="0.35">
      <c r="A16" s="24"/>
      <c r="F16" s="21"/>
      <c r="J16" s="21"/>
    </row>
    <row r="17" spans="1:53" x14ac:dyDescent="0.35">
      <c r="A17" s="24"/>
      <c r="B17" s="8" t="s">
        <v>111</v>
      </c>
      <c r="C17" s="8"/>
      <c r="D17" s="8"/>
      <c r="E17" s="8"/>
      <c r="F17" s="52"/>
      <c r="G17" s="8"/>
      <c r="H17" s="8"/>
      <c r="I17" s="8"/>
      <c r="J17" s="52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</row>
    <row r="18" spans="1:53" x14ac:dyDescent="0.35">
      <c r="A18" s="24"/>
      <c r="C18" s="2" t="s">
        <v>93</v>
      </c>
      <c r="F18" s="22"/>
      <c r="J18" s="22" t="s">
        <v>115</v>
      </c>
      <c r="N18" s="53">
        <v>0.1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</row>
    <row r="19" spans="1:53" x14ac:dyDescent="0.35">
      <c r="A19" s="24"/>
      <c r="C19" s="2" t="s">
        <v>117</v>
      </c>
      <c r="F19" s="22"/>
      <c r="J19" s="22" t="s">
        <v>115</v>
      </c>
      <c r="N19" s="47">
        <v>0.1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</row>
    <row r="20" spans="1:53" x14ac:dyDescent="0.35">
      <c r="A20" s="24"/>
      <c r="C20" s="2" t="s">
        <v>118</v>
      </c>
      <c r="F20" s="22"/>
      <c r="J20" s="22" t="s">
        <v>115</v>
      </c>
      <c r="N20" s="20">
        <f>1-N18-N19</f>
        <v>0.8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</row>
    <row r="21" spans="1:53" x14ac:dyDescent="0.35">
      <c r="A21" s="24"/>
      <c r="F21" s="21"/>
      <c r="J21" s="21"/>
    </row>
    <row r="22" spans="1:53" x14ac:dyDescent="0.35">
      <c r="A22" s="24"/>
      <c r="B22" s="8" t="s">
        <v>239</v>
      </c>
      <c r="C22" s="8"/>
      <c r="D22" s="8"/>
      <c r="E22" s="8"/>
      <c r="F22" s="52"/>
      <c r="G22" s="8"/>
      <c r="H22" s="8"/>
      <c r="I22" s="8"/>
      <c r="J22" s="52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</row>
    <row r="23" spans="1:53" x14ac:dyDescent="0.35">
      <c r="A23" s="24"/>
      <c r="C23" s="2" t="s">
        <v>240</v>
      </c>
      <c r="F23" s="22"/>
      <c r="J23" s="22" t="s">
        <v>115</v>
      </c>
      <c r="N23" s="51">
        <v>2.5000000000000001E-2</v>
      </c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</row>
    <row r="24" spans="1:53" x14ac:dyDescent="0.35">
      <c r="C24" s="24" t="s">
        <v>124</v>
      </c>
      <c r="D24" s="24"/>
      <c r="I24" s="21"/>
      <c r="J24" s="22" t="s">
        <v>115</v>
      </c>
      <c r="N24" s="27">
        <v>1.4999999999999999E-2</v>
      </c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</row>
    <row r="25" spans="1:53" ht="15" thickBot="1" x14ac:dyDescent="0.4">
      <c r="A25" s="24"/>
      <c r="C25" s="2" t="s">
        <v>241</v>
      </c>
      <c r="F25" s="22"/>
      <c r="J25" s="22" t="s">
        <v>115</v>
      </c>
      <c r="N25" s="103">
        <v>1.4999999999999999E-2</v>
      </c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</row>
    <row r="26" spans="1:53" ht="15.5" thickTop="1" thickBot="1" x14ac:dyDescent="0.4">
      <c r="A26" s="24"/>
      <c r="C26" s="2" t="s">
        <v>242</v>
      </c>
      <c r="F26" s="22"/>
      <c r="J26" s="22" t="s">
        <v>115</v>
      </c>
      <c r="N26" s="104">
        <v>0.12</v>
      </c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</row>
    <row r="27" spans="1:53" ht="15" thickTop="1" x14ac:dyDescent="0.35"/>
    <row r="28" spans="1:53" ht="15.75" customHeight="1" thickBot="1" x14ac:dyDescent="0.4">
      <c r="A28" s="44" t="s">
        <v>43</v>
      </c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</row>
    <row r="29" spans="1:53" ht="15" thickTop="1" x14ac:dyDescent="0.35">
      <c r="C29" s="5"/>
    </row>
    <row r="30" spans="1:53" x14ac:dyDescent="0.35">
      <c r="B30" s="8" t="s">
        <v>91</v>
      </c>
      <c r="C30" s="9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</row>
    <row r="31" spans="1:53" ht="15.75" customHeight="1" x14ac:dyDescent="0.35">
      <c r="B31" s="5"/>
      <c r="C31" s="5" t="s">
        <v>39</v>
      </c>
      <c r="D31" s="5"/>
      <c r="E31" s="5"/>
      <c r="F31" s="5"/>
      <c r="G31" s="5"/>
      <c r="H31" s="5"/>
      <c r="I31" s="5"/>
      <c r="J31" s="5"/>
      <c r="K31" s="5"/>
    </row>
    <row r="32" spans="1:53" ht="15.75" customHeight="1" x14ac:dyDescent="0.35">
      <c r="B32" s="5"/>
      <c r="C32" s="5"/>
      <c r="D32" s="5" t="s">
        <v>40</v>
      </c>
      <c r="E32" s="5"/>
      <c r="F32" s="5"/>
      <c r="G32" s="5"/>
      <c r="H32" s="5"/>
      <c r="I32" s="5"/>
      <c r="J32" s="5"/>
      <c r="K32" s="5"/>
      <c r="Q32" s="1">
        <f>(Q$1=Założenia!$K$14)*1*(w.1="tak")</f>
        <v>0</v>
      </c>
      <c r="R32" s="1">
        <f>(R$1=Założenia!$K$14)*1*(w.1="tak")</f>
        <v>1</v>
      </c>
      <c r="S32" s="1">
        <f>(S$1=Założenia!$K$14)*1*(w.1="tak")</f>
        <v>0</v>
      </c>
      <c r="T32" s="1">
        <f>(T$1=Założenia!$K$14)*1*(w.1="tak")</f>
        <v>0</v>
      </c>
      <c r="U32" s="1">
        <f>(U$1=Założenia!$K$14)*1*(w.1="tak")</f>
        <v>0</v>
      </c>
      <c r="V32" s="1">
        <f>(V$1=Założenia!$K$14)*1*(w.1="tak")</f>
        <v>0</v>
      </c>
      <c r="W32" s="1">
        <f>(W$1=Założenia!$K$14)*1*(w.1="tak")</f>
        <v>0</v>
      </c>
      <c r="X32" s="1">
        <f>(X$1=Założenia!$K$14)*1*(w.1="tak")</f>
        <v>0</v>
      </c>
      <c r="Y32" s="1">
        <f>(Y$1=Założenia!$K$14)*1*(w.1="tak")</f>
        <v>0</v>
      </c>
      <c r="Z32" s="1">
        <f>(Z$1=Założenia!$K$14)*1*(w.1="tak")</f>
        <v>0</v>
      </c>
      <c r="AA32" s="1">
        <f>(AA$1=Założenia!$K$14)*1*(w.1="tak")</f>
        <v>0</v>
      </c>
      <c r="AB32" s="1">
        <f>(AB$1=Założenia!$K$14)*1*(w.1="tak")</f>
        <v>0</v>
      </c>
      <c r="AC32" s="1">
        <f>(AC$1=Założenia!$K$14)*1*(w.1="tak")</f>
        <v>0</v>
      </c>
      <c r="AD32" s="1">
        <f>(AD$1=Założenia!$K$14)*1*(w.1="tak")</f>
        <v>0</v>
      </c>
      <c r="AE32" s="1">
        <f>(AE$1=Założenia!$K$14)*1*(w.1="tak")</f>
        <v>0</v>
      </c>
      <c r="AF32" s="1">
        <f>(AF$1=Założenia!$K$14)*1*(w.1="tak")</f>
        <v>0</v>
      </c>
      <c r="AG32" s="1">
        <f>(AG$1=Założenia!$K$14)*1*(w.1="tak")</f>
        <v>0</v>
      </c>
      <c r="AH32" s="1">
        <f>(AH$1=Założenia!$K$14)*1*(w.1="tak")</f>
        <v>0</v>
      </c>
      <c r="AI32" s="1">
        <f>(AI$1=Założenia!$K$14)*1*(w.1="tak")</f>
        <v>0</v>
      </c>
      <c r="AJ32" s="1">
        <f>(AJ$1=Założenia!$K$14)*1*(w.1="tak")</f>
        <v>0</v>
      </c>
      <c r="AK32" s="1">
        <f>(AK$1=Założenia!$K$14)*1*(w.1="tak")</f>
        <v>0</v>
      </c>
      <c r="AL32" s="1">
        <f>(AL$1=Założenia!$K$14)*1*(w.1="tak")</f>
        <v>0</v>
      </c>
      <c r="AM32" s="1">
        <f>(AM$1=Założenia!$K$14)*1*(w.1="tak")</f>
        <v>0</v>
      </c>
      <c r="AN32" s="1">
        <f>(AN$1=Założenia!$K$14)*1*(w.1="tak")</f>
        <v>0</v>
      </c>
      <c r="AO32" s="1">
        <f>(AO$1=Założenia!$K$14)*1*(w.1="tak")</f>
        <v>0</v>
      </c>
      <c r="AP32" s="1">
        <f>(AP$1=Założenia!$K$14)*1*(w.1="tak")</f>
        <v>0</v>
      </c>
      <c r="AQ32" s="1">
        <f>(AQ$1=Założenia!$K$14)*1*(w.1="tak")</f>
        <v>0</v>
      </c>
      <c r="AR32" s="1">
        <f>(AR$1=Założenia!$K$14)*1*(w.1="tak")</f>
        <v>0</v>
      </c>
      <c r="AS32" s="1">
        <f>(AS$1=Założenia!$K$14)*1*(w.1="tak")</f>
        <v>0</v>
      </c>
      <c r="AT32" s="1">
        <f>(AT$1=Założenia!$K$14)*1*(w.1="tak")</f>
        <v>0</v>
      </c>
      <c r="AU32" s="1">
        <f>(AU$1=Założenia!$K$14)*1*(w.1="tak")</f>
        <v>0</v>
      </c>
      <c r="AV32" s="1">
        <f>(AV$1=Założenia!$K$14)*1*(w.1="tak")</f>
        <v>0</v>
      </c>
      <c r="AW32" s="1">
        <f>(AW$1=Założenia!$K$14)*1*(w.1="tak")</f>
        <v>0</v>
      </c>
      <c r="AX32" s="1">
        <f>(AX$1=Założenia!$K$14)*1*(w.1="tak")</f>
        <v>0</v>
      </c>
      <c r="AY32" s="1">
        <f>(AY$1=Założenia!$K$14)*1*(w.1="tak")</f>
        <v>0</v>
      </c>
      <c r="AZ32" s="1">
        <f>(AZ$1=Założenia!$K$14)*1*(w.1="tak")</f>
        <v>0</v>
      </c>
      <c r="BA32" s="1">
        <f>(BA$1=Założenia!$K$14)*1*(w.1="tak")</f>
        <v>0</v>
      </c>
    </row>
    <row r="33" spans="1:53" ht="15.75" customHeight="1" x14ac:dyDescent="0.35">
      <c r="B33" s="5"/>
      <c r="C33" s="5"/>
      <c r="D33" s="5" t="s">
        <v>41</v>
      </c>
      <c r="E33" s="5"/>
      <c r="F33" s="5"/>
      <c r="G33" s="5"/>
      <c r="H33" s="5"/>
      <c r="I33" s="5"/>
      <c r="J33" s="5"/>
      <c r="K33" s="5"/>
      <c r="Q33" s="1">
        <f>(Q$1=Założenia!$K$15)*1*(w.1="tak")</f>
        <v>0</v>
      </c>
      <c r="R33" s="1">
        <f>(R$1=Założenia!$K$15)*1*(w.1="tak")</f>
        <v>1</v>
      </c>
      <c r="S33" s="1">
        <f>(S$1=Założenia!$K$15)*1*(w.1="tak")</f>
        <v>0</v>
      </c>
      <c r="T33" s="1">
        <f>(T$1=Założenia!$K$15)*1*(w.1="tak")</f>
        <v>0</v>
      </c>
      <c r="U33" s="1">
        <f>(U$1=Założenia!$K$15)*1*(w.1="tak")</f>
        <v>0</v>
      </c>
      <c r="V33" s="1">
        <f>(V$1=Założenia!$K$15)*1*(w.1="tak")</f>
        <v>0</v>
      </c>
      <c r="W33" s="1">
        <f>(W$1=Założenia!$K$15)*1*(w.1="tak")</f>
        <v>0</v>
      </c>
      <c r="X33" s="1">
        <f>(X$1=Założenia!$K$15)*1*(w.1="tak")</f>
        <v>0</v>
      </c>
      <c r="Y33" s="1">
        <f>(Y$1=Założenia!$K$15)*1*(w.1="tak")</f>
        <v>0</v>
      </c>
      <c r="Z33" s="1">
        <f>(Z$1=Założenia!$K$15)*1*(w.1="tak")</f>
        <v>0</v>
      </c>
      <c r="AA33" s="1">
        <f>(AA$1=Założenia!$K$15)*1*(w.1="tak")</f>
        <v>0</v>
      </c>
      <c r="AB33" s="1">
        <f>(AB$1=Założenia!$K$15)*1*(w.1="tak")</f>
        <v>0</v>
      </c>
      <c r="AC33" s="1">
        <f>(AC$1=Założenia!$K$15)*1*(w.1="tak")</f>
        <v>0</v>
      </c>
      <c r="AD33" s="1">
        <f>(AD$1=Założenia!$K$15)*1*(w.1="tak")</f>
        <v>0</v>
      </c>
      <c r="AE33" s="1">
        <f>(AE$1=Założenia!$K$15)*1*(w.1="tak")</f>
        <v>0</v>
      </c>
      <c r="AF33" s="1">
        <f>(AF$1=Założenia!$K$15)*1*(w.1="tak")</f>
        <v>0</v>
      </c>
      <c r="AG33" s="1">
        <f>(AG$1=Założenia!$K$15)*1*(w.1="tak")</f>
        <v>0</v>
      </c>
      <c r="AH33" s="1">
        <f>(AH$1=Założenia!$K$15)*1*(w.1="tak")</f>
        <v>0</v>
      </c>
      <c r="AI33" s="1">
        <f>(AI$1=Założenia!$K$15)*1*(w.1="tak")</f>
        <v>0</v>
      </c>
      <c r="AJ33" s="1">
        <f>(AJ$1=Założenia!$K$15)*1*(w.1="tak")</f>
        <v>0</v>
      </c>
      <c r="AK33" s="1">
        <f>(AK$1=Założenia!$K$15)*1*(w.1="tak")</f>
        <v>0</v>
      </c>
      <c r="AL33" s="1">
        <f>(AL$1=Założenia!$K$15)*1*(w.1="tak")</f>
        <v>0</v>
      </c>
      <c r="AM33" s="1">
        <f>(AM$1=Założenia!$K$15)*1*(w.1="tak")</f>
        <v>0</v>
      </c>
      <c r="AN33" s="1">
        <f>(AN$1=Założenia!$K$15)*1*(w.1="tak")</f>
        <v>0</v>
      </c>
      <c r="AO33" s="1">
        <f>(AO$1=Założenia!$K$15)*1*(w.1="tak")</f>
        <v>0</v>
      </c>
      <c r="AP33" s="1">
        <f>(AP$1=Założenia!$K$15)*1*(w.1="tak")</f>
        <v>0</v>
      </c>
      <c r="AQ33" s="1">
        <f>(AQ$1=Założenia!$K$15)*1*(w.1="tak")</f>
        <v>0</v>
      </c>
      <c r="AR33" s="1">
        <f>(AR$1=Założenia!$K$15)*1*(w.1="tak")</f>
        <v>0</v>
      </c>
      <c r="AS33" s="1">
        <f>(AS$1=Założenia!$K$15)*1*(w.1="tak")</f>
        <v>0</v>
      </c>
      <c r="AT33" s="1">
        <f>(AT$1=Założenia!$K$15)*1*(w.1="tak")</f>
        <v>0</v>
      </c>
      <c r="AU33" s="1">
        <f>(AU$1=Założenia!$K$15)*1*(w.1="tak")</f>
        <v>0</v>
      </c>
      <c r="AV33" s="1">
        <f>(AV$1=Założenia!$K$15)*1*(w.1="tak")</f>
        <v>0</v>
      </c>
      <c r="AW33" s="1">
        <f>(AW$1=Założenia!$K$15)*1*(w.1="tak")</f>
        <v>0</v>
      </c>
      <c r="AX33" s="1">
        <f>(AX$1=Założenia!$K$15)*1*(w.1="tak")</f>
        <v>0</v>
      </c>
      <c r="AY33" s="1">
        <f>(AY$1=Założenia!$K$15)*1*(w.1="tak")</f>
        <v>0</v>
      </c>
      <c r="AZ33" s="1">
        <f>(AZ$1=Założenia!$K$15)*1*(w.1="tak")</f>
        <v>0</v>
      </c>
      <c r="BA33" s="1">
        <f>(BA$1=Założenia!$K$15)*1*(w.1="tak")</f>
        <v>0</v>
      </c>
    </row>
    <row r="34" spans="1:53" ht="15.75" customHeight="1" x14ac:dyDescent="0.35">
      <c r="B34" s="5"/>
      <c r="C34" s="5"/>
      <c r="D34" s="5" t="s">
        <v>42</v>
      </c>
      <c r="E34" s="5"/>
      <c r="F34" s="5"/>
      <c r="G34" s="5"/>
      <c r="H34" s="5"/>
      <c r="I34" s="5"/>
      <c r="J34" s="5"/>
      <c r="K34" s="5"/>
      <c r="Q34" s="1" cm="1">
        <f t="array" ref="Q34">SUM($P32:Q32,-$P33:P33)</f>
        <v>0</v>
      </c>
      <c r="R34" s="1" cm="1">
        <f t="array" ref="R34">SUM($P32:R32,-$P33:Q33)</f>
        <v>1</v>
      </c>
      <c r="S34" s="1" cm="1">
        <f t="array" ref="S34">SUM($P32:S32,-$P33:R33)</f>
        <v>0</v>
      </c>
      <c r="T34" s="1" cm="1">
        <f t="array" ref="T34">SUM($P32:T32,-$P33:S33)</f>
        <v>0</v>
      </c>
      <c r="U34" s="1" cm="1">
        <f t="array" ref="U34">SUM($P32:U32,-$P33:T33)</f>
        <v>0</v>
      </c>
      <c r="V34" s="1" cm="1">
        <f t="array" ref="V34">SUM($P32:V32,-$P33:U33)</f>
        <v>0</v>
      </c>
      <c r="W34" s="1" cm="1">
        <f t="array" ref="W34">SUM($P32:W32,-$P33:V33)</f>
        <v>0</v>
      </c>
      <c r="X34" s="1" cm="1">
        <f t="array" ref="X34">SUM($P32:X32,-$P33:W33)</f>
        <v>0</v>
      </c>
      <c r="Y34" s="1" cm="1">
        <f t="array" ref="Y34">SUM($P32:Y32,-$P33:X33)</f>
        <v>0</v>
      </c>
      <c r="Z34" s="1" cm="1">
        <f t="array" ref="Z34">SUM($P32:Z32,-$P33:Y33)</f>
        <v>0</v>
      </c>
      <c r="AA34" s="1" cm="1">
        <f t="array" ref="AA34">SUM($P32:AA32,-$P33:Z33)</f>
        <v>0</v>
      </c>
      <c r="AB34" s="1" cm="1">
        <f t="array" ref="AB34">SUM($P32:AB32,-$P33:AA33)</f>
        <v>0</v>
      </c>
      <c r="AC34" s="1" cm="1">
        <f t="array" ref="AC34">SUM($P32:AC32,-$P33:AB33)</f>
        <v>0</v>
      </c>
      <c r="AD34" s="1" cm="1">
        <f t="array" ref="AD34">SUM($P32:AD32,-$P33:AC33)</f>
        <v>0</v>
      </c>
      <c r="AE34" s="1" cm="1">
        <f t="array" ref="AE34">SUM($P32:AE32,-$P33:AD33)</f>
        <v>0</v>
      </c>
      <c r="AF34" s="1" cm="1">
        <f t="array" ref="AF34">SUM($P32:AF32,-$P33:AE33)</f>
        <v>0</v>
      </c>
      <c r="AG34" s="1" cm="1">
        <f t="array" ref="AG34">SUM($P32:AG32,-$P33:AF33)</f>
        <v>0</v>
      </c>
      <c r="AH34" s="1" cm="1">
        <f t="array" ref="AH34">SUM($P32:AH32,-$P33:AG33)</f>
        <v>0</v>
      </c>
      <c r="AI34" s="1" cm="1">
        <f t="array" ref="AI34">SUM($P32:AI32,-$P33:AH33)</f>
        <v>0</v>
      </c>
      <c r="AJ34" s="1" cm="1">
        <f t="array" ref="AJ34">SUM($P32:AJ32,-$P33:AI33)</f>
        <v>0</v>
      </c>
      <c r="AK34" s="1" cm="1">
        <f t="array" ref="AK34">SUM($P32:AK32,-$P33:AJ33)</f>
        <v>0</v>
      </c>
      <c r="AL34" s="1" cm="1">
        <f t="array" ref="AL34">SUM($P32:AL32,-$P33:AK33)</f>
        <v>0</v>
      </c>
      <c r="AM34" s="1" cm="1">
        <f t="array" ref="AM34">SUM($P32:AM32,-$P33:AL33)</f>
        <v>0</v>
      </c>
      <c r="AN34" s="1" cm="1">
        <f t="array" ref="AN34">SUM($P32:AN32,-$P33:AM33)</f>
        <v>0</v>
      </c>
      <c r="AO34" s="1" cm="1">
        <f t="array" ref="AO34">SUM($P32:AO32,-$P33:AN33)</f>
        <v>0</v>
      </c>
      <c r="AP34" s="1" cm="1">
        <f t="array" ref="AP34">SUM($P32:AP32,-$P33:AO33)</f>
        <v>0</v>
      </c>
      <c r="AQ34" s="1" cm="1">
        <f t="array" ref="AQ34">SUM($P32:AQ32,-$P33:AP33)</f>
        <v>0</v>
      </c>
      <c r="AR34" s="1" cm="1">
        <f t="array" ref="AR34">SUM($P32:AR32,-$P33:AQ33)</f>
        <v>0</v>
      </c>
      <c r="AS34" s="1" cm="1">
        <f t="array" ref="AS34">SUM($P32:AS32,-$P33:AR33)</f>
        <v>0</v>
      </c>
      <c r="AT34" s="1" cm="1">
        <f t="array" ref="AT34">SUM($P32:AT32,-$P33:AS33)</f>
        <v>0</v>
      </c>
      <c r="AU34" s="1" cm="1">
        <f t="array" ref="AU34">SUM($P32:AU32,-$P33:AT33)</f>
        <v>0</v>
      </c>
      <c r="AV34" s="1" cm="1">
        <f t="array" ref="AV34">SUM($P32:AV32,-$P33:AU33)</f>
        <v>0</v>
      </c>
      <c r="AW34" s="1" cm="1">
        <f t="array" ref="AW34">SUM($P32:AW32,-$P33:AV33)</f>
        <v>0</v>
      </c>
      <c r="AX34" s="1" cm="1">
        <f t="array" ref="AX34">SUM($P32:AX32,-$P33:AW33)</f>
        <v>0</v>
      </c>
      <c r="AY34" s="1" cm="1">
        <f t="array" ref="AY34">SUM($P32:AY32,-$P33:AX33)</f>
        <v>0</v>
      </c>
      <c r="AZ34" s="1" cm="1">
        <f t="array" ref="AZ34">SUM($P32:AZ32,-$P33:AY33)</f>
        <v>0</v>
      </c>
      <c r="BA34" s="1" cm="1">
        <f t="array" ref="BA34">SUM($P32:BA32,-$P33:AZ33)</f>
        <v>0</v>
      </c>
    </row>
    <row r="35" spans="1:53" ht="15.75" customHeight="1" x14ac:dyDescent="0.35">
      <c r="B35" s="5"/>
      <c r="C35" s="5" t="s">
        <v>37</v>
      </c>
      <c r="D35" s="5"/>
      <c r="E35" s="5"/>
      <c r="F35" s="5"/>
      <c r="G35" s="5"/>
      <c r="H35" s="5"/>
      <c r="I35" s="5"/>
      <c r="J35" s="5"/>
      <c r="K35" s="5"/>
    </row>
    <row r="36" spans="1:53" ht="15.75" customHeight="1" x14ac:dyDescent="0.35">
      <c r="B36" s="5"/>
      <c r="C36" s="5"/>
      <c r="D36" s="5" t="s">
        <v>40</v>
      </c>
      <c r="E36" s="5"/>
      <c r="F36" s="5"/>
      <c r="G36" s="5"/>
      <c r="H36" s="5"/>
      <c r="I36" s="5"/>
      <c r="J36" s="5"/>
      <c r="K36" s="5"/>
      <c r="Q36" s="1">
        <f>(Q$1=Założenia!$K$20)*1*(w.1="tak")</f>
        <v>0</v>
      </c>
      <c r="R36" s="1">
        <f>(R$1=Założenia!$K$20)*1*(w.1="tak")</f>
        <v>0</v>
      </c>
      <c r="S36" s="1">
        <f>(S$1=Założenia!$K$20)*1*(w.1="tak")</f>
        <v>1</v>
      </c>
      <c r="T36" s="1">
        <f>(T$1=Założenia!$K$20)*1*(w.1="tak")</f>
        <v>0</v>
      </c>
      <c r="U36" s="1">
        <f>(U$1=Założenia!$K$20)*1*(w.1="tak")</f>
        <v>0</v>
      </c>
      <c r="V36" s="1">
        <f>(V$1=Założenia!$K$20)*1*(w.1="tak")</f>
        <v>0</v>
      </c>
      <c r="W36" s="1">
        <f>(W$1=Założenia!$K$20)*1*(w.1="tak")</f>
        <v>0</v>
      </c>
      <c r="X36" s="1">
        <f>(X$1=Założenia!$K$20)*1*(w.1="tak")</f>
        <v>0</v>
      </c>
      <c r="Y36" s="1">
        <f>(Y$1=Założenia!$K$20)*1*(w.1="tak")</f>
        <v>0</v>
      </c>
      <c r="Z36" s="1">
        <f>(Z$1=Założenia!$K$20)*1*(w.1="tak")</f>
        <v>0</v>
      </c>
      <c r="AA36" s="1">
        <f>(AA$1=Założenia!$K$20)*1*(w.1="tak")</f>
        <v>0</v>
      </c>
      <c r="AB36" s="1">
        <f>(AB$1=Założenia!$K$20)*1*(w.1="tak")</f>
        <v>0</v>
      </c>
      <c r="AC36" s="1">
        <f>(AC$1=Założenia!$K$20)*1*(w.1="tak")</f>
        <v>0</v>
      </c>
      <c r="AD36" s="1">
        <f>(AD$1=Założenia!$K$20)*1*(w.1="tak")</f>
        <v>0</v>
      </c>
      <c r="AE36" s="1">
        <f>(AE$1=Założenia!$K$20)*1*(w.1="tak")</f>
        <v>0</v>
      </c>
      <c r="AF36" s="1">
        <f>(AF$1=Założenia!$K$20)*1*(w.1="tak")</f>
        <v>0</v>
      </c>
      <c r="AG36" s="1">
        <f>(AG$1=Założenia!$K$20)*1*(w.1="tak")</f>
        <v>0</v>
      </c>
      <c r="AH36" s="1">
        <f>(AH$1=Założenia!$K$20)*1*(w.1="tak")</f>
        <v>0</v>
      </c>
      <c r="AI36" s="1">
        <f>(AI$1=Założenia!$K$20)*1*(w.1="tak")</f>
        <v>0</v>
      </c>
      <c r="AJ36" s="1">
        <f>(AJ$1=Założenia!$K$20)*1*(w.1="tak")</f>
        <v>0</v>
      </c>
      <c r="AK36" s="1">
        <f>(AK$1=Założenia!$K$20)*1*(w.1="tak")</f>
        <v>0</v>
      </c>
      <c r="AL36" s="1">
        <f>(AL$1=Założenia!$K$20)*1*(w.1="tak")</f>
        <v>0</v>
      </c>
      <c r="AM36" s="1">
        <f>(AM$1=Założenia!$K$20)*1*(w.1="tak")</f>
        <v>0</v>
      </c>
      <c r="AN36" s="1">
        <f>(AN$1=Założenia!$K$20)*1*(w.1="tak")</f>
        <v>0</v>
      </c>
      <c r="AO36" s="1">
        <f>(AO$1=Założenia!$K$20)*1*(w.1="tak")</f>
        <v>0</v>
      </c>
      <c r="AP36" s="1">
        <f>(AP$1=Założenia!$K$20)*1*(w.1="tak")</f>
        <v>0</v>
      </c>
      <c r="AQ36" s="1">
        <f>(AQ$1=Założenia!$K$20)*1*(w.1="tak")</f>
        <v>0</v>
      </c>
      <c r="AR36" s="1">
        <f>(AR$1=Założenia!$K$20)*1*(w.1="tak")</f>
        <v>0</v>
      </c>
      <c r="AS36" s="1">
        <f>(AS$1=Założenia!$K$20)*1*(w.1="tak")</f>
        <v>0</v>
      </c>
      <c r="AT36" s="1">
        <f>(AT$1=Założenia!$K$20)*1*(w.1="tak")</f>
        <v>0</v>
      </c>
      <c r="AU36" s="1">
        <f>(AU$1=Założenia!$K$20)*1*(w.1="tak")</f>
        <v>0</v>
      </c>
      <c r="AV36" s="1">
        <f>(AV$1=Założenia!$K$20)*1*(w.1="tak")</f>
        <v>0</v>
      </c>
      <c r="AW36" s="1">
        <f>(AW$1=Założenia!$K$20)*1*(w.1="tak")</f>
        <v>0</v>
      </c>
      <c r="AX36" s="1">
        <f>(AX$1=Założenia!$K$20)*1*(w.1="tak")</f>
        <v>0</v>
      </c>
      <c r="AY36" s="1">
        <f>(AY$1=Założenia!$K$20)*1*(w.1="tak")</f>
        <v>0</v>
      </c>
      <c r="AZ36" s="1">
        <f>(AZ$1=Założenia!$K$20)*1*(w.1="tak")</f>
        <v>0</v>
      </c>
      <c r="BA36" s="1">
        <f>(BA$1=Założenia!$K$20)*1*(w.1="tak")</f>
        <v>0</v>
      </c>
    </row>
    <row r="37" spans="1:53" ht="15.75" customHeight="1" x14ac:dyDescent="0.35">
      <c r="B37" s="5"/>
      <c r="C37" s="5"/>
      <c r="D37" s="5" t="s">
        <v>41</v>
      </c>
      <c r="E37" s="5"/>
      <c r="F37" s="5"/>
      <c r="G37" s="5"/>
      <c r="H37" s="5"/>
      <c r="I37" s="5"/>
      <c r="J37" s="5"/>
      <c r="K37" s="5"/>
      <c r="Q37" s="1">
        <f>(Q$1=Założenia!$K$21)*1*(w.1="tak")</f>
        <v>0</v>
      </c>
      <c r="R37" s="1">
        <f>(R$1=Założenia!$K$21)*1*(w.1="tak")</f>
        <v>0</v>
      </c>
      <c r="S37" s="1">
        <f>(S$1=Założenia!$K$21)*1*(w.1="tak")</f>
        <v>1</v>
      </c>
      <c r="T37" s="1">
        <f>(T$1=Założenia!$K$21)*1*(w.1="tak")</f>
        <v>0</v>
      </c>
      <c r="U37" s="1">
        <f>(U$1=Założenia!$K$21)*1*(w.1="tak")</f>
        <v>0</v>
      </c>
      <c r="V37" s="1">
        <f>(V$1=Założenia!$K$21)*1*(w.1="tak")</f>
        <v>0</v>
      </c>
      <c r="W37" s="1">
        <f>(W$1=Założenia!$K$21)*1*(w.1="tak")</f>
        <v>0</v>
      </c>
      <c r="X37" s="1">
        <f>(X$1=Założenia!$K$21)*1*(w.1="tak")</f>
        <v>0</v>
      </c>
      <c r="Y37" s="1">
        <f>(Y$1=Założenia!$K$21)*1*(w.1="tak")</f>
        <v>0</v>
      </c>
      <c r="Z37" s="1">
        <f>(Z$1=Założenia!$K$21)*1*(w.1="tak")</f>
        <v>0</v>
      </c>
      <c r="AA37" s="1">
        <f>(AA$1=Założenia!$K$21)*1*(w.1="tak")</f>
        <v>0</v>
      </c>
      <c r="AB37" s="1">
        <f>(AB$1=Założenia!$K$21)*1*(w.1="tak")</f>
        <v>0</v>
      </c>
      <c r="AC37" s="1">
        <f>(AC$1=Założenia!$K$21)*1*(w.1="tak")</f>
        <v>0</v>
      </c>
      <c r="AD37" s="1">
        <f>(AD$1=Założenia!$K$21)*1*(w.1="tak")</f>
        <v>0</v>
      </c>
      <c r="AE37" s="1">
        <f>(AE$1=Założenia!$K$21)*1*(w.1="tak")</f>
        <v>0</v>
      </c>
      <c r="AF37" s="1">
        <f>(AF$1=Założenia!$K$21)*1*(w.1="tak")</f>
        <v>0</v>
      </c>
      <c r="AG37" s="1">
        <f>(AG$1=Założenia!$K$21)*1*(w.1="tak")</f>
        <v>0</v>
      </c>
      <c r="AH37" s="1">
        <f>(AH$1=Założenia!$K$21)*1*(w.1="tak")</f>
        <v>0</v>
      </c>
      <c r="AI37" s="1">
        <f>(AI$1=Założenia!$K$21)*1*(w.1="tak")</f>
        <v>0</v>
      </c>
      <c r="AJ37" s="1">
        <f>(AJ$1=Założenia!$K$21)*1*(w.1="tak")</f>
        <v>0</v>
      </c>
      <c r="AK37" s="1">
        <f>(AK$1=Założenia!$K$21)*1*(w.1="tak")</f>
        <v>0</v>
      </c>
      <c r="AL37" s="1">
        <f>(AL$1=Założenia!$K$21)*1*(w.1="tak")</f>
        <v>0</v>
      </c>
      <c r="AM37" s="1">
        <f>(AM$1=Założenia!$K$21)*1*(w.1="tak")</f>
        <v>0</v>
      </c>
      <c r="AN37" s="1">
        <f>(AN$1=Założenia!$K$21)*1*(w.1="tak")</f>
        <v>0</v>
      </c>
      <c r="AO37" s="1">
        <f>(AO$1=Założenia!$K$21)*1*(w.1="tak")</f>
        <v>0</v>
      </c>
      <c r="AP37" s="1">
        <f>(AP$1=Założenia!$K$21)*1*(w.1="tak")</f>
        <v>0</v>
      </c>
      <c r="AQ37" s="1">
        <f>(AQ$1=Założenia!$K$21)*1*(w.1="tak")</f>
        <v>0</v>
      </c>
      <c r="AR37" s="1">
        <f>(AR$1=Założenia!$K$21)*1*(w.1="tak")</f>
        <v>0</v>
      </c>
      <c r="AS37" s="1">
        <f>(AS$1=Założenia!$K$21)*1*(w.1="tak")</f>
        <v>0</v>
      </c>
      <c r="AT37" s="1">
        <f>(AT$1=Założenia!$K$21)*1*(w.1="tak")</f>
        <v>0</v>
      </c>
      <c r="AU37" s="1">
        <f>(AU$1=Założenia!$K$21)*1*(w.1="tak")</f>
        <v>0</v>
      </c>
      <c r="AV37" s="1">
        <f>(AV$1=Założenia!$K$21)*1*(w.1="tak")</f>
        <v>0</v>
      </c>
      <c r="AW37" s="1">
        <f>(AW$1=Założenia!$K$21)*1*(w.1="tak")</f>
        <v>0</v>
      </c>
      <c r="AX37" s="1">
        <f>(AX$1=Założenia!$K$21)*1*(w.1="tak")</f>
        <v>0</v>
      </c>
      <c r="AY37" s="1">
        <f>(AY$1=Założenia!$K$21)*1*(w.1="tak")</f>
        <v>0</v>
      </c>
      <c r="AZ37" s="1">
        <f>(AZ$1=Założenia!$K$21)*1*(w.1="tak")</f>
        <v>0</v>
      </c>
      <c r="BA37" s="1">
        <f>(BA$1=Założenia!$K$21)*1*(w.1="tak")</f>
        <v>0</v>
      </c>
    </row>
    <row r="38" spans="1:53" ht="15.75" customHeight="1" x14ac:dyDescent="0.35">
      <c r="B38" s="5"/>
      <c r="C38" s="5"/>
      <c r="D38" s="5" t="s">
        <v>42</v>
      </c>
      <c r="E38" s="5"/>
      <c r="F38" s="5"/>
      <c r="G38" s="5"/>
      <c r="H38" s="5"/>
      <c r="I38" s="5"/>
      <c r="J38" s="5"/>
      <c r="K38" s="5"/>
      <c r="Q38" s="1" cm="1">
        <f t="array" ref="Q38">SUM($P36:Q36,-$P37:P37)</f>
        <v>0</v>
      </c>
      <c r="R38" s="1" cm="1">
        <f t="array" ref="R38">SUM($P36:R36,-$P37:Q37)</f>
        <v>0</v>
      </c>
      <c r="S38" s="1" cm="1">
        <f t="array" ref="S38">SUM($P36:S36,-$P37:R37)</f>
        <v>1</v>
      </c>
      <c r="T38" s="1" cm="1">
        <f t="array" ref="T38">SUM($P36:T36,-$P37:S37)</f>
        <v>0</v>
      </c>
      <c r="U38" s="1" cm="1">
        <f t="array" ref="U38">SUM($P36:U36,-$P37:T37)</f>
        <v>0</v>
      </c>
      <c r="V38" s="1" cm="1">
        <f t="array" ref="V38">SUM($P36:V36,-$P37:U37)</f>
        <v>0</v>
      </c>
      <c r="W38" s="1" cm="1">
        <f t="array" ref="W38">SUM($P36:W36,-$P37:V37)</f>
        <v>0</v>
      </c>
      <c r="X38" s="1" cm="1">
        <f t="array" ref="X38">SUM($P36:X36,-$P37:W37)</f>
        <v>0</v>
      </c>
      <c r="Y38" s="1" cm="1">
        <f t="array" ref="Y38">SUM($P36:Y36,-$P37:X37)</f>
        <v>0</v>
      </c>
      <c r="Z38" s="1" cm="1">
        <f t="array" ref="Z38">SUM($P36:Z36,-$P37:Y37)</f>
        <v>0</v>
      </c>
      <c r="AA38" s="1" cm="1">
        <f t="array" ref="AA38">SUM($P36:AA36,-$P37:Z37)</f>
        <v>0</v>
      </c>
      <c r="AB38" s="1" cm="1">
        <f t="array" ref="AB38">SUM($P36:AB36,-$P37:AA37)</f>
        <v>0</v>
      </c>
      <c r="AC38" s="1" cm="1">
        <f t="array" ref="AC38">SUM($P36:AC36,-$P37:AB37)</f>
        <v>0</v>
      </c>
      <c r="AD38" s="1" cm="1">
        <f t="array" ref="AD38">SUM($P36:AD36,-$P37:AC37)</f>
        <v>0</v>
      </c>
      <c r="AE38" s="1" cm="1">
        <f t="array" ref="AE38">SUM($P36:AE36,-$P37:AD37)</f>
        <v>0</v>
      </c>
      <c r="AF38" s="1" cm="1">
        <f t="array" ref="AF38">SUM($P36:AF36,-$P37:AE37)</f>
        <v>0</v>
      </c>
      <c r="AG38" s="1" cm="1">
        <f t="array" ref="AG38">SUM($P36:AG36,-$P37:AF37)</f>
        <v>0</v>
      </c>
      <c r="AH38" s="1" cm="1">
        <f t="array" ref="AH38">SUM($P36:AH36,-$P37:AG37)</f>
        <v>0</v>
      </c>
      <c r="AI38" s="1" cm="1">
        <f t="array" ref="AI38">SUM($P36:AI36,-$P37:AH37)</f>
        <v>0</v>
      </c>
      <c r="AJ38" s="1" cm="1">
        <f t="array" ref="AJ38">SUM($P36:AJ36,-$P37:AI37)</f>
        <v>0</v>
      </c>
      <c r="AK38" s="1" cm="1">
        <f t="array" ref="AK38">SUM($P36:AK36,-$P37:AJ37)</f>
        <v>0</v>
      </c>
      <c r="AL38" s="1" cm="1">
        <f t="array" ref="AL38">SUM($P36:AL36,-$P37:AK37)</f>
        <v>0</v>
      </c>
      <c r="AM38" s="1" cm="1">
        <f t="array" ref="AM38">SUM($P36:AM36,-$P37:AL37)</f>
        <v>0</v>
      </c>
      <c r="AN38" s="1" cm="1">
        <f t="array" ref="AN38">SUM($P36:AN36,-$P37:AM37)</f>
        <v>0</v>
      </c>
      <c r="AO38" s="1" cm="1">
        <f t="array" ref="AO38">SUM($P36:AO36,-$P37:AN37)</f>
        <v>0</v>
      </c>
      <c r="AP38" s="1" cm="1">
        <f t="array" ref="AP38">SUM($P36:AP36,-$P37:AO37)</f>
        <v>0</v>
      </c>
      <c r="AQ38" s="1" cm="1">
        <f t="array" ref="AQ38">SUM($P36:AQ36,-$P37:AP37)</f>
        <v>0</v>
      </c>
      <c r="AR38" s="1" cm="1">
        <f t="array" ref="AR38">SUM($P36:AR36,-$P37:AQ37)</f>
        <v>0</v>
      </c>
      <c r="AS38" s="1" cm="1">
        <f t="array" ref="AS38">SUM($P36:AS36,-$P37:AR37)</f>
        <v>0</v>
      </c>
      <c r="AT38" s="1" cm="1">
        <f t="array" ref="AT38">SUM($P36:AT36,-$P37:AS37)</f>
        <v>0</v>
      </c>
      <c r="AU38" s="1" cm="1">
        <f t="array" ref="AU38">SUM($P36:AU36,-$P37:AT37)</f>
        <v>0</v>
      </c>
      <c r="AV38" s="1" cm="1">
        <f t="array" ref="AV38">SUM($P36:AV36,-$P37:AU37)</f>
        <v>0</v>
      </c>
      <c r="AW38" s="1" cm="1">
        <f t="array" ref="AW38">SUM($P36:AW36,-$P37:AV37)</f>
        <v>0</v>
      </c>
      <c r="AX38" s="1" cm="1">
        <f t="array" ref="AX38">SUM($P36:AX36,-$P37:AW37)</f>
        <v>0</v>
      </c>
      <c r="AY38" s="1" cm="1">
        <f t="array" ref="AY38">SUM($P36:AY36,-$P37:AX37)</f>
        <v>0</v>
      </c>
      <c r="AZ38" s="1" cm="1">
        <f t="array" ref="AZ38">SUM($P36:AZ36,-$P37:AY37)</f>
        <v>0</v>
      </c>
      <c r="BA38" s="1" cm="1">
        <f t="array" ref="BA38">SUM($P36:BA36,-$P37:AZ37)</f>
        <v>0</v>
      </c>
    </row>
    <row r="39" spans="1:53" ht="15.75" customHeight="1" x14ac:dyDescent="0.35">
      <c r="B39" s="5"/>
      <c r="C39" s="5" t="s">
        <v>38</v>
      </c>
      <c r="D39" s="5"/>
      <c r="E39" s="5"/>
      <c r="F39" s="5"/>
      <c r="G39" s="5"/>
      <c r="H39" s="5"/>
      <c r="I39" s="5"/>
      <c r="J39" s="5"/>
      <c r="K39" s="5"/>
    </row>
    <row r="40" spans="1:53" ht="15.75" customHeight="1" x14ac:dyDescent="0.35">
      <c r="B40" s="5"/>
      <c r="C40" s="5"/>
      <c r="D40" s="5" t="s">
        <v>40</v>
      </c>
      <c r="E40" s="5"/>
      <c r="F40" s="5"/>
      <c r="G40" s="5"/>
      <c r="H40" s="5"/>
      <c r="I40" s="5"/>
      <c r="J40" s="5"/>
      <c r="K40" s="5"/>
      <c r="Q40" s="1">
        <f>(Q$1=Założenia!$K$26)*1*(w.1="tak")</f>
        <v>0</v>
      </c>
      <c r="R40" s="1">
        <f>(R$1=Założenia!$K$26)*1*(w.1="tak")</f>
        <v>0</v>
      </c>
      <c r="S40" s="1">
        <f>(S$1=Założenia!$K$26)*1*(w.1="tak")</f>
        <v>0</v>
      </c>
      <c r="T40" s="1">
        <f>(T$1=Założenia!$K$26)*1*(w.1="tak")</f>
        <v>1</v>
      </c>
      <c r="U40" s="1">
        <f>(U$1=Założenia!$K$26)*1*(w.1="tak")</f>
        <v>0</v>
      </c>
      <c r="V40" s="1">
        <f>(V$1=Założenia!$K$26)*1*(w.1="tak")</f>
        <v>0</v>
      </c>
      <c r="W40" s="1">
        <f>(W$1=Założenia!$K$26)*1*(w.1="tak")</f>
        <v>0</v>
      </c>
      <c r="X40" s="1">
        <f>(X$1=Założenia!$K$26)*1*(w.1="tak")</f>
        <v>0</v>
      </c>
      <c r="Y40" s="1">
        <f>(Y$1=Założenia!$K$26)*1*(w.1="tak")</f>
        <v>0</v>
      </c>
      <c r="Z40" s="1">
        <f>(Z$1=Założenia!$K$26)*1*(w.1="tak")</f>
        <v>0</v>
      </c>
      <c r="AA40" s="1">
        <f>(AA$1=Założenia!$K$26)*1*(w.1="tak")</f>
        <v>0</v>
      </c>
      <c r="AB40" s="1">
        <f>(AB$1=Założenia!$K$26)*1*(w.1="tak")</f>
        <v>0</v>
      </c>
      <c r="AC40" s="1">
        <f>(AC$1=Założenia!$K$26)*1*(w.1="tak")</f>
        <v>0</v>
      </c>
      <c r="AD40" s="1">
        <f>(AD$1=Założenia!$K$26)*1*(w.1="tak")</f>
        <v>0</v>
      </c>
      <c r="AE40" s="1">
        <f>(AE$1=Założenia!$K$26)*1*(w.1="tak")</f>
        <v>0</v>
      </c>
      <c r="AF40" s="1">
        <f>(AF$1=Założenia!$K$26)*1*(w.1="tak")</f>
        <v>0</v>
      </c>
      <c r="AG40" s="1">
        <f>(AG$1=Założenia!$K$26)*1*(w.1="tak")</f>
        <v>0</v>
      </c>
      <c r="AH40" s="1">
        <f>(AH$1=Założenia!$K$26)*1*(w.1="tak")</f>
        <v>0</v>
      </c>
      <c r="AI40" s="1">
        <f>(AI$1=Założenia!$K$26)*1*(w.1="tak")</f>
        <v>0</v>
      </c>
      <c r="AJ40" s="1">
        <f>(AJ$1=Założenia!$K$26)*1*(w.1="tak")</f>
        <v>0</v>
      </c>
      <c r="AK40" s="1">
        <f>(AK$1=Założenia!$K$26)*1*(w.1="tak")</f>
        <v>0</v>
      </c>
      <c r="AL40" s="1">
        <f>(AL$1=Założenia!$K$26)*1*(w.1="tak")</f>
        <v>0</v>
      </c>
      <c r="AM40" s="1">
        <f>(AM$1=Założenia!$K$26)*1*(w.1="tak")</f>
        <v>0</v>
      </c>
      <c r="AN40" s="1">
        <f>(AN$1=Założenia!$K$26)*1*(w.1="tak")</f>
        <v>0</v>
      </c>
      <c r="AO40" s="1">
        <f>(AO$1=Założenia!$K$26)*1*(w.1="tak")</f>
        <v>0</v>
      </c>
      <c r="AP40" s="1">
        <f>(AP$1=Założenia!$K$26)*1*(w.1="tak")</f>
        <v>0</v>
      </c>
      <c r="AQ40" s="1">
        <f>(AQ$1=Założenia!$K$26)*1*(w.1="tak")</f>
        <v>0</v>
      </c>
      <c r="AR40" s="1">
        <f>(AR$1=Założenia!$K$26)*1*(w.1="tak")</f>
        <v>0</v>
      </c>
      <c r="AS40" s="1">
        <f>(AS$1=Założenia!$K$26)*1*(w.1="tak")</f>
        <v>0</v>
      </c>
      <c r="AT40" s="1">
        <f>(AT$1=Założenia!$K$26)*1*(w.1="tak")</f>
        <v>0</v>
      </c>
      <c r="AU40" s="1">
        <f>(AU$1=Założenia!$K$26)*1*(w.1="tak")</f>
        <v>0</v>
      </c>
      <c r="AV40" s="1">
        <f>(AV$1=Założenia!$K$26)*1*(w.1="tak")</f>
        <v>0</v>
      </c>
      <c r="AW40" s="1">
        <f>(AW$1=Założenia!$K$26)*1*(w.1="tak")</f>
        <v>0</v>
      </c>
      <c r="AX40" s="1">
        <f>(AX$1=Założenia!$K$26)*1*(w.1="tak")</f>
        <v>0</v>
      </c>
      <c r="AY40" s="1">
        <f>(AY$1=Założenia!$K$26)*1*(w.1="tak")</f>
        <v>0</v>
      </c>
      <c r="AZ40" s="1">
        <f>(AZ$1=Założenia!$K$26)*1*(w.1="tak")</f>
        <v>0</v>
      </c>
      <c r="BA40" s="1">
        <f>(BA$1=Założenia!$K$26)*1*(w.1="tak")</f>
        <v>0</v>
      </c>
    </row>
    <row r="41" spans="1:53" ht="15.75" customHeight="1" x14ac:dyDescent="0.35">
      <c r="B41" s="5"/>
      <c r="C41" s="5"/>
      <c r="D41" s="5" t="s">
        <v>41</v>
      </c>
      <c r="E41" s="5"/>
      <c r="F41" s="5"/>
      <c r="G41" s="5"/>
      <c r="H41" s="5"/>
      <c r="I41" s="5"/>
      <c r="J41" s="5"/>
      <c r="K41" s="5"/>
      <c r="Q41" s="1">
        <f>(Q$1=Założenia!$K$27)*1*(w.1="tak")</f>
        <v>0</v>
      </c>
      <c r="R41" s="1">
        <f>(R$1=Założenia!$K$27)*1*(w.1="tak")</f>
        <v>0</v>
      </c>
      <c r="S41" s="1">
        <f>(S$1=Założenia!$K$27)*1*(w.1="tak")</f>
        <v>0</v>
      </c>
      <c r="T41" s="1">
        <f>(T$1=Założenia!$K$27)*1*(w.1="tak")</f>
        <v>1</v>
      </c>
      <c r="U41" s="1">
        <f>(U$1=Założenia!$K$27)*1*(w.1="tak")</f>
        <v>0</v>
      </c>
      <c r="V41" s="1">
        <f>(V$1=Założenia!$K$27)*1*(w.1="tak")</f>
        <v>0</v>
      </c>
      <c r="W41" s="1">
        <f>(W$1=Założenia!$K$27)*1*(w.1="tak")</f>
        <v>0</v>
      </c>
      <c r="X41" s="1">
        <f>(X$1=Założenia!$K$27)*1*(w.1="tak")</f>
        <v>0</v>
      </c>
      <c r="Y41" s="1">
        <f>(Y$1=Założenia!$K$27)*1*(w.1="tak")</f>
        <v>0</v>
      </c>
      <c r="Z41" s="1">
        <f>(Z$1=Założenia!$K$27)*1*(w.1="tak")</f>
        <v>0</v>
      </c>
      <c r="AA41" s="1">
        <f>(AA$1=Założenia!$K$27)*1*(w.1="tak")</f>
        <v>0</v>
      </c>
      <c r="AB41" s="1">
        <f>(AB$1=Założenia!$K$27)*1*(w.1="tak")</f>
        <v>0</v>
      </c>
      <c r="AC41" s="1">
        <f>(AC$1=Założenia!$K$27)*1*(w.1="tak")</f>
        <v>0</v>
      </c>
      <c r="AD41" s="1">
        <f>(AD$1=Założenia!$K$27)*1*(w.1="tak")</f>
        <v>0</v>
      </c>
      <c r="AE41" s="1">
        <f>(AE$1=Założenia!$K$27)*1*(w.1="tak")</f>
        <v>0</v>
      </c>
      <c r="AF41" s="1">
        <f>(AF$1=Założenia!$K$27)*1*(w.1="tak")</f>
        <v>0</v>
      </c>
      <c r="AG41" s="1">
        <f>(AG$1=Założenia!$K$27)*1*(w.1="tak")</f>
        <v>0</v>
      </c>
      <c r="AH41" s="1">
        <f>(AH$1=Założenia!$K$27)*1*(w.1="tak")</f>
        <v>0</v>
      </c>
      <c r="AI41" s="1">
        <f>(AI$1=Założenia!$K$27)*1*(w.1="tak")</f>
        <v>0</v>
      </c>
      <c r="AJ41" s="1">
        <f>(AJ$1=Założenia!$K$27)*1*(w.1="tak")</f>
        <v>0</v>
      </c>
      <c r="AK41" s="1">
        <f>(AK$1=Założenia!$K$27)*1*(w.1="tak")</f>
        <v>0</v>
      </c>
      <c r="AL41" s="1">
        <f>(AL$1=Założenia!$K$27)*1*(w.1="tak")</f>
        <v>0</v>
      </c>
      <c r="AM41" s="1">
        <f>(AM$1=Założenia!$K$27)*1*(w.1="tak")</f>
        <v>0</v>
      </c>
      <c r="AN41" s="1">
        <f>(AN$1=Założenia!$K$27)*1*(w.1="tak")</f>
        <v>0</v>
      </c>
      <c r="AO41" s="1">
        <f>(AO$1=Założenia!$K$27)*1*(w.1="tak")</f>
        <v>0</v>
      </c>
      <c r="AP41" s="1">
        <f>(AP$1=Założenia!$K$27)*1*(w.1="tak")</f>
        <v>0</v>
      </c>
      <c r="AQ41" s="1">
        <f>(AQ$1=Założenia!$K$27)*1*(w.1="tak")</f>
        <v>0</v>
      </c>
      <c r="AR41" s="1">
        <f>(AR$1=Założenia!$K$27)*1*(w.1="tak")</f>
        <v>0</v>
      </c>
      <c r="AS41" s="1">
        <f>(AS$1=Założenia!$K$27)*1*(w.1="tak")</f>
        <v>0</v>
      </c>
      <c r="AT41" s="1">
        <f>(AT$1=Założenia!$K$27)*1*(w.1="tak")</f>
        <v>0</v>
      </c>
      <c r="AU41" s="1">
        <f>(AU$1=Założenia!$K$27)*1*(w.1="tak")</f>
        <v>0</v>
      </c>
      <c r="AV41" s="1">
        <f>(AV$1=Założenia!$K$27)*1*(w.1="tak")</f>
        <v>0</v>
      </c>
      <c r="AW41" s="1">
        <f>(AW$1=Założenia!$K$27)*1*(w.1="tak")</f>
        <v>0</v>
      </c>
      <c r="AX41" s="1">
        <f>(AX$1=Założenia!$K$27)*1*(w.1="tak")</f>
        <v>0</v>
      </c>
      <c r="AY41" s="1">
        <f>(AY$1=Założenia!$K$27)*1*(w.1="tak")</f>
        <v>0</v>
      </c>
      <c r="AZ41" s="1">
        <f>(AZ$1=Założenia!$K$27)*1*(w.1="tak")</f>
        <v>0</v>
      </c>
      <c r="BA41" s="1">
        <f>(BA$1=Założenia!$K$27)*1*(w.1="tak")</f>
        <v>0</v>
      </c>
    </row>
    <row r="42" spans="1:53" ht="15.75" customHeight="1" x14ac:dyDescent="0.35">
      <c r="B42" s="5"/>
      <c r="C42" s="5"/>
      <c r="D42" s="5" t="s">
        <v>42</v>
      </c>
      <c r="E42" s="5"/>
      <c r="F42" s="5"/>
      <c r="G42" s="5"/>
      <c r="H42" s="5"/>
      <c r="I42" s="5"/>
      <c r="J42" s="5"/>
      <c r="K42" s="5"/>
      <c r="Q42" s="1" cm="1">
        <f t="array" ref="Q42">SUM($P40:Q40,-$P41:P41)</f>
        <v>0</v>
      </c>
      <c r="R42" s="1" cm="1">
        <f t="array" ref="R42">SUM($P40:R40,-$P41:Q41)</f>
        <v>0</v>
      </c>
      <c r="S42" s="1" cm="1">
        <f t="array" ref="S42">SUM($P40:S40,-$P41:R41)</f>
        <v>0</v>
      </c>
      <c r="T42" s="1" cm="1">
        <f t="array" ref="T42">SUM($P40:T40,-$P41:S41)</f>
        <v>1</v>
      </c>
      <c r="U42" s="1" cm="1">
        <f t="array" ref="U42">SUM($P40:U40,-$P41:T41)</f>
        <v>0</v>
      </c>
      <c r="V42" s="1" cm="1">
        <f t="array" ref="V42">SUM($P40:V40,-$P41:U41)</f>
        <v>0</v>
      </c>
      <c r="W42" s="1" cm="1">
        <f t="array" ref="W42">SUM($P40:W40,-$P41:V41)</f>
        <v>0</v>
      </c>
      <c r="X42" s="1" cm="1">
        <f t="array" ref="X42">SUM($P40:X40,-$P41:W41)</f>
        <v>0</v>
      </c>
      <c r="Y42" s="1" cm="1">
        <f t="array" ref="Y42">SUM($P40:Y40,-$P41:X41)</f>
        <v>0</v>
      </c>
      <c r="Z42" s="1" cm="1">
        <f t="array" ref="Z42">SUM($P40:Z40,-$P41:Y41)</f>
        <v>0</v>
      </c>
      <c r="AA42" s="1" cm="1">
        <f t="array" ref="AA42">SUM($P40:AA40,-$P41:Z41)</f>
        <v>0</v>
      </c>
      <c r="AB42" s="1" cm="1">
        <f t="array" ref="AB42">SUM($P40:AB40,-$P41:AA41)</f>
        <v>0</v>
      </c>
      <c r="AC42" s="1" cm="1">
        <f t="array" ref="AC42">SUM($P40:AC40,-$P41:AB41)</f>
        <v>0</v>
      </c>
      <c r="AD42" s="1" cm="1">
        <f t="array" ref="AD42">SUM($P40:AD40,-$P41:AC41)</f>
        <v>0</v>
      </c>
      <c r="AE42" s="1" cm="1">
        <f t="array" ref="AE42">SUM($P40:AE40,-$P41:AD41)</f>
        <v>0</v>
      </c>
      <c r="AF42" s="1" cm="1">
        <f t="array" ref="AF42">SUM($P40:AF40,-$P41:AE41)</f>
        <v>0</v>
      </c>
      <c r="AG42" s="1" cm="1">
        <f t="array" ref="AG42">SUM($P40:AG40,-$P41:AF41)</f>
        <v>0</v>
      </c>
      <c r="AH42" s="1" cm="1">
        <f t="array" ref="AH42">SUM($P40:AH40,-$P41:AG41)</f>
        <v>0</v>
      </c>
      <c r="AI42" s="1" cm="1">
        <f t="array" ref="AI42">SUM($P40:AI40,-$P41:AH41)</f>
        <v>0</v>
      </c>
      <c r="AJ42" s="1" cm="1">
        <f t="array" ref="AJ42">SUM($P40:AJ40,-$P41:AI41)</f>
        <v>0</v>
      </c>
      <c r="AK42" s="1" cm="1">
        <f t="array" ref="AK42">SUM($P40:AK40,-$P41:AJ41)</f>
        <v>0</v>
      </c>
      <c r="AL42" s="1" cm="1">
        <f t="array" ref="AL42">SUM($P40:AL40,-$P41:AK41)</f>
        <v>0</v>
      </c>
      <c r="AM42" s="1" cm="1">
        <f t="array" ref="AM42">SUM($P40:AM40,-$P41:AL41)</f>
        <v>0</v>
      </c>
      <c r="AN42" s="1" cm="1">
        <f t="array" ref="AN42">SUM($P40:AN40,-$P41:AM41)</f>
        <v>0</v>
      </c>
      <c r="AO42" s="1" cm="1">
        <f t="array" ref="AO42">SUM($P40:AO40,-$P41:AN41)</f>
        <v>0</v>
      </c>
      <c r="AP42" s="1" cm="1">
        <f t="array" ref="AP42">SUM($P40:AP40,-$P41:AO41)</f>
        <v>0</v>
      </c>
      <c r="AQ42" s="1" cm="1">
        <f t="array" ref="AQ42">SUM($P40:AQ40,-$P41:AP41)</f>
        <v>0</v>
      </c>
      <c r="AR42" s="1" cm="1">
        <f t="array" ref="AR42">SUM($P40:AR40,-$P41:AQ41)</f>
        <v>0</v>
      </c>
      <c r="AS42" s="1" cm="1">
        <f t="array" ref="AS42">SUM($P40:AS40,-$P41:AR41)</f>
        <v>0</v>
      </c>
      <c r="AT42" s="1" cm="1">
        <f t="array" ref="AT42">SUM($P40:AT40,-$P41:AS41)</f>
        <v>0</v>
      </c>
      <c r="AU42" s="1" cm="1">
        <f t="array" ref="AU42">SUM($P40:AU40,-$P41:AT41)</f>
        <v>0</v>
      </c>
      <c r="AV42" s="1" cm="1">
        <f t="array" ref="AV42">SUM($P40:AV40,-$P41:AU41)</f>
        <v>0</v>
      </c>
      <c r="AW42" s="1" cm="1">
        <f t="array" ref="AW42">SUM($P40:AW40,-$P41:AV41)</f>
        <v>0</v>
      </c>
      <c r="AX42" s="1" cm="1">
        <f t="array" ref="AX42">SUM($P40:AX40,-$P41:AW41)</f>
        <v>0</v>
      </c>
      <c r="AY42" s="1" cm="1">
        <f t="array" ref="AY42">SUM($P40:AY40,-$P41:AX41)</f>
        <v>0</v>
      </c>
      <c r="AZ42" s="1" cm="1">
        <f t="array" ref="AZ42">SUM($P40:AZ40,-$P41:AY41)</f>
        <v>0</v>
      </c>
      <c r="BA42" s="1" cm="1">
        <f t="array" ref="BA42">SUM($P40:BA40,-$P41:AZ41)</f>
        <v>0</v>
      </c>
    </row>
    <row r="43" spans="1:53" ht="15.75" customHeight="1" x14ac:dyDescent="0.35">
      <c r="B43" s="5"/>
      <c r="C43" s="5" t="s">
        <v>44</v>
      </c>
      <c r="D43" s="5"/>
      <c r="E43" s="5"/>
      <c r="F43" s="5"/>
      <c r="G43" s="5"/>
      <c r="H43" s="5"/>
      <c r="I43" s="5"/>
      <c r="J43" s="5"/>
      <c r="K43" s="5"/>
    </row>
    <row r="44" spans="1:53" ht="15.75" customHeight="1" x14ac:dyDescent="0.35">
      <c r="B44" s="5"/>
      <c r="C44" s="5"/>
      <c r="D44" s="5" t="s">
        <v>40</v>
      </c>
      <c r="E44" s="5"/>
      <c r="F44" s="5"/>
      <c r="G44" s="5"/>
      <c r="H44" s="5"/>
      <c r="I44" s="5"/>
      <c r="J44" s="5"/>
      <c r="K44" s="5"/>
      <c r="Q44" s="1">
        <f>(Q$1=Założenia!$K$14)*1*(w.1="tak")</f>
        <v>0</v>
      </c>
      <c r="R44" s="1">
        <f>(R$1=Założenia!$K$14)*1*(w.1="tak")</f>
        <v>1</v>
      </c>
      <c r="S44" s="1">
        <f>(S$1=Założenia!$K$14)*1*(w.1="tak")</f>
        <v>0</v>
      </c>
      <c r="T44" s="1">
        <f>(T$1=Założenia!$K$14)*1*(w.1="tak")</f>
        <v>0</v>
      </c>
      <c r="U44" s="1">
        <f>(U$1=Założenia!$K$14)*1*(w.1="tak")</f>
        <v>0</v>
      </c>
      <c r="V44" s="1">
        <f>(V$1=Założenia!$K$14)*1*(w.1="tak")</f>
        <v>0</v>
      </c>
      <c r="W44" s="1">
        <f>(W$1=Założenia!$K$14)*1*(w.1="tak")</f>
        <v>0</v>
      </c>
      <c r="X44" s="1">
        <f>(X$1=Założenia!$K$14)*1*(w.1="tak")</f>
        <v>0</v>
      </c>
      <c r="Y44" s="1">
        <f>(Y$1=Założenia!$K$14)*1*(w.1="tak")</f>
        <v>0</v>
      </c>
      <c r="Z44" s="1">
        <f>(Z$1=Założenia!$K$14)*1*(w.1="tak")</f>
        <v>0</v>
      </c>
      <c r="AA44" s="1">
        <f>(AA$1=Założenia!$K$14)*1*(w.1="tak")</f>
        <v>0</v>
      </c>
      <c r="AB44" s="1">
        <f>(AB$1=Założenia!$K$14)*1*(w.1="tak")</f>
        <v>0</v>
      </c>
      <c r="AC44" s="1">
        <f>(AC$1=Założenia!$K$14)*1*(w.1="tak")</f>
        <v>0</v>
      </c>
      <c r="AD44" s="1">
        <f>(AD$1=Założenia!$K$14)*1*(w.1="tak")</f>
        <v>0</v>
      </c>
      <c r="AE44" s="1">
        <f>(AE$1=Założenia!$K$14)*1*(w.1="tak")</f>
        <v>0</v>
      </c>
      <c r="AF44" s="1">
        <f>(AF$1=Założenia!$K$14)*1*(w.1="tak")</f>
        <v>0</v>
      </c>
      <c r="AG44" s="1">
        <f>(AG$1=Założenia!$K$14)*1*(w.1="tak")</f>
        <v>0</v>
      </c>
      <c r="AH44" s="1">
        <f>(AH$1=Założenia!$K$14)*1*(w.1="tak")</f>
        <v>0</v>
      </c>
      <c r="AI44" s="1">
        <f>(AI$1=Założenia!$K$14)*1*(w.1="tak")</f>
        <v>0</v>
      </c>
      <c r="AJ44" s="1">
        <f>(AJ$1=Założenia!$K$14)*1*(w.1="tak")</f>
        <v>0</v>
      </c>
      <c r="AK44" s="1">
        <f>(AK$1=Założenia!$K$14)*1*(w.1="tak")</f>
        <v>0</v>
      </c>
      <c r="AL44" s="1">
        <f>(AL$1=Założenia!$K$14)*1*(w.1="tak")</f>
        <v>0</v>
      </c>
      <c r="AM44" s="1">
        <f>(AM$1=Założenia!$K$14)*1*(w.1="tak")</f>
        <v>0</v>
      </c>
      <c r="AN44" s="1">
        <f>(AN$1=Założenia!$K$14)*1*(w.1="tak")</f>
        <v>0</v>
      </c>
      <c r="AO44" s="1">
        <f>(AO$1=Założenia!$K$14)*1*(w.1="tak")</f>
        <v>0</v>
      </c>
      <c r="AP44" s="1">
        <f>(AP$1=Założenia!$K$14)*1*(w.1="tak")</f>
        <v>0</v>
      </c>
      <c r="AQ44" s="1">
        <f>(AQ$1=Założenia!$K$14)*1*(w.1="tak")</f>
        <v>0</v>
      </c>
      <c r="AR44" s="1">
        <f>(AR$1=Założenia!$K$14)*1*(w.1="tak")</f>
        <v>0</v>
      </c>
      <c r="AS44" s="1">
        <f>(AS$1=Założenia!$K$14)*1*(w.1="tak")</f>
        <v>0</v>
      </c>
      <c r="AT44" s="1">
        <f>(AT$1=Założenia!$K$14)*1*(w.1="tak")</f>
        <v>0</v>
      </c>
      <c r="AU44" s="1">
        <f>(AU$1=Założenia!$K$14)*1*(w.1="tak")</f>
        <v>0</v>
      </c>
      <c r="AV44" s="1">
        <f>(AV$1=Założenia!$K$14)*1*(w.1="tak")</f>
        <v>0</v>
      </c>
      <c r="AW44" s="1">
        <f>(AW$1=Założenia!$K$14)*1*(w.1="tak")</f>
        <v>0</v>
      </c>
      <c r="AX44" s="1">
        <f>(AX$1=Założenia!$K$14)*1*(w.1="tak")</f>
        <v>0</v>
      </c>
      <c r="AY44" s="1">
        <f>(AY$1=Założenia!$K$14)*1*(w.1="tak")</f>
        <v>0</v>
      </c>
      <c r="AZ44" s="1">
        <f>(AZ$1=Założenia!$K$14)*1*(w.1="tak")</f>
        <v>0</v>
      </c>
      <c r="BA44" s="1">
        <f>(BA$1=Założenia!$K$14)*1*(w.1="tak")</f>
        <v>0</v>
      </c>
    </row>
    <row r="45" spans="1:53" ht="15.75" customHeight="1" x14ac:dyDescent="0.35">
      <c r="B45" s="5"/>
      <c r="C45" s="5"/>
      <c r="D45" s="5" t="s">
        <v>41</v>
      </c>
      <c r="E45" s="5"/>
      <c r="F45" s="5"/>
      <c r="G45" s="5"/>
      <c r="H45" s="5"/>
      <c r="I45" s="5"/>
      <c r="J45" s="5"/>
      <c r="K45" s="5"/>
      <c r="Q45" s="1">
        <f>(Q$1=Założenia!$K$27)*1*(w.1="tak")</f>
        <v>0</v>
      </c>
      <c r="R45" s="1">
        <f>(R$1=Założenia!$K$27)*1*(w.1="tak")</f>
        <v>0</v>
      </c>
      <c r="S45" s="1">
        <f>(S$1=Założenia!$K$27)*1*(w.1="tak")</f>
        <v>0</v>
      </c>
      <c r="T45" s="1">
        <f>(T$1=Założenia!$K$27)*1*(w.1="tak")</f>
        <v>1</v>
      </c>
      <c r="U45" s="1">
        <f>(U$1=Założenia!$K$27)*1*(w.1="tak")</f>
        <v>0</v>
      </c>
      <c r="V45" s="1">
        <f>(V$1=Założenia!$K$27)*1*(w.1="tak")</f>
        <v>0</v>
      </c>
      <c r="W45" s="1">
        <f>(W$1=Założenia!$K$27)*1*(w.1="tak")</f>
        <v>0</v>
      </c>
      <c r="X45" s="1">
        <f>(X$1=Założenia!$K$27)*1*(w.1="tak")</f>
        <v>0</v>
      </c>
      <c r="Y45" s="1">
        <f>(Y$1=Założenia!$K$27)*1*(w.1="tak")</f>
        <v>0</v>
      </c>
      <c r="Z45" s="1">
        <f>(Z$1=Założenia!$K$27)*1*(w.1="tak")</f>
        <v>0</v>
      </c>
      <c r="AA45" s="1">
        <f>(AA$1=Założenia!$K$27)*1*(w.1="tak")</f>
        <v>0</v>
      </c>
      <c r="AB45" s="1">
        <f>(AB$1=Założenia!$K$27)*1*(w.1="tak")</f>
        <v>0</v>
      </c>
      <c r="AC45" s="1">
        <f>(AC$1=Założenia!$K$27)*1*(w.1="tak")</f>
        <v>0</v>
      </c>
      <c r="AD45" s="1">
        <f>(AD$1=Założenia!$K$27)*1*(w.1="tak")</f>
        <v>0</v>
      </c>
      <c r="AE45" s="1">
        <f>(AE$1=Założenia!$K$27)*1*(w.1="tak")</f>
        <v>0</v>
      </c>
      <c r="AF45" s="1">
        <f>(AF$1=Założenia!$K$27)*1*(w.1="tak")</f>
        <v>0</v>
      </c>
      <c r="AG45" s="1">
        <f>(AG$1=Założenia!$K$27)*1*(w.1="tak")</f>
        <v>0</v>
      </c>
      <c r="AH45" s="1">
        <f>(AH$1=Założenia!$K$27)*1*(w.1="tak")</f>
        <v>0</v>
      </c>
      <c r="AI45" s="1">
        <f>(AI$1=Założenia!$K$27)*1*(w.1="tak")</f>
        <v>0</v>
      </c>
      <c r="AJ45" s="1">
        <f>(AJ$1=Założenia!$K$27)*1*(w.1="tak")</f>
        <v>0</v>
      </c>
      <c r="AK45" s="1">
        <f>(AK$1=Założenia!$K$27)*1*(w.1="tak")</f>
        <v>0</v>
      </c>
      <c r="AL45" s="1">
        <f>(AL$1=Założenia!$K$27)*1*(w.1="tak")</f>
        <v>0</v>
      </c>
      <c r="AM45" s="1">
        <f>(AM$1=Założenia!$K$27)*1*(w.1="tak")</f>
        <v>0</v>
      </c>
      <c r="AN45" s="1">
        <f>(AN$1=Założenia!$K$27)*1*(w.1="tak")</f>
        <v>0</v>
      </c>
      <c r="AO45" s="1">
        <f>(AO$1=Założenia!$K$27)*1*(w.1="tak")</f>
        <v>0</v>
      </c>
      <c r="AP45" s="1">
        <f>(AP$1=Założenia!$K$27)*1*(w.1="tak")</f>
        <v>0</v>
      </c>
      <c r="AQ45" s="1">
        <f>(AQ$1=Założenia!$K$27)*1*(w.1="tak")</f>
        <v>0</v>
      </c>
      <c r="AR45" s="1">
        <f>(AR$1=Założenia!$K$27)*1*(w.1="tak")</f>
        <v>0</v>
      </c>
      <c r="AS45" s="1">
        <f>(AS$1=Założenia!$K$27)*1*(w.1="tak")</f>
        <v>0</v>
      </c>
      <c r="AT45" s="1">
        <f>(AT$1=Założenia!$K$27)*1*(w.1="tak")</f>
        <v>0</v>
      </c>
      <c r="AU45" s="1">
        <f>(AU$1=Założenia!$K$27)*1*(w.1="tak")</f>
        <v>0</v>
      </c>
      <c r="AV45" s="1">
        <f>(AV$1=Założenia!$K$27)*1*(w.1="tak")</f>
        <v>0</v>
      </c>
      <c r="AW45" s="1">
        <f>(AW$1=Założenia!$K$27)*1*(w.1="tak")</f>
        <v>0</v>
      </c>
      <c r="AX45" s="1">
        <f>(AX$1=Założenia!$K$27)*1*(w.1="tak")</f>
        <v>0</v>
      </c>
      <c r="AY45" s="1">
        <f>(AY$1=Założenia!$K$27)*1*(w.1="tak")</f>
        <v>0</v>
      </c>
      <c r="AZ45" s="1">
        <f>(AZ$1=Założenia!$K$27)*1*(w.1="tak")</f>
        <v>0</v>
      </c>
      <c r="BA45" s="1">
        <f>(BA$1=Założenia!$K$27)*1*(w.1="tak")</f>
        <v>0</v>
      </c>
    </row>
    <row r="46" spans="1:53" ht="15.75" customHeight="1" x14ac:dyDescent="0.35">
      <c r="B46" s="5"/>
      <c r="C46" s="5"/>
      <c r="D46" s="5" t="s">
        <v>42</v>
      </c>
      <c r="E46" s="5"/>
      <c r="F46" s="5"/>
      <c r="G46" s="5"/>
      <c r="H46" s="5"/>
      <c r="I46" s="5"/>
      <c r="J46" s="5"/>
      <c r="K46" s="5"/>
      <c r="Q46" s="1" cm="1">
        <f t="array" ref="Q46">SUM($P44:Q44,-$P45:P45)</f>
        <v>0</v>
      </c>
      <c r="R46" s="1" cm="1">
        <f t="array" ref="R46">SUM($P44:R44,-$P45:Q45)</f>
        <v>1</v>
      </c>
      <c r="S46" s="1" cm="1">
        <f t="array" ref="S46">SUM($P44:S44,-$P45:R45)</f>
        <v>1</v>
      </c>
      <c r="T46" s="1" cm="1">
        <f t="array" ref="T46">SUM($P44:T44,-$P45:S45)</f>
        <v>1</v>
      </c>
      <c r="U46" s="1" cm="1">
        <f t="array" ref="U46">SUM($P44:U44,-$P45:T45)</f>
        <v>0</v>
      </c>
      <c r="V46" s="1" cm="1">
        <f t="array" ref="V46">SUM($P44:V44,-$P45:U45)</f>
        <v>0</v>
      </c>
      <c r="W46" s="1" cm="1">
        <f t="array" ref="W46">SUM($P44:W44,-$P45:V45)</f>
        <v>0</v>
      </c>
      <c r="X46" s="1" cm="1">
        <f t="array" ref="X46">SUM($P44:X44,-$P45:W45)</f>
        <v>0</v>
      </c>
      <c r="Y46" s="1" cm="1">
        <f t="array" ref="Y46">SUM($P44:Y44,-$P45:X45)</f>
        <v>0</v>
      </c>
      <c r="Z46" s="1" cm="1">
        <f t="array" ref="Z46">SUM($P44:Z44,-$P45:Y45)</f>
        <v>0</v>
      </c>
      <c r="AA46" s="1" cm="1">
        <f t="array" ref="AA46">SUM($P44:AA44,-$P45:Z45)</f>
        <v>0</v>
      </c>
      <c r="AB46" s="1" cm="1">
        <f t="array" ref="AB46">SUM($P44:AB44,-$P45:AA45)</f>
        <v>0</v>
      </c>
      <c r="AC46" s="1" cm="1">
        <f t="array" ref="AC46">SUM($P44:AC44,-$P45:AB45)</f>
        <v>0</v>
      </c>
      <c r="AD46" s="1" cm="1">
        <f t="array" ref="AD46">SUM($P44:AD44,-$P45:AC45)</f>
        <v>0</v>
      </c>
      <c r="AE46" s="1" cm="1">
        <f t="array" ref="AE46">SUM($P44:AE44,-$P45:AD45)</f>
        <v>0</v>
      </c>
      <c r="AF46" s="1" cm="1">
        <f t="array" ref="AF46">SUM($P44:AF44,-$P45:AE45)</f>
        <v>0</v>
      </c>
      <c r="AG46" s="1" cm="1">
        <f t="array" ref="AG46">SUM($P44:AG44,-$P45:AF45)</f>
        <v>0</v>
      </c>
      <c r="AH46" s="1" cm="1">
        <f t="array" ref="AH46">SUM($P44:AH44,-$P45:AG45)</f>
        <v>0</v>
      </c>
      <c r="AI46" s="1" cm="1">
        <f t="array" ref="AI46">SUM($P44:AI44,-$P45:AH45)</f>
        <v>0</v>
      </c>
      <c r="AJ46" s="1" cm="1">
        <f t="array" ref="AJ46">SUM($P44:AJ44,-$P45:AI45)</f>
        <v>0</v>
      </c>
      <c r="AK46" s="1" cm="1">
        <f t="array" ref="AK46">SUM($P44:AK44,-$P45:AJ45)</f>
        <v>0</v>
      </c>
      <c r="AL46" s="1" cm="1">
        <f t="array" ref="AL46">SUM($P44:AL44,-$P45:AK45)</f>
        <v>0</v>
      </c>
      <c r="AM46" s="1" cm="1">
        <f t="array" ref="AM46">SUM($P44:AM44,-$P45:AL45)</f>
        <v>0</v>
      </c>
      <c r="AN46" s="1" cm="1">
        <f t="array" ref="AN46">SUM($P44:AN44,-$P45:AM45)</f>
        <v>0</v>
      </c>
      <c r="AO46" s="1" cm="1">
        <f t="array" ref="AO46">SUM($P44:AO44,-$P45:AN45)</f>
        <v>0</v>
      </c>
      <c r="AP46" s="1" cm="1">
        <f t="array" ref="AP46">SUM($P44:AP44,-$P45:AO45)</f>
        <v>0</v>
      </c>
      <c r="AQ46" s="1" cm="1">
        <f t="array" ref="AQ46">SUM($P44:AQ44,-$P45:AP45)</f>
        <v>0</v>
      </c>
      <c r="AR46" s="1" cm="1">
        <f t="array" ref="AR46">SUM($P44:AR44,-$P45:AQ45)</f>
        <v>0</v>
      </c>
      <c r="AS46" s="1" cm="1">
        <f t="array" ref="AS46">SUM($P44:AS44,-$P45:AR45)</f>
        <v>0</v>
      </c>
      <c r="AT46" s="1" cm="1">
        <f t="array" ref="AT46">SUM($P44:AT44,-$P45:AS45)</f>
        <v>0</v>
      </c>
      <c r="AU46" s="1" cm="1">
        <f t="array" ref="AU46">SUM($P44:AU44,-$P45:AT45)</f>
        <v>0</v>
      </c>
      <c r="AV46" s="1" cm="1">
        <f t="array" ref="AV46">SUM($P44:AV44,-$P45:AU45)</f>
        <v>0</v>
      </c>
      <c r="AW46" s="1" cm="1">
        <f t="array" ref="AW46">SUM($P44:AW44,-$P45:AV45)</f>
        <v>0</v>
      </c>
      <c r="AX46" s="1" cm="1">
        <f t="array" ref="AX46">SUM($P44:AX44,-$P45:AW45)</f>
        <v>0</v>
      </c>
      <c r="AY46" s="1" cm="1">
        <f t="array" ref="AY46">SUM($P44:AY44,-$P45:AX45)</f>
        <v>0</v>
      </c>
      <c r="AZ46" s="1" cm="1">
        <f t="array" ref="AZ46">SUM($P44:AZ44,-$P45:AY45)</f>
        <v>0</v>
      </c>
      <c r="BA46" s="1" cm="1">
        <f t="array" ref="BA46">SUM($P44:BA44,-$P45:AZ45)</f>
        <v>0</v>
      </c>
    </row>
    <row r="47" spans="1:53" x14ac:dyDescent="0.35"/>
    <row r="48" spans="1:53" x14ac:dyDescent="0.35">
      <c r="A48" s="54"/>
      <c r="B48" s="55" t="s">
        <v>169</v>
      </c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6" t="str">
        <f t="shared" ref="Q48:BA48" si="2">IF(OPt.w1=1,"Projektowanie",IF(OBt.w1=1,"Budowa",IF(OEt.w1=1,"Eksploatacja","")))</f>
        <v/>
      </c>
      <c r="R48" s="56" t="str">
        <f t="shared" si="2"/>
        <v>Projektowanie</v>
      </c>
      <c r="S48" s="56" t="str">
        <f t="shared" si="2"/>
        <v>Budowa</v>
      </c>
      <c r="T48" s="56" t="str">
        <f t="shared" si="2"/>
        <v>Eksploatacja</v>
      </c>
      <c r="U48" s="56" t="str">
        <f t="shared" si="2"/>
        <v/>
      </c>
      <c r="V48" s="56" t="str">
        <f t="shared" si="2"/>
        <v/>
      </c>
      <c r="W48" s="56" t="str">
        <f t="shared" si="2"/>
        <v/>
      </c>
      <c r="X48" s="56" t="str">
        <f t="shared" si="2"/>
        <v/>
      </c>
      <c r="Y48" s="56" t="str">
        <f t="shared" si="2"/>
        <v/>
      </c>
      <c r="Z48" s="56" t="str">
        <f t="shared" si="2"/>
        <v/>
      </c>
      <c r="AA48" s="56" t="str">
        <f t="shared" si="2"/>
        <v/>
      </c>
      <c r="AB48" s="56" t="str">
        <f t="shared" si="2"/>
        <v/>
      </c>
      <c r="AC48" s="56" t="str">
        <f t="shared" si="2"/>
        <v/>
      </c>
      <c r="AD48" s="56" t="str">
        <f t="shared" si="2"/>
        <v/>
      </c>
      <c r="AE48" s="56" t="str">
        <f t="shared" si="2"/>
        <v/>
      </c>
      <c r="AF48" s="56" t="str">
        <f t="shared" si="2"/>
        <v/>
      </c>
      <c r="AG48" s="56" t="str">
        <f t="shared" si="2"/>
        <v/>
      </c>
      <c r="AH48" s="56" t="str">
        <f t="shared" si="2"/>
        <v/>
      </c>
      <c r="AI48" s="56" t="str">
        <f t="shared" si="2"/>
        <v/>
      </c>
      <c r="AJ48" s="56" t="str">
        <f t="shared" si="2"/>
        <v/>
      </c>
      <c r="AK48" s="56" t="str">
        <f t="shared" si="2"/>
        <v/>
      </c>
      <c r="AL48" s="56" t="str">
        <f t="shared" si="2"/>
        <v/>
      </c>
      <c r="AM48" s="56" t="str">
        <f t="shared" si="2"/>
        <v/>
      </c>
      <c r="AN48" s="56" t="str">
        <f t="shared" si="2"/>
        <v/>
      </c>
      <c r="AO48" s="56" t="str">
        <f t="shared" si="2"/>
        <v/>
      </c>
      <c r="AP48" s="56" t="str">
        <f t="shared" si="2"/>
        <v/>
      </c>
      <c r="AQ48" s="56" t="str">
        <f t="shared" si="2"/>
        <v/>
      </c>
      <c r="AR48" s="56" t="str">
        <f t="shared" si="2"/>
        <v/>
      </c>
      <c r="AS48" s="56" t="str">
        <f t="shared" si="2"/>
        <v/>
      </c>
      <c r="AT48" s="56" t="str">
        <f t="shared" si="2"/>
        <v/>
      </c>
      <c r="AU48" s="56" t="str">
        <f t="shared" si="2"/>
        <v/>
      </c>
      <c r="AV48" s="56" t="str">
        <f t="shared" si="2"/>
        <v/>
      </c>
      <c r="AW48" s="56" t="str">
        <f t="shared" si="2"/>
        <v/>
      </c>
      <c r="AX48" s="56" t="str">
        <f t="shared" si="2"/>
        <v/>
      </c>
      <c r="AY48" s="56" t="str">
        <f t="shared" si="2"/>
        <v/>
      </c>
      <c r="AZ48" s="56" t="str">
        <f t="shared" si="2"/>
        <v/>
      </c>
      <c r="BA48" s="56" t="str">
        <f t="shared" si="2"/>
        <v/>
      </c>
    </row>
    <row r="49" spans="2:53" x14ac:dyDescent="0.35"/>
    <row r="50" spans="2:53" x14ac:dyDescent="0.35">
      <c r="B50" s="8" t="s">
        <v>97</v>
      </c>
      <c r="C50" s="9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</row>
    <row r="51" spans="2:53" ht="15.75" customHeight="1" x14ac:dyDescent="0.35">
      <c r="B51" s="5"/>
      <c r="C51" s="5" t="s">
        <v>39</v>
      </c>
      <c r="D51" s="5"/>
      <c r="E51" s="5"/>
      <c r="F51" s="5"/>
      <c r="G51" s="5"/>
      <c r="H51" s="5"/>
      <c r="I51" s="5"/>
      <c r="J51" s="5"/>
      <c r="K51" s="5"/>
    </row>
    <row r="52" spans="2:53" ht="15.75" customHeight="1" x14ac:dyDescent="0.35">
      <c r="B52" s="5"/>
      <c r="C52" s="5"/>
      <c r="D52" s="5" t="s">
        <v>40</v>
      </c>
      <c r="E52" s="5"/>
      <c r="F52" s="5"/>
      <c r="G52" s="5"/>
      <c r="H52" s="5"/>
      <c r="I52" s="5"/>
      <c r="J52" s="5"/>
      <c r="K52" s="5"/>
      <c r="Q52" s="1">
        <f>(Q$1=Założenia!$M$14)*1*(w.2="tak")</f>
        <v>0</v>
      </c>
      <c r="R52" s="1">
        <f>(R$1=Założenia!$M$14)*1*(w.2="tak")</f>
        <v>1</v>
      </c>
      <c r="S52" s="1">
        <f>(S$1=Założenia!$M$14)*1*(w.2="tak")</f>
        <v>0</v>
      </c>
      <c r="T52" s="1">
        <f>(T$1=Założenia!$M$14)*1*(w.2="tak")</f>
        <v>0</v>
      </c>
      <c r="U52" s="1">
        <f>(U$1=Założenia!$M$14)*1*(w.2="tak")</f>
        <v>0</v>
      </c>
      <c r="V52" s="1">
        <f>(V$1=Założenia!$M$14)*1*(w.2="tak")</f>
        <v>0</v>
      </c>
      <c r="W52" s="1">
        <f>(W$1=Założenia!$M$14)*1*(w.2="tak")</f>
        <v>0</v>
      </c>
      <c r="X52" s="1">
        <f>(X$1=Założenia!$M$14)*1*(w.2="tak")</f>
        <v>0</v>
      </c>
      <c r="Y52" s="1">
        <f>(Y$1=Założenia!$M$14)*1*(w.2="tak")</f>
        <v>0</v>
      </c>
      <c r="Z52" s="1">
        <f>(Z$1=Założenia!$M$14)*1*(w.2="tak")</f>
        <v>0</v>
      </c>
      <c r="AA52" s="1">
        <f>(AA$1=Założenia!$M$14)*1*(w.2="tak")</f>
        <v>0</v>
      </c>
      <c r="AB52" s="1">
        <f>(AB$1=Założenia!$M$14)*1*(w.2="tak")</f>
        <v>0</v>
      </c>
      <c r="AC52" s="1">
        <f>(AC$1=Założenia!$M$14)*1*(w.2="tak")</f>
        <v>0</v>
      </c>
      <c r="AD52" s="1">
        <f>(AD$1=Założenia!$M$14)*1*(w.2="tak")</f>
        <v>0</v>
      </c>
      <c r="AE52" s="1">
        <f>(AE$1=Założenia!$M$14)*1*(w.2="tak")</f>
        <v>0</v>
      </c>
      <c r="AF52" s="1">
        <f>(AF$1=Założenia!$M$14)*1*(w.2="tak")</f>
        <v>0</v>
      </c>
      <c r="AG52" s="1">
        <f>(AG$1=Założenia!$M$14)*1*(w.2="tak")</f>
        <v>0</v>
      </c>
      <c r="AH52" s="1">
        <f>(AH$1=Założenia!$M$14)*1*(w.2="tak")</f>
        <v>0</v>
      </c>
      <c r="AI52" s="1">
        <f>(AI$1=Założenia!$M$14)*1*(w.2="tak")</f>
        <v>0</v>
      </c>
      <c r="AJ52" s="1">
        <f>(AJ$1=Założenia!$M$14)*1*(w.2="tak")</f>
        <v>0</v>
      </c>
      <c r="AK52" s="1">
        <f>(AK$1=Założenia!$M$14)*1*(w.2="tak")</f>
        <v>0</v>
      </c>
      <c r="AL52" s="1">
        <f>(AL$1=Założenia!$M$14)*1*(w.2="tak")</f>
        <v>0</v>
      </c>
      <c r="AM52" s="1">
        <f>(AM$1=Założenia!$M$14)*1*(w.2="tak")</f>
        <v>0</v>
      </c>
      <c r="AN52" s="1">
        <f>(AN$1=Założenia!$M$14)*1*(w.2="tak")</f>
        <v>0</v>
      </c>
      <c r="AO52" s="1">
        <f>(AO$1=Założenia!$M$14)*1*(w.2="tak")</f>
        <v>0</v>
      </c>
      <c r="AP52" s="1">
        <f>(AP$1=Założenia!$M$14)*1*(w.2="tak")</f>
        <v>0</v>
      </c>
      <c r="AQ52" s="1">
        <f>(AQ$1=Założenia!$M$14)*1*(w.2="tak")</f>
        <v>0</v>
      </c>
      <c r="AR52" s="1">
        <f>(AR$1=Założenia!$M$14)*1*(w.2="tak")</f>
        <v>0</v>
      </c>
      <c r="AS52" s="1">
        <f>(AS$1=Założenia!$M$14)*1*(w.2="tak")</f>
        <v>0</v>
      </c>
      <c r="AT52" s="1">
        <f>(AT$1=Założenia!$M$14)*1*(w.2="tak")</f>
        <v>0</v>
      </c>
      <c r="AU52" s="1">
        <f>(AU$1=Założenia!$M$14)*1*(w.2="tak")</f>
        <v>0</v>
      </c>
      <c r="AV52" s="1">
        <f>(AV$1=Założenia!$M$14)*1*(w.2="tak")</f>
        <v>0</v>
      </c>
      <c r="AW52" s="1">
        <f>(AW$1=Założenia!$M$14)*1*(w.2="tak")</f>
        <v>0</v>
      </c>
      <c r="AX52" s="1">
        <f>(AX$1=Założenia!$M$14)*1*(w.2="tak")</f>
        <v>0</v>
      </c>
      <c r="AY52" s="1">
        <f>(AY$1=Założenia!$M$14)*1*(w.2="tak")</f>
        <v>0</v>
      </c>
      <c r="AZ52" s="1">
        <f>(AZ$1=Założenia!$M$14)*1*(w.2="tak")</f>
        <v>0</v>
      </c>
      <c r="BA52" s="1">
        <f>(BA$1=Założenia!$M$14)*1*(w.2="tak")</f>
        <v>0</v>
      </c>
    </row>
    <row r="53" spans="2:53" ht="15.75" customHeight="1" x14ac:dyDescent="0.35">
      <c r="B53" s="5"/>
      <c r="C53" s="5"/>
      <c r="D53" s="5" t="s">
        <v>41</v>
      </c>
      <c r="E53" s="5"/>
      <c r="F53" s="5"/>
      <c r="G53" s="5"/>
      <c r="H53" s="5"/>
      <c r="I53" s="5"/>
      <c r="J53" s="5"/>
      <c r="K53" s="5"/>
      <c r="Q53" s="1">
        <f>(Q$1=Założenia!$M$15)*1*(w.2="tak")</f>
        <v>0</v>
      </c>
      <c r="R53" s="1">
        <f>(R$1=Założenia!$M$15)*1*(w.2="tak")</f>
        <v>1</v>
      </c>
      <c r="S53" s="1">
        <f>(S$1=Założenia!$M$15)*1*(w.2="tak")</f>
        <v>0</v>
      </c>
      <c r="T53" s="1">
        <f>(T$1=Założenia!$M$15)*1*(w.2="tak")</f>
        <v>0</v>
      </c>
      <c r="U53" s="1">
        <f>(U$1=Założenia!$M$15)*1*(w.2="tak")</f>
        <v>0</v>
      </c>
      <c r="V53" s="1">
        <f>(V$1=Założenia!$M$15)*1*(w.2="tak")</f>
        <v>0</v>
      </c>
      <c r="W53" s="1">
        <f>(W$1=Założenia!$M$15)*1*(w.2="tak")</f>
        <v>0</v>
      </c>
      <c r="X53" s="1">
        <f>(X$1=Założenia!$M$15)*1*(w.2="tak")</f>
        <v>0</v>
      </c>
      <c r="Y53" s="1">
        <f>(Y$1=Założenia!$M$15)*1*(w.2="tak")</f>
        <v>0</v>
      </c>
      <c r="Z53" s="1">
        <f>(Z$1=Założenia!$M$15)*1*(w.2="tak")</f>
        <v>0</v>
      </c>
      <c r="AA53" s="1">
        <f>(AA$1=Założenia!$M$15)*1*(w.2="tak")</f>
        <v>0</v>
      </c>
      <c r="AB53" s="1">
        <f>(AB$1=Założenia!$M$15)*1*(w.2="tak")</f>
        <v>0</v>
      </c>
      <c r="AC53" s="1">
        <f>(AC$1=Założenia!$M$15)*1*(w.2="tak")</f>
        <v>0</v>
      </c>
      <c r="AD53" s="1">
        <f>(AD$1=Założenia!$M$15)*1*(w.2="tak")</f>
        <v>0</v>
      </c>
      <c r="AE53" s="1">
        <f>(AE$1=Założenia!$M$15)*1*(w.2="tak")</f>
        <v>0</v>
      </c>
      <c r="AF53" s="1">
        <f>(AF$1=Założenia!$M$15)*1*(w.2="tak")</f>
        <v>0</v>
      </c>
      <c r="AG53" s="1">
        <f>(AG$1=Założenia!$M$15)*1*(w.2="tak")</f>
        <v>0</v>
      </c>
      <c r="AH53" s="1">
        <f>(AH$1=Założenia!$M$15)*1*(w.2="tak")</f>
        <v>0</v>
      </c>
      <c r="AI53" s="1">
        <f>(AI$1=Założenia!$M$15)*1*(w.2="tak")</f>
        <v>0</v>
      </c>
      <c r="AJ53" s="1">
        <f>(AJ$1=Założenia!$M$15)*1*(w.2="tak")</f>
        <v>0</v>
      </c>
      <c r="AK53" s="1">
        <f>(AK$1=Założenia!$M$15)*1*(w.2="tak")</f>
        <v>0</v>
      </c>
      <c r="AL53" s="1">
        <f>(AL$1=Założenia!$M$15)*1*(w.2="tak")</f>
        <v>0</v>
      </c>
      <c r="AM53" s="1">
        <f>(AM$1=Założenia!$M$15)*1*(w.2="tak")</f>
        <v>0</v>
      </c>
      <c r="AN53" s="1">
        <f>(AN$1=Założenia!$M$15)*1*(w.2="tak")</f>
        <v>0</v>
      </c>
      <c r="AO53" s="1">
        <f>(AO$1=Założenia!$M$15)*1*(w.2="tak")</f>
        <v>0</v>
      </c>
      <c r="AP53" s="1">
        <f>(AP$1=Założenia!$M$15)*1*(w.2="tak")</f>
        <v>0</v>
      </c>
      <c r="AQ53" s="1">
        <f>(AQ$1=Założenia!$M$15)*1*(w.2="tak")</f>
        <v>0</v>
      </c>
      <c r="AR53" s="1">
        <f>(AR$1=Założenia!$M$15)*1*(w.2="tak")</f>
        <v>0</v>
      </c>
      <c r="AS53" s="1">
        <f>(AS$1=Założenia!$M$15)*1*(w.2="tak")</f>
        <v>0</v>
      </c>
      <c r="AT53" s="1">
        <f>(AT$1=Założenia!$M$15)*1*(w.2="tak")</f>
        <v>0</v>
      </c>
      <c r="AU53" s="1">
        <f>(AU$1=Założenia!$M$15)*1*(w.2="tak")</f>
        <v>0</v>
      </c>
      <c r="AV53" s="1">
        <f>(AV$1=Założenia!$M$15)*1*(w.2="tak")</f>
        <v>0</v>
      </c>
      <c r="AW53" s="1">
        <f>(AW$1=Założenia!$M$15)*1*(w.2="tak")</f>
        <v>0</v>
      </c>
      <c r="AX53" s="1">
        <f>(AX$1=Założenia!$M$15)*1*(w.2="tak")</f>
        <v>0</v>
      </c>
      <c r="AY53" s="1">
        <f>(AY$1=Założenia!$M$15)*1*(w.2="tak")</f>
        <v>0</v>
      </c>
      <c r="AZ53" s="1">
        <f>(AZ$1=Założenia!$M$15)*1*(w.2="tak")</f>
        <v>0</v>
      </c>
      <c r="BA53" s="1">
        <f>(BA$1=Założenia!$M$15)*1*(w.2="tak")</f>
        <v>0</v>
      </c>
    </row>
    <row r="54" spans="2:53" ht="15.75" customHeight="1" x14ac:dyDescent="0.35">
      <c r="B54" s="5"/>
      <c r="C54" s="5"/>
      <c r="D54" s="5" t="s">
        <v>42</v>
      </c>
      <c r="E54" s="5"/>
      <c r="F54" s="5"/>
      <c r="G54" s="5"/>
      <c r="H54" s="5"/>
      <c r="I54" s="5"/>
      <c r="J54" s="5"/>
      <c r="K54" s="5"/>
      <c r="Q54" s="1" cm="1">
        <f t="array" ref="Q54">SUM($P52:Q52,-$P53:P53)*(w.2="tak")</f>
        <v>0</v>
      </c>
      <c r="R54" s="1" cm="1">
        <f t="array" ref="R54">SUM($P52:R52,-$P53:Q53)*(w.2="tak")</f>
        <v>1</v>
      </c>
      <c r="S54" s="1" cm="1">
        <f t="array" ref="S54">SUM($P52:S52,-$P53:R53)*(w.2="tak")</f>
        <v>0</v>
      </c>
      <c r="T54" s="1" cm="1">
        <f t="array" ref="T54">SUM($P52:T52,-$P53:S53)*(w.2="tak")</f>
        <v>0</v>
      </c>
      <c r="U54" s="1" cm="1">
        <f t="array" ref="U54">SUM($P52:U52,-$P53:T53)*(w.2="tak")</f>
        <v>0</v>
      </c>
      <c r="V54" s="1" cm="1">
        <f t="array" ref="V54">SUM($P52:V52,-$P53:U53)*(w.2="tak")</f>
        <v>0</v>
      </c>
      <c r="W54" s="1" cm="1">
        <f t="array" ref="W54">SUM($P52:W52,-$P53:V53)*(w.2="tak")</f>
        <v>0</v>
      </c>
      <c r="X54" s="1" cm="1">
        <f t="array" ref="X54">SUM($P52:X52,-$P53:W53)*(w.2="tak")</f>
        <v>0</v>
      </c>
      <c r="Y54" s="1" cm="1">
        <f t="array" ref="Y54">SUM($P52:Y52,-$P53:X53)*(w.2="tak")</f>
        <v>0</v>
      </c>
      <c r="Z54" s="1" cm="1">
        <f t="array" ref="Z54">SUM($P52:Z52,-$P53:Y53)*(w.2="tak")</f>
        <v>0</v>
      </c>
      <c r="AA54" s="1" cm="1">
        <f t="array" ref="AA54">SUM($P52:AA52,-$P53:Z53)*(w.2="tak")</f>
        <v>0</v>
      </c>
      <c r="AB54" s="1" cm="1">
        <f t="array" ref="AB54">SUM($P52:AB52,-$P53:AA53)*(w.2="tak")</f>
        <v>0</v>
      </c>
      <c r="AC54" s="1" cm="1">
        <f t="array" ref="AC54">SUM($P52:AC52,-$P53:AB53)*(w.2="tak")</f>
        <v>0</v>
      </c>
      <c r="AD54" s="1" cm="1">
        <f t="array" ref="AD54">SUM($P52:AD52,-$P53:AC53)*(w.2="tak")</f>
        <v>0</v>
      </c>
      <c r="AE54" s="1" cm="1">
        <f t="array" ref="AE54">SUM($P52:AE52,-$P53:AD53)*(w.2="tak")</f>
        <v>0</v>
      </c>
      <c r="AF54" s="1" cm="1">
        <f t="array" ref="AF54">SUM($P52:AF52,-$P53:AE53)*(w.2="tak")</f>
        <v>0</v>
      </c>
      <c r="AG54" s="1" cm="1">
        <f t="array" ref="AG54">SUM($P52:AG52,-$P53:AF53)*(w.2="tak")</f>
        <v>0</v>
      </c>
      <c r="AH54" s="1" cm="1">
        <f t="array" ref="AH54">SUM($P52:AH52,-$P53:AG53)*(w.2="tak")</f>
        <v>0</v>
      </c>
      <c r="AI54" s="1" cm="1">
        <f t="array" ref="AI54">SUM($P52:AI52,-$P53:AH53)*(w.2="tak")</f>
        <v>0</v>
      </c>
      <c r="AJ54" s="1" cm="1">
        <f t="array" ref="AJ54">SUM($P52:AJ52,-$P53:AI53)*(w.2="tak")</f>
        <v>0</v>
      </c>
      <c r="AK54" s="1" cm="1">
        <f t="array" ref="AK54">SUM($P52:AK52,-$P53:AJ53)*(w.2="tak")</f>
        <v>0</v>
      </c>
      <c r="AL54" s="1" cm="1">
        <f t="array" ref="AL54">SUM($P52:AL52,-$P53:AK53)*(w.2="tak")</f>
        <v>0</v>
      </c>
      <c r="AM54" s="1" cm="1">
        <f t="array" ref="AM54">SUM($P52:AM52,-$P53:AL53)*(w.2="tak")</f>
        <v>0</v>
      </c>
      <c r="AN54" s="1" cm="1">
        <f t="array" ref="AN54">SUM($P52:AN52,-$P53:AM53)*(w.2="tak")</f>
        <v>0</v>
      </c>
      <c r="AO54" s="1" cm="1">
        <f t="array" ref="AO54">SUM($P52:AO52,-$P53:AN53)*(w.2="tak")</f>
        <v>0</v>
      </c>
      <c r="AP54" s="1" cm="1">
        <f t="array" ref="AP54">SUM($P52:AP52,-$P53:AO53)*(w.2="tak")</f>
        <v>0</v>
      </c>
      <c r="AQ54" s="1" cm="1">
        <f t="array" ref="AQ54">SUM($P52:AQ52,-$P53:AP53)*(w.2="tak")</f>
        <v>0</v>
      </c>
      <c r="AR54" s="1" cm="1">
        <f t="array" ref="AR54">SUM($P52:AR52,-$P53:AQ53)*(w.2="tak")</f>
        <v>0</v>
      </c>
      <c r="AS54" s="1" cm="1">
        <f t="array" ref="AS54">SUM($P52:AS52,-$P53:AR53)*(w.2="tak")</f>
        <v>0</v>
      </c>
      <c r="AT54" s="1" cm="1">
        <f t="array" ref="AT54">SUM($P52:AT52,-$P53:AS53)*(w.2="tak")</f>
        <v>0</v>
      </c>
      <c r="AU54" s="1" cm="1">
        <f t="array" ref="AU54">SUM($P52:AU52,-$P53:AT53)*(w.2="tak")</f>
        <v>0</v>
      </c>
      <c r="AV54" s="1" cm="1">
        <f t="array" ref="AV54">SUM($P52:AV52,-$P53:AU53)*(w.2="tak")</f>
        <v>0</v>
      </c>
      <c r="AW54" s="1" cm="1">
        <f t="array" ref="AW54">SUM($P52:AW52,-$P53:AV53)*(w.2="tak")</f>
        <v>0</v>
      </c>
      <c r="AX54" s="1" cm="1">
        <f t="array" ref="AX54">SUM($P52:AX52,-$P53:AW53)*(w.2="tak")</f>
        <v>0</v>
      </c>
      <c r="AY54" s="1" cm="1">
        <f t="array" ref="AY54">SUM($P52:AY52,-$P53:AX53)*(w.2="tak")</f>
        <v>0</v>
      </c>
      <c r="AZ54" s="1" cm="1">
        <f t="array" ref="AZ54">SUM($P52:AZ52,-$P53:AY53)*(w.2="tak")</f>
        <v>0</v>
      </c>
      <c r="BA54" s="1" cm="1">
        <f t="array" ref="BA54">SUM($P52:BA52,-$P53:AZ53)*(w.2="tak")</f>
        <v>0</v>
      </c>
    </row>
    <row r="55" spans="2:53" ht="15.75" customHeight="1" x14ac:dyDescent="0.35">
      <c r="B55" s="5"/>
      <c r="C55" s="5" t="s">
        <v>37</v>
      </c>
      <c r="D55" s="5"/>
      <c r="E55" s="5"/>
      <c r="F55" s="5"/>
      <c r="G55" s="5"/>
      <c r="H55" s="5"/>
      <c r="I55" s="5"/>
      <c r="J55" s="5"/>
      <c r="K55" s="5"/>
    </row>
    <row r="56" spans="2:53" ht="15.75" customHeight="1" x14ac:dyDescent="0.35">
      <c r="B56" s="5"/>
      <c r="C56" s="5"/>
      <c r="D56" s="5" t="s">
        <v>40</v>
      </c>
      <c r="E56" s="5"/>
      <c r="F56" s="5"/>
      <c r="G56" s="5"/>
      <c r="H56" s="5"/>
      <c r="I56" s="5"/>
      <c r="J56" s="5"/>
      <c r="K56" s="5"/>
      <c r="Q56" s="1">
        <f>(Q$1=Założenia!$M$20)*1*(w.2="tak")</f>
        <v>0</v>
      </c>
      <c r="R56" s="1">
        <f>(R$1=Założenia!$M$20)*1*(w.2="tak")</f>
        <v>0</v>
      </c>
      <c r="S56" s="1">
        <f>(S$1=Założenia!$M$20)*1*(w.2="tak")</f>
        <v>1</v>
      </c>
      <c r="T56" s="1">
        <f>(T$1=Założenia!$M$20)*1*(w.2="tak")</f>
        <v>0</v>
      </c>
      <c r="U56" s="1">
        <f>(U$1=Założenia!$M$20)*1*(w.2="tak")</f>
        <v>0</v>
      </c>
      <c r="V56" s="1">
        <f>(V$1=Założenia!$M$20)*1*(w.2="tak")</f>
        <v>0</v>
      </c>
      <c r="W56" s="1">
        <f>(W$1=Założenia!$M$20)*1*(w.2="tak")</f>
        <v>0</v>
      </c>
      <c r="X56" s="1">
        <f>(X$1=Założenia!$M$20)*1*(w.2="tak")</f>
        <v>0</v>
      </c>
      <c r="Y56" s="1">
        <f>(Y$1=Założenia!$M$20)*1*(w.2="tak")</f>
        <v>0</v>
      </c>
      <c r="Z56" s="1">
        <f>(Z$1=Założenia!$M$20)*1*(w.2="tak")</f>
        <v>0</v>
      </c>
      <c r="AA56" s="1">
        <f>(AA$1=Założenia!$M$20)*1*(w.2="tak")</f>
        <v>0</v>
      </c>
      <c r="AB56" s="1">
        <f>(AB$1=Założenia!$M$20)*1*(w.2="tak")</f>
        <v>0</v>
      </c>
      <c r="AC56" s="1">
        <f>(AC$1=Założenia!$M$20)*1*(w.2="tak")</f>
        <v>0</v>
      </c>
      <c r="AD56" s="1">
        <f>(AD$1=Założenia!$M$20)*1*(w.2="tak")</f>
        <v>0</v>
      </c>
      <c r="AE56" s="1">
        <f>(AE$1=Założenia!$M$20)*1*(w.2="tak")</f>
        <v>0</v>
      </c>
      <c r="AF56" s="1">
        <f>(AF$1=Założenia!$M$20)*1*(w.2="tak")</f>
        <v>0</v>
      </c>
      <c r="AG56" s="1">
        <f>(AG$1=Założenia!$M$20)*1*(w.2="tak")</f>
        <v>0</v>
      </c>
      <c r="AH56" s="1">
        <f>(AH$1=Założenia!$M$20)*1*(w.2="tak")</f>
        <v>0</v>
      </c>
      <c r="AI56" s="1">
        <f>(AI$1=Założenia!$M$20)*1*(w.2="tak")</f>
        <v>0</v>
      </c>
      <c r="AJ56" s="1">
        <f>(AJ$1=Założenia!$M$20)*1*(w.2="tak")</f>
        <v>0</v>
      </c>
      <c r="AK56" s="1">
        <f>(AK$1=Założenia!$M$20)*1*(w.2="tak")</f>
        <v>0</v>
      </c>
      <c r="AL56" s="1">
        <f>(AL$1=Założenia!$M$20)*1*(w.2="tak")</f>
        <v>0</v>
      </c>
      <c r="AM56" s="1">
        <f>(AM$1=Założenia!$M$20)*1*(w.2="tak")</f>
        <v>0</v>
      </c>
      <c r="AN56" s="1">
        <f>(AN$1=Założenia!$M$20)*1*(w.2="tak")</f>
        <v>0</v>
      </c>
      <c r="AO56" s="1">
        <f>(AO$1=Założenia!$M$20)*1*(w.2="tak")</f>
        <v>0</v>
      </c>
      <c r="AP56" s="1">
        <f>(AP$1=Założenia!$M$20)*1*(w.2="tak")</f>
        <v>0</v>
      </c>
      <c r="AQ56" s="1">
        <f>(AQ$1=Założenia!$M$20)*1*(w.2="tak")</f>
        <v>0</v>
      </c>
      <c r="AR56" s="1">
        <f>(AR$1=Założenia!$M$20)*1*(w.2="tak")</f>
        <v>0</v>
      </c>
      <c r="AS56" s="1">
        <f>(AS$1=Założenia!$M$20)*1*(w.2="tak")</f>
        <v>0</v>
      </c>
      <c r="AT56" s="1">
        <f>(AT$1=Założenia!$M$20)*1*(w.2="tak")</f>
        <v>0</v>
      </c>
      <c r="AU56" s="1">
        <f>(AU$1=Założenia!$M$20)*1*(w.2="tak")</f>
        <v>0</v>
      </c>
      <c r="AV56" s="1">
        <f>(AV$1=Założenia!$M$20)*1*(w.2="tak")</f>
        <v>0</v>
      </c>
      <c r="AW56" s="1">
        <f>(AW$1=Założenia!$M$20)*1*(w.2="tak")</f>
        <v>0</v>
      </c>
      <c r="AX56" s="1">
        <f>(AX$1=Założenia!$M$20)*1*(w.2="tak")</f>
        <v>0</v>
      </c>
      <c r="AY56" s="1">
        <f>(AY$1=Założenia!$M$20)*1*(w.2="tak")</f>
        <v>0</v>
      </c>
      <c r="AZ56" s="1">
        <f>(AZ$1=Założenia!$M$20)*1*(w.2="tak")</f>
        <v>0</v>
      </c>
      <c r="BA56" s="1">
        <f>(BA$1=Założenia!$M$20)*1*(w.2="tak")</f>
        <v>0</v>
      </c>
    </row>
    <row r="57" spans="2:53" ht="15.75" customHeight="1" x14ac:dyDescent="0.35">
      <c r="B57" s="5"/>
      <c r="C57" s="5"/>
      <c r="D57" s="5" t="s">
        <v>41</v>
      </c>
      <c r="E57" s="5"/>
      <c r="F57" s="5"/>
      <c r="G57" s="5"/>
      <c r="H57" s="5"/>
      <c r="I57" s="5"/>
      <c r="J57" s="5"/>
      <c r="K57" s="5"/>
      <c r="Q57" s="1">
        <f>(Q$1=Założenia!$M$21)*1*(w.2="tak")</f>
        <v>0</v>
      </c>
      <c r="R57" s="1">
        <f>(R$1=Założenia!$M$21)*1*(w.2="tak")</f>
        <v>0</v>
      </c>
      <c r="S57" s="1">
        <f>(S$1=Założenia!$M$21)*1*(w.2="tak")</f>
        <v>1</v>
      </c>
      <c r="T57" s="1">
        <f>(T$1=Założenia!$M$21)*1*(w.2="tak")</f>
        <v>0</v>
      </c>
      <c r="U57" s="1">
        <f>(U$1=Założenia!$M$21)*1*(w.2="tak")</f>
        <v>0</v>
      </c>
      <c r="V57" s="1">
        <f>(V$1=Założenia!$M$21)*1*(w.2="tak")</f>
        <v>0</v>
      </c>
      <c r="W57" s="1">
        <f>(W$1=Założenia!$M$21)*1*(w.2="tak")</f>
        <v>0</v>
      </c>
      <c r="X57" s="1">
        <f>(X$1=Założenia!$M$21)*1*(w.2="tak")</f>
        <v>0</v>
      </c>
      <c r="Y57" s="1">
        <f>(Y$1=Założenia!$M$21)*1*(w.2="tak")</f>
        <v>0</v>
      </c>
      <c r="Z57" s="1">
        <f>(Z$1=Założenia!$M$21)*1*(w.2="tak")</f>
        <v>0</v>
      </c>
      <c r="AA57" s="1">
        <f>(AA$1=Założenia!$M$21)*1*(w.2="tak")</f>
        <v>0</v>
      </c>
      <c r="AB57" s="1">
        <f>(AB$1=Założenia!$M$21)*1*(w.2="tak")</f>
        <v>0</v>
      </c>
      <c r="AC57" s="1">
        <f>(AC$1=Założenia!$M$21)*1*(w.2="tak")</f>
        <v>0</v>
      </c>
      <c r="AD57" s="1">
        <f>(AD$1=Założenia!$M$21)*1*(w.2="tak")</f>
        <v>0</v>
      </c>
      <c r="AE57" s="1">
        <f>(AE$1=Założenia!$M$21)*1*(w.2="tak")</f>
        <v>0</v>
      </c>
      <c r="AF57" s="1">
        <f>(AF$1=Założenia!$M$21)*1*(w.2="tak")</f>
        <v>0</v>
      </c>
      <c r="AG57" s="1">
        <f>(AG$1=Założenia!$M$21)*1*(w.2="tak")</f>
        <v>0</v>
      </c>
      <c r="AH57" s="1">
        <f>(AH$1=Założenia!$M$21)*1*(w.2="tak")</f>
        <v>0</v>
      </c>
      <c r="AI57" s="1">
        <f>(AI$1=Założenia!$M$21)*1*(w.2="tak")</f>
        <v>0</v>
      </c>
      <c r="AJ57" s="1">
        <f>(AJ$1=Założenia!$M$21)*1*(w.2="tak")</f>
        <v>0</v>
      </c>
      <c r="AK57" s="1">
        <f>(AK$1=Założenia!$M$21)*1*(w.2="tak")</f>
        <v>0</v>
      </c>
      <c r="AL57" s="1">
        <f>(AL$1=Założenia!$M$21)*1*(w.2="tak")</f>
        <v>0</v>
      </c>
      <c r="AM57" s="1">
        <f>(AM$1=Założenia!$M$21)*1*(w.2="tak")</f>
        <v>0</v>
      </c>
      <c r="AN57" s="1">
        <f>(AN$1=Założenia!$M$21)*1*(w.2="tak")</f>
        <v>0</v>
      </c>
      <c r="AO57" s="1">
        <f>(AO$1=Założenia!$M$21)*1*(w.2="tak")</f>
        <v>0</v>
      </c>
      <c r="AP57" s="1">
        <f>(AP$1=Założenia!$M$21)*1*(w.2="tak")</f>
        <v>0</v>
      </c>
      <c r="AQ57" s="1">
        <f>(AQ$1=Założenia!$M$21)*1*(w.2="tak")</f>
        <v>0</v>
      </c>
      <c r="AR57" s="1">
        <f>(AR$1=Założenia!$M$21)*1*(w.2="tak")</f>
        <v>0</v>
      </c>
      <c r="AS57" s="1">
        <f>(AS$1=Założenia!$M$21)*1*(w.2="tak")</f>
        <v>0</v>
      </c>
      <c r="AT57" s="1">
        <f>(AT$1=Założenia!$M$21)*1*(w.2="tak")</f>
        <v>0</v>
      </c>
      <c r="AU57" s="1">
        <f>(AU$1=Założenia!$M$21)*1*(w.2="tak")</f>
        <v>0</v>
      </c>
      <c r="AV57" s="1">
        <f>(AV$1=Założenia!$M$21)*1*(w.2="tak")</f>
        <v>0</v>
      </c>
      <c r="AW57" s="1">
        <f>(AW$1=Założenia!$M$21)*1*(w.2="tak")</f>
        <v>0</v>
      </c>
      <c r="AX57" s="1">
        <f>(AX$1=Założenia!$M$21)*1*(w.2="tak")</f>
        <v>0</v>
      </c>
      <c r="AY57" s="1">
        <f>(AY$1=Założenia!$M$21)*1*(w.2="tak")</f>
        <v>0</v>
      </c>
      <c r="AZ57" s="1">
        <f>(AZ$1=Założenia!$M$21)*1*(w.2="tak")</f>
        <v>0</v>
      </c>
      <c r="BA57" s="1">
        <f>(BA$1=Założenia!$M$21)*1*(w.2="tak")</f>
        <v>0</v>
      </c>
    </row>
    <row r="58" spans="2:53" ht="15.75" customHeight="1" x14ac:dyDescent="0.35">
      <c r="B58" s="5"/>
      <c r="C58" s="5"/>
      <c r="D58" s="5" t="s">
        <v>42</v>
      </c>
      <c r="E58" s="5"/>
      <c r="F58" s="5"/>
      <c r="G58" s="5"/>
      <c r="H58" s="5"/>
      <c r="I58" s="5"/>
      <c r="J58" s="5"/>
      <c r="K58" s="5"/>
      <c r="Q58" s="1" cm="1">
        <f t="array" ref="Q58">SUM($P56:Q56,-$P57:P57)*(w.2="tak")</f>
        <v>0</v>
      </c>
      <c r="R58" s="1" cm="1">
        <f t="array" ref="R58">SUM($P56:R56,-$P57:Q57)*(w.2="tak")</f>
        <v>0</v>
      </c>
      <c r="S58" s="1" cm="1">
        <f t="array" ref="S58">SUM($P56:S56,-$P57:R57)*(w.2="tak")</f>
        <v>1</v>
      </c>
      <c r="T58" s="1" cm="1">
        <f t="array" ref="T58">SUM($P56:T56,-$P57:S57)*(w.2="tak")</f>
        <v>0</v>
      </c>
      <c r="U58" s="1" cm="1">
        <f t="array" ref="U58">SUM($P56:U56,-$P57:T57)*(w.2="tak")</f>
        <v>0</v>
      </c>
      <c r="V58" s="1" cm="1">
        <f t="array" ref="V58">SUM($P56:V56,-$P57:U57)*(w.2="tak")</f>
        <v>0</v>
      </c>
      <c r="W58" s="1" cm="1">
        <f t="array" ref="W58">SUM($P56:W56,-$P57:V57)*(w.2="tak")</f>
        <v>0</v>
      </c>
      <c r="X58" s="1" cm="1">
        <f t="array" ref="X58">SUM($P56:X56,-$P57:W57)*(w.2="tak")</f>
        <v>0</v>
      </c>
      <c r="Y58" s="1" cm="1">
        <f t="array" ref="Y58">SUM($P56:Y56,-$P57:X57)*(w.2="tak")</f>
        <v>0</v>
      </c>
      <c r="Z58" s="1" cm="1">
        <f t="array" ref="Z58">SUM($P56:Z56,-$P57:Y57)*(w.2="tak")</f>
        <v>0</v>
      </c>
      <c r="AA58" s="1" cm="1">
        <f t="array" ref="AA58">SUM($P56:AA56,-$P57:Z57)*(w.2="tak")</f>
        <v>0</v>
      </c>
      <c r="AB58" s="1" cm="1">
        <f t="array" ref="AB58">SUM($P56:AB56,-$P57:AA57)*(w.2="tak")</f>
        <v>0</v>
      </c>
      <c r="AC58" s="1" cm="1">
        <f t="array" ref="AC58">SUM($P56:AC56,-$P57:AB57)*(w.2="tak")</f>
        <v>0</v>
      </c>
      <c r="AD58" s="1" cm="1">
        <f t="array" ref="AD58">SUM($P56:AD56,-$P57:AC57)*(w.2="tak")</f>
        <v>0</v>
      </c>
      <c r="AE58" s="1" cm="1">
        <f t="array" ref="AE58">SUM($P56:AE56,-$P57:AD57)*(w.2="tak")</f>
        <v>0</v>
      </c>
      <c r="AF58" s="1" cm="1">
        <f t="array" ref="AF58">SUM($P56:AF56,-$P57:AE57)*(w.2="tak")</f>
        <v>0</v>
      </c>
      <c r="AG58" s="1" cm="1">
        <f t="array" ref="AG58">SUM($P56:AG56,-$P57:AF57)*(w.2="tak")</f>
        <v>0</v>
      </c>
      <c r="AH58" s="1" cm="1">
        <f t="array" ref="AH58">SUM($P56:AH56,-$P57:AG57)*(w.2="tak")</f>
        <v>0</v>
      </c>
      <c r="AI58" s="1" cm="1">
        <f t="array" ref="AI58">SUM($P56:AI56,-$P57:AH57)*(w.2="tak")</f>
        <v>0</v>
      </c>
      <c r="AJ58" s="1" cm="1">
        <f t="array" ref="AJ58">SUM($P56:AJ56,-$P57:AI57)*(w.2="tak")</f>
        <v>0</v>
      </c>
      <c r="AK58" s="1" cm="1">
        <f t="array" ref="AK58">SUM($P56:AK56,-$P57:AJ57)*(w.2="tak")</f>
        <v>0</v>
      </c>
      <c r="AL58" s="1" cm="1">
        <f t="array" ref="AL58">SUM($P56:AL56,-$P57:AK57)*(w.2="tak")</f>
        <v>0</v>
      </c>
      <c r="AM58" s="1" cm="1">
        <f t="array" ref="AM58">SUM($P56:AM56,-$P57:AL57)*(w.2="tak")</f>
        <v>0</v>
      </c>
      <c r="AN58" s="1" cm="1">
        <f t="array" ref="AN58">SUM($P56:AN56,-$P57:AM57)*(w.2="tak")</f>
        <v>0</v>
      </c>
      <c r="AO58" s="1" cm="1">
        <f t="array" ref="AO58">SUM($P56:AO56,-$P57:AN57)*(w.2="tak")</f>
        <v>0</v>
      </c>
      <c r="AP58" s="1" cm="1">
        <f t="array" ref="AP58">SUM($P56:AP56,-$P57:AO57)*(w.2="tak")</f>
        <v>0</v>
      </c>
      <c r="AQ58" s="1" cm="1">
        <f t="array" ref="AQ58">SUM($P56:AQ56,-$P57:AP57)*(w.2="tak")</f>
        <v>0</v>
      </c>
      <c r="AR58" s="1" cm="1">
        <f t="array" ref="AR58">SUM($P56:AR56,-$P57:AQ57)*(w.2="tak")</f>
        <v>0</v>
      </c>
      <c r="AS58" s="1" cm="1">
        <f t="array" ref="AS58">SUM($P56:AS56,-$P57:AR57)*(w.2="tak")</f>
        <v>0</v>
      </c>
      <c r="AT58" s="1" cm="1">
        <f t="array" ref="AT58">SUM($P56:AT56,-$P57:AS57)*(w.2="tak")</f>
        <v>0</v>
      </c>
      <c r="AU58" s="1" cm="1">
        <f t="array" ref="AU58">SUM($P56:AU56,-$P57:AT57)*(w.2="tak")</f>
        <v>0</v>
      </c>
      <c r="AV58" s="1" cm="1">
        <f t="array" ref="AV58">SUM($P56:AV56,-$P57:AU57)*(w.2="tak")</f>
        <v>0</v>
      </c>
      <c r="AW58" s="1" cm="1">
        <f t="array" ref="AW58">SUM($P56:AW56,-$P57:AV57)*(w.2="tak")</f>
        <v>0</v>
      </c>
      <c r="AX58" s="1" cm="1">
        <f t="array" ref="AX58">SUM($P56:AX56,-$P57:AW57)*(w.2="tak")</f>
        <v>0</v>
      </c>
      <c r="AY58" s="1" cm="1">
        <f t="array" ref="AY58">SUM($P56:AY56,-$P57:AX57)*(w.2="tak")</f>
        <v>0</v>
      </c>
      <c r="AZ58" s="1" cm="1">
        <f t="array" ref="AZ58">SUM($P56:AZ56,-$P57:AY57)*(w.2="tak")</f>
        <v>0</v>
      </c>
      <c r="BA58" s="1" cm="1">
        <f t="array" ref="BA58">SUM($P56:BA56,-$P57:AZ57)*(w.2="tak")</f>
        <v>0</v>
      </c>
    </row>
    <row r="59" spans="2:53" ht="15.75" customHeight="1" x14ac:dyDescent="0.35">
      <c r="B59" s="5"/>
      <c r="C59" s="5" t="s">
        <v>38</v>
      </c>
      <c r="D59" s="5"/>
      <c r="E59" s="5"/>
      <c r="F59" s="5"/>
      <c r="G59" s="5"/>
      <c r="H59" s="5"/>
      <c r="I59" s="5"/>
      <c r="J59" s="5"/>
      <c r="K59" s="5"/>
    </row>
    <row r="60" spans="2:53" ht="15.75" customHeight="1" x14ac:dyDescent="0.35">
      <c r="B60" s="5"/>
      <c r="C60" s="5"/>
      <c r="D60" s="5" t="s">
        <v>40</v>
      </c>
      <c r="E60" s="5"/>
      <c r="F60" s="5"/>
      <c r="G60" s="5"/>
      <c r="H60" s="5"/>
      <c r="I60" s="5"/>
      <c r="J60" s="5"/>
      <c r="K60" s="5"/>
      <c r="Q60" s="1">
        <f>(Q$1=Założenia!$M$26)*1*(w.2="tak")</f>
        <v>0</v>
      </c>
      <c r="R60" s="1">
        <f>(R$1=Założenia!$M$26)*1*(w.2="tak")</f>
        <v>0</v>
      </c>
      <c r="S60" s="1">
        <f>(S$1=Założenia!$M$26)*1*(w.2="tak")</f>
        <v>0</v>
      </c>
      <c r="T60" s="1">
        <f>(T$1=Założenia!$M$26)*1*(w.2="tak")</f>
        <v>1</v>
      </c>
      <c r="U60" s="1">
        <f>(U$1=Założenia!$M$26)*1*(w.2="tak")</f>
        <v>0</v>
      </c>
      <c r="V60" s="1">
        <f>(V$1=Założenia!$M$26)*1*(w.2="tak")</f>
        <v>0</v>
      </c>
      <c r="W60" s="1">
        <f>(W$1=Założenia!$M$26)*1*(w.2="tak")</f>
        <v>0</v>
      </c>
      <c r="X60" s="1">
        <f>(X$1=Założenia!$M$26)*1*(w.2="tak")</f>
        <v>0</v>
      </c>
      <c r="Y60" s="1">
        <f>(Y$1=Założenia!$M$26)*1*(w.2="tak")</f>
        <v>0</v>
      </c>
      <c r="Z60" s="1">
        <f>(Z$1=Założenia!$M$26)*1*(w.2="tak")</f>
        <v>0</v>
      </c>
      <c r="AA60" s="1">
        <f>(AA$1=Założenia!$M$26)*1*(w.2="tak")</f>
        <v>0</v>
      </c>
      <c r="AB60" s="1">
        <f>(AB$1=Założenia!$M$26)*1*(w.2="tak")</f>
        <v>0</v>
      </c>
      <c r="AC60" s="1">
        <f>(AC$1=Założenia!$M$26)*1*(w.2="tak")</f>
        <v>0</v>
      </c>
      <c r="AD60" s="1">
        <f>(AD$1=Założenia!$M$26)*1*(w.2="tak")</f>
        <v>0</v>
      </c>
      <c r="AE60" s="1">
        <f>(AE$1=Założenia!$M$26)*1*(w.2="tak")</f>
        <v>0</v>
      </c>
      <c r="AF60" s="1">
        <f>(AF$1=Założenia!$M$26)*1*(w.2="tak")</f>
        <v>0</v>
      </c>
      <c r="AG60" s="1">
        <f>(AG$1=Założenia!$M$26)*1*(w.2="tak")</f>
        <v>0</v>
      </c>
      <c r="AH60" s="1">
        <f>(AH$1=Założenia!$M$26)*1*(w.2="tak")</f>
        <v>0</v>
      </c>
      <c r="AI60" s="1">
        <f>(AI$1=Założenia!$M$26)*1*(w.2="tak")</f>
        <v>0</v>
      </c>
      <c r="AJ60" s="1">
        <f>(AJ$1=Założenia!$M$26)*1*(w.2="tak")</f>
        <v>0</v>
      </c>
      <c r="AK60" s="1">
        <f>(AK$1=Założenia!$M$26)*1*(w.2="tak")</f>
        <v>0</v>
      </c>
      <c r="AL60" s="1">
        <f>(AL$1=Założenia!$M$26)*1*(w.2="tak")</f>
        <v>0</v>
      </c>
      <c r="AM60" s="1">
        <f>(AM$1=Założenia!$M$26)*1*(w.2="tak")</f>
        <v>0</v>
      </c>
      <c r="AN60" s="1">
        <f>(AN$1=Założenia!$M$26)*1*(w.2="tak")</f>
        <v>0</v>
      </c>
      <c r="AO60" s="1">
        <f>(AO$1=Założenia!$M$26)*1*(w.2="tak")</f>
        <v>0</v>
      </c>
      <c r="AP60" s="1">
        <f>(AP$1=Założenia!$M$26)*1*(w.2="tak")</f>
        <v>0</v>
      </c>
      <c r="AQ60" s="1">
        <f>(AQ$1=Założenia!$M$26)*1*(w.2="tak")</f>
        <v>0</v>
      </c>
      <c r="AR60" s="1">
        <f>(AR$1=Założenia!$M$26)*1*(w.2="tak")</f>
        <v>0</v>
      </c>
      <c r="AS60" s="1">
        <f>(AS$1=Założenia!$M$26)*1*(w.2="tak")</f>
        <v>0</v>
      </c>
      <c r="AT60" s="1">
        <f>(AT$1=Założenia!$M$26)*1*(w.2="tak")</f>
        <v>0</v>
      </c>
      <c r="AU60" s="1">
        <f>(AU$1=Założenia!$M$26)*1*(w.2="tak")</f>
        <v>0</v>
      </c>
      <c r="AV60" s="1">
        <f>(AV$1=Założenia!$M$26)*1*(w.2="tak")</f>
        <v>0</v>
      </c>
      <c r="AW60" s="1">
        <f>(AW$1=Założenia!$M$26)*1*(w.2="tak")</f>
        <v>0</v>
      </c>
      <c r="AX60" s="1">
        <f>(AX$1=Założenia!$M$26)*1*(w.2="tak")</f>
        <v>0</v>
      </c>
      <c r="AY60" s="1">
        <f>(AY$1=Założenia!$M$26)*1*(w.2="tak")</f>
        <v>0</v>
      </c>
      <c r="AZ60" s="1">
        <f>(AZ$1=Założenia!$M$26)*1*(w.2="tak")</f>
        <v>0</v>
      </c>
      <c r="BA60" s="1">
        <f>(BA$1=Założenia!$M$26)*1*(w.2="tak")</f>
        <v>0</v>
      </c>
    </row>
    <row r="61" spans="2:53" ht="15.75" customHeight="1" x14ac:dyDescent="0.35">
      <c r="B61" s="5"/>
      <c r="C61" s="5"/>
      <c r="D61" s="5" t="s">
        <v>41</v>
      </c>
      <c r="E61" s="5"/>
      <c r="F61" s="5"/>
      <c r="G61" s="5"/>
      <c r="H61" s="5"/>
      <c r="I61" s="5"/>
      <c r="J61" s="5"/>
      <c r="K61" s="5"/>
      <c r="Q61" s="1">
        <f>(Q$1=Założenia!$M$27)*1*(w.2="tak")</f>
        <v>0</v>
      </c>
      <c r="R61" s="1">
        <f>(R$1=Założenia!$M$27)*1*(w.2="tak")</f>
        <v>0</v>
      </c>
      <c r="S61" s="1">
        <f>(S$1=Założenia!$M$27)*1*(w.2="tak")</f>
        <v>0</v>
      </c>
      <c r="T61" s="1">
        <f>(T$1=Założenia!$M$27)*1*(w.2="tak")</f>
        <v>1</v>
      </c>
      <c r="U61" s="1">
        <f>(U$1=Założenia!$M$27)*1*(w.2="tak")</f>
        <v>0</v>
      </c>
      <c r="V61" s="1">
        <f>(V$1=Założenia!$M$27)*1*(w.2="tak")</f>
        <v>0</v>
      </c>
      <c r="W61" s="1">
        <f>(W$1=Założenia!$M$27)*1*(w.2="tak")</f>
        <v>0</v>
      </c>
      <c r="X61" s="1">
        <f>(X$1=Założenia!$M$27)*1*(w.2="tak")</f>
        <v>0</v>
      </c>
      <c r="Y61" s="1">
        <f>(Y$1=Założenia!$M$27)*1*(w.2="tak")</f>
        <v>0</v>
      </c>
      <c r="Z61" s="1">
        <f>(Z$1=Założenia!$M$27)*1*(w.2="tak")</f>
        <v>0</v>
      </c>
      <c r="AA61" s="1">
        <f>(AA$1=Założenia!$M$27)*1*(w.2="tak")</f>
        <v>0</v>
      </c>
      <c r="AB61" s="1">
        <f>(AB$1=Założenia!$M$27)*1*(w.2="tak")</f>
        <v>0</v>
      </c>
      <c r="AC61" s="1">
        <f>(AC$1=Założenia!$M$27)*1*(w.2="tak")</f>
        <v>0</v>
      </c>
      <c r="AD61" s="1">
        <f>(AD$1=Założenia!$M$27)*1*(w.2="tak")</f>
        <v>0</v>
      </c>
      <c r="AE61" s="1">
        <f>(AE$1=Założenia!$M$27)*1*(w.2="tak")</f>
        <v>0</v>
      </c>
      <c r="AF61" s="1">
        <f>(AF$1=Założenia!$M$27)*1*(w.2="tak")</f>
        <v>0</v>
      </c>
      <c r="AG61" s="1">
        <f>(AG$1=Założenia!$M$27)*1*(w.2="tak")</f>
        <v>0</v>
      </c>
      <c r="AH61" s="1">
        <f>(AH$1=Założenia!$M$27)*1*(w.2="tak")</f>
        <v>0</v>
      </c>
      <c r="AI61" s="1">
        <f>(AI$1=Założenia!$M$27)*1*(w.2="tak")</f>
        <v>0</v>
      </c>
      <c r="AJ61" s="1">
        <f>(AJ$1=Założenia!$M$27)*1*(w.2="tak")</f>
        <v>0</v>
      </c>
      <c r="AK61" s="1">
        <f>(AK$1=Założenia!$M$27)*1*(w.2="tak")</f>
        <v>0</v>
      </c>
      <c r="AL61" s="1">
        <f>(AL$1=Założenia!$M$27)*1*(w.2="tak")</f>
        <v>0</v>
      </c>
      <c r="AM61" s="1">
        <f>(AM$1=Założenia!$M$27)*1*(w.2="tak")</f>
        <v>0</v>
      </c>
      <c r="AN61" s="1">
        <f>(AN$1=Założenia!$M$27)*1*(w.2="tak")</f>
        <v>0</v>
      </c>
      <c r="AO61" s="1">
        <f>(AO$1=Założenia!$M$27)*1*(w.2="tak")</f>
        <v>0</v>
      </c>
      <c r="AP61" s="1">
        <f>(AP$1=Założenia!$M$27)*1*(w.2="tak")</f>
        <v>0</v>
      </c>
      <c r="AQ61" s="1">
        <f>(AQ$1=Założenia!$M$27)*1*(w.2="tak")</f>
        <v>0</v>
      </c>
      <c r="AR61" s="1">
        <f>(AR$1=Założenia!$M$27)*1*(w.2="tak")</f>
        <v>0</v>
      </c>
      <c r="AS61" s="1">
        <f>(AS$1=Założenia!$M$27)*1*(w.2="tak")</f>
        <v>0</v>
      </c>
      <c r="AT61" s="1">
        <f>(AT$1=Założenia!$M$27)*1*(w.2="tak")</f>
        <v>0</v>
      </c>
      <c r="AU61" s="1">
        <f>(AU$1=Założenia!$M$27)*1*(w.2="tak")</f>
        <v>0</v>
      </c>
      <c r="AV61" s="1">
        <f>(AV$1=Założenia!$M$27)*1*(w.2="tak")</f>
        <v>0</v>
      </c>
      <c r="AW61" s="1">
        <f>(AW$1=Założenia!$M$27)*1*(w.2="tak")</f>
        <v>0</v>
      </c>
      <c r="AX61" s="1">
        <f>(AX$1=Założenia!$M$27)*1*(w.2="tak")</f>
        <v>0</v>
      </c>
      <c r="AY61" s="1">
        <f>(AY$1=Założenia!$M$27)*1*(w.2="tak")</f>
        <v>0</v>
      </c>
      <c r="AZ61" s="1">
        <f>(AZ$1=Założenia!$M$27)*1*(w.2="tak")</f>
        <v>0</v>
      </c>
      <c r="BA61" s="1">
        <f>(BA$1=Założenia!$M$27)*1*(w.2="tak")</f>
        <v>0</v>
      </c>
    </row>
    <row r="62" spans="2:53" ht="15.75" customHeight="1" x14ac:dyDescent="0.35">
      <c r="B62" s="5"/>
      <c r="C62" s="5"/>
      <c r="D62" s="5" t="s">
        <v>42</v>
      </c>
      <c r="E62" s="5"/>
      <c r="F62" s="5"/>
      <c r="G62" s="5"/>
      <c r="H62" s="5"/>
      <c r="I62" s="5"/>
      <c r="J62" s="5"/>
      <c r="K62" s="5"/>
      <c r="Q62" s="1" cm="1">
        <f t="array" ref="Q62">SUM($P60:Q60,-$P61:P61)*(w.2="tak")</f>
        <v>0</v>
      </c>
      <c r="R62" s="1" cm="1">
        <f t="array" ref="R62">SUM($P60:R60,-$P61:Q61)*(w.2="tak")</f>
        <v>0</v>
      </c>
      <c r="S62" s="1" cm="1">
        <f t="array" ref="S62">SUM($P60:S60,-$P61:R61)*(w.2="tak")</f>
        <v>0</v>
      </c>
      <c r="T62" s="1" cm="1">
        <f t="array" ref="T62">SUM($P60:T60,-$P61:S61)*(w.2="tak")</f>
        <v>1</v>
      </c>
      <c r="U62" s="1" cm="1">
        <f t="array" ref="U62">SUM($P60:U60,-$P61:T61)*(w.2="tak")</f>
        <v>0</v>
      </c>
      <c r="V62" s="1" cm="1">
        <f t="array" ref="V62">SUM($P60:V60,-$P61:U61)*(w.2="tak")</f>
        <v>0</v>
      </c>
      <c r="W62" s="1" cm="1">
        <f t="array" ref="W62">SUM($P60:W60,-$P61:V61)*(w.2="tak")</f>
        <v>0</v>
      </c>
      <c r="X62" s="1" cm="1">
        <f t="array" ref="X62">SUM($P60:X60,-$P61:W61)*(w.2="tak")</f>
        <v>0</v>
      </c>
      <c r="Y62" s="1" cm="1">
        <f t="array" ref="Y62">SUM($P60:Y60,-$P61:X61)*(w.2="tak")</f>
        <v>0</v>
      </c>
      <c r="Z62" s="1" cm="1">
        <f t="array" ref="Z62">SUM($P60:Z60,-$P61:Y61)*(w.2="tak")</f>
        <v>0</v>
      </c>
      <c r="AA62" s="1" cm="1">
        <f t="array" ref="AA62">SUM($P60:AA60,-$P61:Z61)*(w.2="tak")</f>
        <v>0</v>
      </c>
      <c r="AB62" s="1" cm="1">
        <f t="array" ref="AB62">SUM($P60:AB60,-$P61:AA61)*(w.2="tak")</f>
        <v>0</v>
      </c>
      <c r="AC62" s="1" cm="1">
        <f t="array" ref="AC62">SUM($P60:AC60,-$P61:AB61)*(w.2="tak")</f>
        <v>0</v>
      </c>
      <c r="AD62" s="1" cm="1">
        <f t="array" ref="AD62">SUM($P60:AD60,-$P61:AC61)*(w.2="tak")</f>
        <v>0</v>
      </c>
      <c r="AE62" s="1" cm="1">
        <f t="array" ref="AE62">SUM($P60:AE60,-$P61:AD61)*(w.2="tak")</f>
        <v>0</v>
      </c>
      <c r="AF62" s="1" cm="1">
        <f t="array" ref="AF62">SUM($P60:AF60,-$P61:AE61)*(w.2="tak")</f>
        <v>0</v>
      </c>
      <c r="AG62" s="1" cm="1">
        <f t="array" ref="AG62">SUM($P60:AG60,-$P61:AF61)*(w.2="tak")</f>
        <v>0</v>
      </c>
      <c r="AH62" s="1" cm="1">
        <f t="array" ref="AH62">SUM($P60:AH60,-$P61:AG61)*(w.2="tak")</f>
        <v>0</v>
      </c>
      <c r="AI62" s="1" cm="1">
        <f t="array" ref="AI62">SUM($P60:AI60,-$P61:AH61)*(w.2="tak")</f>
        <v>0</v>
      </c>
      <c r="AJ62" s="1" cm="1">
        <f t="array" ref="AJ62">SUM($P60:AJ60,-$P61:AI61)*(w.2="tak")</f>
        <v>0</v>
      </c>
      <c r="AK62" s="1" cm="1">
        <f t="array" ref="AK62">SUM($P60:AK60,-$P61:AJ61)*(w.2="tak")</f>
        <v>0</v>
      </c>
      <c r="AL62" s="1" cm="1">
        <f t="array" ref="AL62">SUM($P60:AL60,-$P61:AK61)*(w.2="tak")</f>
        <v>0</v>
      </c>
      <c r="AM62" s="1" cm="1">
        <f t="array" ref="AM62">SUM($P60:AM60,-$P61:AL61)*(w.2="tak")</f>
        <v>0</v>
      </c>
      <c r="AN62" s="1" cm="1">
        <f t="array" ref="AN62">SUM($P60:AN60,-$P61:AM61)*(w.2="tak")</f>
        <v>0</v>
      </c>
      <c r="AO62" s="1" cm="1">
        <f t="array" ref="AO62">SUM($P60:AO60,-$P61:AN61)*(w.2="tak")</f>
        <v>0</v>
      </c>
      <c r="AP62" s="1" cm="1">
        <f t="array" ref="AP62">SUM($P60:AP60,-$P61:AO61)*(w.2="tak")</f>
        <v>0</v>
      </c>
      <c r="AQ62" s="1" cm="1">
        <f t="array" ref="AQ62">SUM($P60:AQ60,-$P61:AP61)*(w.2="tak")</f>
        <v>0</v>
      </c>
      <c r="AR62" s="1" cm="1">
        <f t="array" ref="AR62">SUM($P60:AR60,-$P61:AQ61)*(w.2="tak")</f>
        <v>0</v>
      </c>
      <c r="AS62" s="1" cm="1">
        <f t="array" ref="AS62">SUM($P60:AS60,-$P61:AR61)*(w.2="tak")</f>
        <v>0</v>
      </c>
      <c r="AT62" s="1" cm="1">
        <f t="array" ref="AT62">SUM($P60:AT60,-$P61:AS61)*(w.2="tak")</f>
        <v>0</v>
      </c>
      <c r="AU62" s="1" cm="1">
        <f t="array" ref="AU62">SUM($P60:AU60,-$P61:AT61)*(w.2="tak")</f>
        <v>0</v>
      </c>
      <c r="AV62" s="1" cm="1">
        <f t="array" ref="AV62">SUM($P60:AV60,-$P61:AU61)*(w.2="tak")</f>
        <v>0</v>
      </c>
      <c r="AW62" s="1" cm="1">
        <f t="array" ref="AW62">SUM($P60:AW60,-$P61:AV61)*(w.2="tak")</f>
        <v>0</v>
      </c>
      <c r="AX62" s="1" cm="1">
        <f t="array" ref="AX62">SUM($P60:AX60,-$P61:AW61)*(w.2="tak")</f>
        <v>0</v>
      </c>
      <c r="AY62" s="1" cm="1">
        <f t="array" ref="AY62">SUM($P60:AY60,-$P61:AX61)*(w.2="tak")</f>
        <v>0</v>
      </c>
      <c r="AZ62" s="1" cm="1">
        <f t="array" ref="AZ62">SUM($P60:AZ60,-$P61:AY61)*(w.2="tak")</f>
        <v>0</v>
      </c>
      <c r="BA62" s="1" cm="1">
        <f t="array" ref="BA62">SUM($P60:BA60,-$P61:AZ61)*(w.2="tak")</f>
        <v>0</v>
      </c>
    </row>
    <row r="63" spans="2:53" ht="15.75" customHeight="1" x14ac:dyDescent="0.35">
      <c r="B63" s="5"/>
      <c r="C63" s="5" t="s">
        <v>44</v>
      </c>
      <c r="D63" s="5"/>
      <c r="E63" s="5"/>
      <c r="F63" s="5"/>
      <c r="G63" s="5"/>
      <c r="H63" s="5"/>
      <c r="I63" s="5"/>
      <c r="J63" s="5"/>
      <c r="K63" s="5"/>
    </row>
    <row r="64" spans="2:53" ht="15.75" customHeight="1" x14ac:dyDescent="0.35">
      <c r="B64" s="5"/>
      <c r="C64" s="5"/>
      <c r="D64" s="5" t="s">
        <v>40</v>
      </c>
      <c r="E64" s="5"/>
      <c r="F64" s="5"/>
      <c r="G64" s="5"/>
      <c r="H64" s="5"/>
      <c r="I64" s="5"/>
      <c r="J64" s="5"/>
      <c r="K64" s="5"/>
      <c r="Q64" s="1">
        <f>(Q$1=Założenia!$M$14)*1*(w.2="tak")</f>
        <v>0</v>
      </c>
      <c r="R64" s="1">
        <f>(R$1=Założenia!$M$14)*1*(w.2="tak")</f>
        <v>1</v>
      </c>
      <c r="S64" s="1">
        <f>(S$1=Założenia!$M$14)*1*(w.2="tak")</f>
        <v>0</v>
      </c>
      <c r="T64" s="1">
        <f>(T$1=Założenia!$M$14)*1*(w.2="tak")</f>
        <v>0</v>
      </c>
      <c r="U64" s="1">
        <f>(U$1=Założenia!$M$14)*1*(w.2="tak")</f>
        <v>0</v>
      </c>
      <c r="V64" s="1">
        <f>(V$1=Założenia!$M$14)*1*(w.2="tak")</f>
        <v>0</v>
      </c>
      <c r="W64" s="1">
        <f>(W$1=Założenia!$M$14)*1*(w.2="tak")</f>
        <v>0</v>
      </c>
      <c r="X64" s="1">
        <f>(X$1=Założenia!$M$14)*1*(w.2="tak")</f>
        <v>0</v>
      </c>
      <c r="Y64" s="1">
        <f>(Y$1=Założenia!$M$14)*1*(w.2="tak")</f>
        <v>0</v>
      </c>
      <c r="Z64" s="1">
        <f>(Z$1=Założenia!$M$14)*1*(w.2="tak")</f>
        <v>0</v>
      </c>
      <c r="AA64" s="1">
        <f>(AA$1=Założenia!$M$14)*1*(w.2="tak")</f>
        <v>0</v>
      </c>
      <c r="AB64" s="1">
        <f>(AB$1=Założenia!$M$14)*1*(w.2="tak")</f>
        <v>0</v>
      </c>
      <c r="AC64" s="1">
        <f>(AC$1=Założenia!$M$14)*1*(w.2="tak")</f>
        <v>0</v>
      </c>
      <c r="AD64" s="1">
        <f>(AD$1=Założenia!$M$14)*1*(w.2="tak")</f>
        <v>0</v>
      </c>
      <c r="AE64" s="1">
        <f>(AE$1=Założenia!$M$14)*1*(w.2="tak")</f>
        <v>0</v>
      </c>
      <c r="AF64" s="1">
        <f>(AF$1=Założenia!$M$14)*1*(w.2="tak")</f>
        <v>0</v>
      </c>
      <c r="AG64" s="1">
        <f>(AG$1=Założenia!$M$14)*1*(w.2="tak")</f>
        <v>0</v>
      </c>
      <c r="AH64" s="1">
        <f>(AH$1=Założenia!$M$14)*1*(w.2="tak")</f>
        <v>0</v>
      </c>
      <c r="AI64" s="1">
        <f>(AI$1=Założenia!$M$14)*1*(w.2="tak")</f>
        <v>0</v>
      </c>
      <c r="AJ64" s="1">
        <f>(AJ$1=Założenia!$M$14)*1*(w.2="tak")</f>
        <v>0</v>
      </c>
      <c r="AK64" s="1">
        <f>(AK$1=Założenia!$M$14)*1*(w.2="tak")</f>
        <v>0</v>
      </c>
      <c r="AL64" s="1">
        <f>(AL$1=Założenia!$M$14)*1*(w.2="tak")</f>
        <v>0</v>
      </c>
      <c r="AM64" s="1">
        <f>(AM$1=Założenia!$M$14)*1*(w.2="tak")</f>
        <v>0</v>
      </c>
      <c r="AN64" s="1">
        <f>(AN$1=Założenia!$M$14)*1*(w.2="tak")</f>
        <v>0</v>
      </c>
      <c r="AO64" s="1">
        <f>(AO$1=Założenia!$M$14)*1*(w.2="tak")</f>
        <v>0</v>
      </c>
      <c r="AP64" s="1">
        <f>(AP$1=Założenia!$M$14)*1*(w.2="tak")</f>
        <v>0</v>
      </c>
      <c r="AQ64" s="1">
        <f>(AQ$1=Założenia!$M$14)*1*(w.2="tak")</f>
        <v>0</v>
      </c>
      <c r="AR64" s="1">
        <f>(AR$1=Założenia!$M$14)*1*(w.2="tak")</f>
        <v>0</v>
      </c>
      <c r="AS64" s="1">
        <f>(AS$1=Założenia!$M$14)*1*(w.2="tak")</f>
        <v>0</v>
      </c>
      <c r="AT64" s="1">
        <f>(AT$1=Założenia!$M$14)*1*(w.2="tak")</f>
        <v>0</v>
      </c>
      <c r="AU64" s="1">
        <f>(AU$1=Założenia!$M$14)*1*(w.2="tak")</f>
        <v>0</v>
      </c>
      <c r="AV64" s="1">
        <f>(AV$1=Założenia!$M$14)*1*(w.2="tak")</f>
        <v>0</v>
      </c>
      <c r="AW64" s="1">
        <f>(AW$1=Założenia!$M$14)*1*(w.2="tak")</f>
        <v>0</v>
      </c>
      <c r="AX64" s="1">
        <f>(AX$1=Założenia!$M$14)*1*(w.2="tak")</f>
        <v>0</v>
      </c>
      <c r="AY64" s="1">
        <f>(AY$1=Założenia!$M$14)*1*(w.2="tak")</f>
        <v>0</v>
      </c>
      <c r="AZ64" s="1">
        <f>(AZ$1=Założenia!$M$14)*1*(w.2="tak")</f>
        <v>0</v>
      </c>
      <c r="BA64" s="1">
        <f>(BA$1=Założenia!$M$14)*1*(w.2="tak")</f>
        <v>0</v>
      </c>
    </row>
    <row r="65" spans="1:53" ht="15.75" customHeight="1" x14ac:dyDescent="0.35">
      <c r="B65" s="5"/>
      <c r="C65" s="5"/>
      <c r="D65" s="5" t="s">
        <v>41</v>
      </c>
      <c r="E65" s="5"/>
      <c r="F65" s="5"/>
      <c r="G65" s="5"/>
      <c r="H65" s="5"/>
      <c r="I65" s="5"/>
      <c r="J65" s="5"/>
      <c r="K65" s="5"/>
      <c r="Q65" s="1">
        <f>(Q$1=Założenia!$M$27)*1*(w.2="tak")</f>
        <v>0</v>
      </c>
      <c r="R65" s="1">
        <f>(R$1=Założenia!$M$27)*1*(w.2="tak")</f>
        <v>0</v>
      </c>
      <c r="S65" s="1">
        <f>(S$1=Założenia!$M$27)*1*(w.2="tak")</f>
        <v>0</v>
      </c>
      <c r="T65" s="1">
        <f>(T$1=Założenia!$M$27)*1*(w.2="tak")</f>
        <v>1</v>
      </c>
      <c r="U65" s="1">
        <f>(U$1=Założenia!$M$27)*1*(w.2="tak")</f>
        <v>0</v>
      </c>
      <c r="V65" s="1">
        <f>(V$1=Założenia!$M$27)*1*(w.2="tak")</f>
        <v>0</v>
      </c>
      <c r="W65" s="1">
        <f>(W$1=Założenia!$M$27)*1*(w.2="tak")</f>
        <v>0</v>
      </c>
      <c r="X65" s="1">
        <f>(X$1=Założenia!$M$27)*1*(w.2="tak")</f>
        <v>0</v>
      </c>
      <c r="Y65" s="1">
        <f>(Y$1=Założenia!$M$27)*1*(w.2="tak")</f>
        <v>0</v>
      </c>
      <c r="Z65" s="1">
        <f>(Z$1=Założenia!$M$27)*1*(w.2="tak")</f>
        <v>0</v>
      </c>
      <c r="AA65" s="1">
        <f>(AA$1=Założenia!$M$27)*1*(w.2="tak")</f>
        <v>0</v>
      </c>
      <c r="AB65" s="1">
        <f>(AB$1=Założenia!$M$27)*1*(w.2="tak")</f>
        <v>0</v>
      </c>
      <c r="AC65" s="1">
        <f>(AC$1=Założenia!$M$27)*1*(w.2="tak")</f>
        <v>0</v>
      </c>
      <c r="AD65" s="1">
        <f>(AD$1=Założenia!$M$27)*1*(w.2="tak")</f>
        <v>0</v>
      </c>
      <c r="AE65" s="1">
        <f>(AE$1=Założenia!$M$27)*1*(w.2="tak")</f>
        <v>0</v>
      </c>
      <c r="AF65" s="1">
        <f>(AF$1=Założenia!$M$27)*1*(w.2="tak")</f>
        <v>0</v>
      </c>
      <c r="AG65" s="1">
        <f>(AG$1=Założenia!$M$27)*1*(w.2="tak")</f>
        <v>0</v>
      </c>
      <c r="AH65" s="1">
        <f>(AH$1=Założenia!$M$27)*1*(w.2="tak")</f>
        <v>0</v>
      </c>
      <c r="AI65" s="1">
        <f>(AI$1=Założenia!$M$27)*1*(w.2="tak")</f>
        <v>0</v>
      </c>
      <c r="AJ65" s="1">
        <f>(AJ$1=Założenia!$M$27)*1*(w.2="tak")</f>
        <v>0</v>
      </c>
      <c r="AK65" s="1">
        <f>(AK$1=Założenia!$M$27)*1*(w.2="tak")</f>
        <v>0</v>
      </c>
      <c r="AL65" s="1">
        <f>(AL$1=Założenia!$M$27)*1*(w.2="tak")</f>
        <v>0</v>
      </c>
      <c r="AM65" s="1">
        <f>(AM$1=Założenia!$M$27)*1*(w.2="tak")</f>
        <v>0</v>
      </c>
      <c r="AN65" s="1">
        <f>(AN$1=Założenia!$M$27)*1*(w.2="tak")</f>
        <v>0</v>
      </c>
      <c r="AO65" s="1">
        <f>(AO$1=Założenia!$M$27)*1*(w.2="tak")</f>
        <v>0</v>
      </c>
      <c r="AP65" s="1">
        <f>(AP$1=Założenia!$M$27)*1*(w.2="tak")</f>
        <v>0</v>
      </c>
      <c r="AQ65" s="1">
        <f>(AQ$1=Założenia!$M$27)*1*(w.2="tak")</f>
        <v>0</v>
      </c>
      <c r="AR65" s="1">
        <f>(AR$1=Założenia!$M$27)*1*(w.2="tak")</f>
        <v>0</v>
      </c>
      <c r="AS65" s="1">
        <f>(AS$1=Założenia!$M$27)*1*(w.2="tak")</f>
        <v>0</v>
      </c>
      <c r="AT65" s="1">
        <f>(AT$1=Założenia!$M$27)*1*(w.2="tak")</f>
        <v>0</v>
      </c>
      <c r="AU65" s="1">
        <f>(AU$1=Założenia!$M$27)*1*(w.2="tak")</f>
        <v>0</v>
      </c>
      <c r="AV65" s="1">
        <f>(AV$1=Założenia!$M$27)*1*(w.2="tak")</f>
        <v>0</v>
      </c>
      <c r="AW65" s="1">
        <f>(AW$1=Założenia!$M$27)*1*(w.2="tak")</f>
        <v>0</v>
      </c>
      <c r="AX65" s="1">
        <f>(AX$1=Założenia!$M$27)*1*(w.2="tak")</f>
        <v>0</v>
      </c>
      <c r="AY65" s="1">
        <f>(AY$1=Założenia!$M$27)*1*(w.2="tak")</f>
        <v>0</v>
      </c>
      <c r="AZ65" s="1">
        <f>(AZ$1=Założenia!$M$27)*1*(w.2="tak")</f>
        <v>0</v>
      </c>
      <c r="BA65" s="1">
        <f>(BA$1=Założenia!$M$27)*1*(w.2="tak")</f>
        <v>0</v>
      </c>
    </row>
    <row r="66" spans="1:53" ht="15.75" customHeight="1" x14ac:dyDescent="0.35">
      <c r="B66" s="5"/>
      <c r="C66" s="5"/>
      <c r="D66" s="5" t="s">
        <v>42</v>
      </c>
      <c r="E66" s="5"/>
      <c r="F66" s="5"/>
      <c r="G66" s="5"/>
      <c r="H66" s="5"/>
      <c r="I66" s="5"/>
      <c r="J66" s="5"/>
      <c r="K66" s="5"/>
      <c r="Q66" s="1" cm="1">
        <f t="array" ref="Q66">SUM($P64:Q64,-$P65:P65)*(w.2="tak")</f>
        <v>0</v>
      </c>
      <c r="R66" s="1" cm="1">
        <f t="array" ref="R66">SUM($P64:R64,-$P65:Q65)*(w.2="tak")</f>
        <v>1</v>
      </c>
      <c r="S66" s="1" cm="1">
        <f t="array" ref="S66">SUM($P64:S64,-$P65:R65)*(w.2="tak")</f>
        <v>1</v>
      </c>
      <c r="T66" s="1" cm="1">
        <f t="array" ref="T66">SUM($P64:T64,-$P65:S65)*(w.2="tak")</f>
        <v>1</v>
      </c>
      <c r="U66" s="1" cm="1">
        <f t="array" ref="U66">SUM($P64:U64,-$P65:T65)*(w.2="tak")</f>
        <v>0</v>
      </c>
      <c r="V66" s="1" cm="1">
        <f t="array" ref="V66">SUM($P64:V64,-$P65:U65)*(w.2="tak")</f>
        <v>0</v>
      </c>
      <c r="W66" s="1" cm="1">
        <f t="array" ref="W66">SUM($P64:W64,-$P65:V65)*(w.2="tak")</f>
        <v>0</v>
      </c>
      <c r="X66" s="1" cm="1">
        <f t="array" ref="X66">SUM($P64:X64,-$P65:W65)*(w.2="tak")</f>
        <v>0</v>
      </c>
      <c r="Y66" s="1" cm="1">
        <f t="array" ref="Y66">SUM($P64:Y64,-$P65:X65)*(w.2="tak")</f>
        <v>0</v>
      </c>
      <c r="Z66" s="1" cm="1">
        <f t="array" ref="Z66">SUM($P64:Z64,-$P65:Y65)*(w.2="tak")</f>
        <v>0</v>
      </c>
      <c r="AA66" s="1" cm="1">
        <f t="array" ref="AA66">SUM($P64:AA64,-$P65:Z65)*(w.2="tak")</f>
        <v>0</v>
      </c>
      <c r="AB66" s="1" cm="1">
        <f t="array" ref="AB66">SUM($P64:AB64,-$P65:AA65)*(w.2="tak")</f>
        <v>0</v>
      </c>
      <c r="AC66" s="1" cm="1">
        <f t="array" ref="AC66">SUM($P64:AC64,-$P65:AB65)*(w.2="tak")</f>
        <v>0</v>
      </c>
      <c r="AD66" s="1" cm="1">
        <f t="array" ref="AD66">SUM($P64:AD64,-$P65:AC65)*(w.2="tak")</f>
        <v>0</v>
      </c>
      <c r="AE66" s="1" cm="1">
        <f t="array" ref="AE66">SUM($P64:AE64,-$P65:AD65)*(w.2="tak")</f>
        <v>0</v>
      </c>
      <c r="AF66" s="1" cm="1">
        <f t="array" ref="AF66">SUM($P64:AF64,-$P65:AE65)*(w.2="tak")</f>
        <v>0</v>
      </c>
      <c r="AG66" s="1" cm="1">
        <f t="array" ref="AG66">SUM($P64:AG64,-$P65:AF65)*(w.2="tak")</f>
        <v>0</v>
      </c>
      <c r="AH66" s="1" cm="1">
        <f t="array" ref="AH66">SUM($P64:AH64,-$P65:AG65)*(w.2="tak")</f>
        <v>0</v>
      </c>
      <c r="AI66" s="1" cm="1">
        <f t="array" ref="AI66">SUM($P64:AI64,-$P65:AH65)*(w.2="tak")</f>
        <v>0</v>
      </c>
      <c r="AJ66" s="1" cm="1">
        <f t="array" ref="AJ66">SUM($P64:AJ64,-$P65:AI65)*(w.2="tak")</f>
        <v>0</v>
      </c>
      <c r="AK66" s="1" cm="1">
        <f t="array" ref="AK66">SUM($P64:AK64,-$P65:AJ65)*(w.2="tak")</f>
        <v>0</v>
      </c>
      <c r="AL66" s="1" cm="1">
        <f t="array" ref="AL66">SUM($P64:AL64,-$P65:AK65)*(w.2="tak")</f>
        <v>0</v>
      </c>
      <c r="AM66" s="1" cm="1">
        <f t="array" ref="AM66">SUM($P64:AM64,-$P65:AL65)*(w.2="tak")</f>
        <v>0</v>
      </c>
      <c r="AN66" s="1" cm="1">
        <f t="array" ref="AN66">SUM($P64:AN64,-$P65:AM65)*(w.2="tak")</f>
        <v>0</v>
      </c>
      <c r="AO66" s="1" cm="1">
        <f t="array" ref="AO66">SUM($P64:AO64,-$P65:AN65)*(w.2="tak")</f>
        <v>0</v>
      </c>
      <c r="AP66" s="1" cm="1">
        <f t="array" ref="AP66">SUM($P64:AP64,-$P65:AO65)*(w.2="tak")</f>
        <v>0</v>
      </c>
      <c r="AQ66" s="1" cm="1">
        <f t="array" ref="AQ66">SUM($P64:AQ64,-$P65:AP65)*(w.2="tak")</f>
        <v>0</v>
      </c>
      <c r="AR66" s="1" cm="1">
        <f t="array" ref="AR66">SUM($P64:AR64,-$P65:AQ65)*(w.2="tak")</f>
        <v>0</v>
      </c>
      <c r="AS66" s="1" cm="1">
        <f t="array" ref="AS66">SUM($P64:AS64,-$P65:AR65)*(w.2="tak")</f>
        <v>0</v>
      </c>
      <c r="AT66" s="1" cm="1">
        <f t="array" ref="AT66">SUM($P64:AT64,-$P65:AS65)*(w.2="tak")</f>
        <v>0</v>
      </c>
      <c r="AU66" s="1" cm="1">
        <f t="array" ref="AU66">SUM($P64:AU64,-$P65:AT65)*(w.2="tak")</f>
        <v>0</v>
      </c>
      <c r="AV66" s="1" cm="1">
        <f t="array" ref="AV66">SUM($P64:AV64,-$P65:AU65)*(w.2="tak")</f>
        <v>0</v>
      </c>
      <c r="AW66" s="1" cm="1">
        <f t="array" ref="AW66">SUM($P64:AW64,-$P65:AV65)*(w.2="tak")</f>
        <v>0</v>
      </c>
      <c r="AX66" s="1" cm="1">
        <f t="array" ref="AX66">SUM($P64:AX64,-$P65:AW65)*(w.2="tak")</f>
        <v>0</v>
      </c>
      <c r="AY66" s="1" cm="1">
        <f t="array" ref="AY66">SUM($P64:AY64,-$P65:AX65)*(w.2="tak")</f>
        <v>0</v>
      </c>
      <c r="AZ66" s="1" cm="1">
        <f t="array" ref="AZ66">SUM($P64:AZ64,-$P65:AY65)*(w.2="tak")</f>
        <v>0</v>
      </c>
      <c r="BA66" s="1" cm="1">
        <f t="array" ref="BA66">SUM($P64:BA64,-$P65:AZ65)*(w.2="tak")</f>
        <v>0</v>
      </c>
    </row>
    <row r="67" spans="1:53" x14ac:dyDescent="0.35"/>
    <row r="68" spans="1:53" x14ac:dyDescent="0.35">
      <c r="A68" s="54"/>
      <c r="B68" s="55" t="s">
        <v>169</v>
      </c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6" t="str">
        <f t="shared" ref="Q68:BA68" si="3">IF(OPt.w2=1,"Projektowanie",IF(OBt.w2=1,"Budowa",IF(OEt.w2=1,"Eksploatacja","")))</f>
        <v/>
      </c>
      <c r="R68" s="56" t="str">
        <f t="shared" si="3"/>
        <v>Projektowanie</v>
      </c>
      <c r="S68" s="56" t="str">
        <f t="shared" si="3"/>
        <v>Budowa</v>
      </c>
      <c r="T68" s="56" t="str">
        <f t="shared" si="3"/>
        <v>Eksploatacja</v>
      </c>
      <c r="U68" s="56" t="str">
        <f t="shared" si="3"/>
        <v/>
      </c>
      <c r="V68" s="56" t="str">
        <f t="shared" si="3"/>
        <v/>
      </c>
      <c r="W68" s="56" t="str">
        <f t="shared" si="3"/>
        <v/>
      </c>
      <c r="X68" s="56" t="str">
        <f t="shared" si="3"/>
        <v/>
      </c>
      <c r="Y68" s="56" t="str">
        <f t="shared" si="3"/>
        <v/>
      </c>
      <c r="Z68" s="56" t="str">
        <f t="shared" si="3"/>
        <v/>
      </c>
      <c r="AA68" s="56" t="str">
        <f t="shared" si="3"/>
        <v/>
      </c>
      <c r="AB68" s="56" t="str">
        <f t="shared" si="3"/>
        <v/>
      </c>
      <c r="AC68" s="56" t="str">
        <f t="shared" si="3"/>
        <v/>
      </c>
      <c r="AD68" s="56" t="str">
        <f t="shared" si="3"/>
        <v/>
      </c>
      <c r="AE68" s="56" t="str">
        <f t="shared" si="3"/>
        <v/>
      </c>
      <c r="AF68" s="56" t="str">
        <f t="shared" si="3"/>
        <v/>
      </c>
      <c r="AG68" s="56" t="str">
        <f t="shared" si="3"/>
        <v/>
      </c>
      <c r="AH68" s="56" t="str">
        <f t="shared" si="3"/>
        <v/>
      </c>
      <c r="AI68" s="56" t="str">
        <f t="shared" si="3"/>
        <v/>
      </c>
      <c r="AJ68" s="56" t="str">
        <f t="shared" si="3"/>
        <v/>
      </c>
      <c r="AK68" s="56" t="str">
        <f t="shared" si="3"/>
        <v/>
      </c>
      <c r="AL68" s="56" t="str">
        <f t="shared" si="3"/>
        <v/>
      </c>
      <c r="AM68" s="56" t="str">
        <f t="shared" si="3"/>
        <v/>
      </c>
      <c r="AN68" s="56" t="str">
        <f t="shared" si="3"/>
        <v/>
      </c>
      <c r="AO68" s="56" t="str">
        <f t="shared" si="3"/>
        <v/>
      </c>
      <c r="AP68" s="56" t="str">
        <f t="shared" si="3"/>
        <v/>
      </c>
      <c r="AQ68" s="56" t="str">
        <f t="shared" si="3"/>
        <v/>
      </c>
      <c r="AR68" s="56" t="str">
        <f t="shared" si="3"/>
        <v/>
      </c>
      <c r="AS68" s="56" t="str">
        <f t="shared" si="3"/>
        <v/>
      </c>
      <c r="AT68" s="56" t="str">
        <f t="shared" si="3"/>
        <v/>
      </c>
      <c r="AU68" s="56" t="str">
        <f t="shared" si="3"/>
        <v/>
      </c>
      <c r="AV68" s="56" t="str">
        <f t="shared" si="3"/>
        <v/>
      </c>
      <c r="AW68" s="56" t="str">
        <f t="shared" si="3"/>
        <v/>
      </c>
      <c r="AX68" s="56" t="str">
        <f t="shared" si="3"/>
        <v/>
      </c>
      <c r="AY68" s="56" t="str">
        <f t="shared" si="3"/>
        <v/>
      </c>
      <c r="AZ68" s="56" t="str">
        <f t="shared" si="3"/>
        <v/>
      </c>
      <c r="BA68" s="56" t="str">
        <f t="shared" si="3"/>
        <v/>
      </c>
    </row>
    <row r="69" spans="1:53" x14ac:dyDescent="0.35"/>
    <row r="70" spans="1:53" x14ac:dyDescent="0.35">
      <c r="B70" s="8" t="s">
        <v>98</v>
      </c>
      <c r="C70" s="9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</row>
    <row r="71" spans="1:53" ht="15.75" customHeight="1" x14ac:dyDescent="0.35">
      <c r="B71" s="5"/>
      <c r="C71" s="5" t="s">
        <v>39</v>
      </c>
      <c r="D71" s="5"/>
      <c r="E71" s="5"/>
      <c r="F71" s="5"/>
      <c r="G71" s="5"/>
      <c r="H71" s="5"/>
      <c r="I71" s="5"/>
      <c r="J71" s="5"/>
      <c r="K71" s="5"/>
    </row>
    <row r="72" spans="1:53" ht="15.75" customHeight="1" x14ac:dyDescent="0.35">
      <c r="B72" s="5"/>
      <c r="C72" s="5"/>
      <c r="D72" s="5" t="s">
        <v>40</v>
      </c>
      <c r="E72" s="5"/>
      <c r="F72" s="5"/>
      <c r="G72" s="5"/>
      <c r="H72" s="5"/>
      <c r="I72" s="5"/>
      <c r="J72" s="5"/>
      <c r="K72" s="5"/>
      <c r="Q72" s="1">
        <f>(Q$1=Założenia!$O$14)*1*(w.3="tak")</f>
        <v>0</v>
      </c>
      <c r="R72" s="1">
        <f>(R$1=Założenia!$O$14)*1*(w.3="tak")</f>
        <v>1</v>
      </c>
      <c r="S72" s="1">
        <f>(S$1=Założenia!$O$14)*1*(w.3="tak")</f>
        <v>0</v>
      </c>
      <c r="T72" s="1">
        <f>(T$1=Założenia!$O$14)*1*(w.3="tak")</f>
        <v>0</v>
      </c>
      <c r="U72" s="1">
        <f>(U$1=Założenia!$O$14)*1*(w.3="tak")</f>
        <v>0</v>
      </c>
      <c r="V72" s="1">
        <f>(V$1=Założenia!$O$14)*1*(w.3="tak")</f>
        <v>0</v>
      </c>
      <c r="W72" s="1">
        <f>(W$1=Założenia!$O$14)*1*(w.3="tak")</f>
        <v>0</v>
      </c>
      <c r="X72" s="1">
        <f>(X$1=Założenia!$O$14)*1*(w.3="tak")</f>
        <v>0</v>
      </c>
      <c r="Y72" s="1">
        <f>(Y$1=Założenia!$O$14)*1*(w.3="tak")</f>
        <v>0</v>
      </c>
      <c r="Z72" s="1">
        <f>(Z$1=Założenia!$O$14)*1*(w.3="tak")</f>
        <v>0</v>
      </c>
      <c r="AA72" s="1">
        <f>(AA$1=Założenia!$O$14)*1*(w.3="tak")</f>
        <v>0</v>
      </c>
      <c r="AB72" s="1">
        <f>(AB$1=Założenia!$O$14)*1*(w.3="tak")</f>
        <v>0</v>
      </c>
      <c r="AC72" s="1">
        <f>(AC$1=Założenia!$O$14)*1*(w.3="tak")</f>
        <v>0</v>
      </c>
      <c r="AD72" s="1">
        <f>(AD$1=Założenia!$O$14)*1*(w.3="tak")</f>
        <v>0</v>
      </c>
      <c r="AE72" s="1">
        <f>(AE$1=Założenia!$O$14)*1*(w.3="tak")</f>
        <v>0</v>
      </c>
      <c r="AF72" s="1">
        <f>(AF$1=Założenia!$O$14)*1*(w.3="tak")</f>
        <v>0</v>
      </c>
      <c r="AG72" s="1">
        <f>(AG$1=Założenia!$O$14)*1*(w.3="tak")</f>
        <v>0</v>
      </c>
      <c r="AH72" s="1">
        <f>(AH$1=Założenia!$O$14)*1*(w.3="tak")</f>
        <v>0</v>
      </c>
      <c r="AI72" s="1">
        <f>(AI$1=Założenia!$O$14)*1*(w.3="tak")</f>
        <v>0</v>
      </c>
      <c r="AJ72" s="1">
        <f>(AJ$1=Założenia!$O$14)*1*(w.3="tak")</f>
        <v>0</v>
      </c>
      <c r="AK72" s="1">
        <f>(AK$1=Założenia!$O$14)*1*(w.3="tak")</f>
        <v>0</v>
      </c>
      <c r="AL72" s="1">
        <f>(AL$1=Założenia!$O$14)*1*(w.3="tak")</f>
        <v>0</v>
      </c>
      <c r="AM72" s="1">
        <f>(AM$1=Założenia!$O$14)*1*(w.3="tak")</f>
        <v>0</v>
      </c>
      <c r="AN72" s="1">
        <f>(AN$1=Założenia!$O$14)*1*(w.3="tak")</f>
        <v>0</v>
      </c>
      <c r="AO72" s="1">
        <f>(AO$1=Założenia!$O$14)*1*(w.3="tak")</f>
        <v>0</v>
      </c>
      <c r="AP72" s="1">
        <f>(AP$1=Założenia!$O$14)*1*(w.3="tak")</f>
        <v>0</v>
      </c>
      <c r="AQ72" s="1">
        <f>(AQ$1=Założenia!$O$14)*1*(w.3="tak")</f>
        <v>0</v>
      </c>
      <c r="AR72" s="1">
        <f>(AR$1=Założenia!$O$14)*1*(w.3="tak")</f>
        <v>0</v>
      </c>
      <c r="AS72" s="1">
        <f>(AS$1=Założenia!$O$14)*1*(w.3="tak")</f>
        <v>0</v>
      </c>
      <c r="AT72" s="1">
        <f>(AT$1=Założenia!$O$14)*1*(w.3="tak")</f>
        <v>0</v>
      </c>
      <c r="AU72" s="1">
        <f>(AU$1=Założenia!$O$14)*1*(w.3="tak")</f>
        <v>0</v>
      </c>
      <c r="AV72" s="1">
        <f>(AV$1=Założenia!$O$14)*1*(w.3="tak")</f>
        <v>0</v>
      </c>
      <c r="AW72" s="1">
        <f>(AW$1=Założenia!$O$14)*1*(w.3="tak")</f>
        <v>0</v>
      </c>
      <c r="AX72" s="1">
        <f>(AX$1=Założenia!$O$14)*1*(w.3="tak")</f>
        <v>0</v>
      </c>
      <c r="AY72" s="1">
        <f>(AY$1=Założenia!$O$14)*1*(w.3="tak")</f>
        <v>0</v>
      </c>
      <c r="AZ72" s="1">
        <f>(AZ$1=Założenia!$O$14)*1*(w.3="tak")</f>
        <v>0</v>
      </c>
      <c r="BA72" s="1">
        <f>(BA$1=Założenia!$O$14)*1*(w.3="tak")</f>
        <v>0</v>
      </c>
    </row>
    <row r="73" spans="1:53" ht="15.75" customHeight="1" x14ac:dyDescent="0.35">
      <c r="B73" s="5"/>
      <c r="C73" s="5"/>
      <c r="D73" s="5" t="s">
        <v>41</v>
      </c>
      <c r="E73" s="5"/>
      <c r="F73" s="5"/>
      <c r="G73" s="5"/>
      <c r="H73" s="5"/>
      <c r="I73" s="5"/>
      <c r="J73" s="5"/>
      <c r="K73" s="5"/>
      <c r="Q73" s="1">
        <f>(Q$1=Założenia!$O$15)*1*(w.3="tak")</f>
        <v>0</v>
      </c>
      <c r="R73" s="1">
        <f>(R$1=Założenia!$O$15)*1*(w.3="tak")</f>
        <v>1</v>
      </c>
      <c r="S73" s="1">
        <f>(S$1=Założenia!$O$15)*1*(w.3="tak")</f>
        <v>0</v>
      </c>
      <c r="T73" s="1">
        <f>(T$1=Założenia!$O$15)*1*(w.3="tak")</f>
        <v>0</v>
      </c>
      <c r="U73" s="1">
        <f>(U$1=Założenia!$O$15)*1*(w.3="tak")</f>
        <v>0</v>
      </c>
      <c r="V73" s="1">
        <f>(V$1=Założenia!$O$15)*1*(w.3="tak")</f>
        <v>0</v>
      </c>
      <c r="W73" s="1">
        <f>(W$1=Założenia!$O$15)*1*(w.3="tak")</f>
        <v>0</v>
      </c>
      <c r="X73" s="1">
        <f>(X$1=Założenia!$O$15)*1*(w.3="tak")</f>
        <v>0</v>
      </c>
      <c r="Y73" s="1">
        <f>(Y$1=Założenia!$O$15)*1*(w.3="tak")</f>
        <v>0</v>
      </c>
      <c r="Z73" s="1">
        <f>(Z$1=Założenia!$O$15)*1*(w.3="tak")</f>
        <v>0</v>
      </c>
      <c r="AA73" s="1">
        <f>(AA$1=Założenia!$O$15)*1*(w.3="tak")</f>
        <v>0</v>
      </c>
      <c r="AB73" s="1">
        <f>(AB$1=Założenia!$O$15)*1*(w.3="tak")</f>
        <v>0</v>
      </c>
      <c r="AC73" s="1">
        <f>(AC$1=Założenia!$O$15)*1*(w.3="tak")</f>
        <v>0</v>
      </c>
      <c r="AD73" s="1">
        <f>(AD$1=Założenia!$O$15)*1*(w.3="tak")</f>
        <v>0</v>
      </c>
      <c r="AE73" s="1">
        <f>(AE$1=Założenia!$O$15)*1*(w.3="tak")</f>
        <v>0</v>
      </c>
      <c r="AF73" s="1">
        <f>(AF$1=Założenia!$O$15)*1*(w.3="tak")</f>
        <v>0</v>
      </c>
      <c r="AG73" s="1">
        <f>(AG$1=Założenia!$O$15)*1*(w.3="tak")</f>
        <v>0</v>
      </c>
      <c r="AH73" s="1">
        <f>(AH$1=Założenia!$O$15)*1*(w.3="tak")</f>
        <v>0</v>
      </c>
      <c r="AI73" s="1">
        <f>(AI$1=Założenia!$O$15)*1*(w.3="tak")</f>
        <v>0</v>
      </c>
      <c r="AJ73" s="1">
        <f>(AJ$1=Założenia!$O$15)*1*(w.3="tak")</f>
        <v>0</v>
      </c>
      <c r="AK73" s="1">
        <f>(AK$1=Założenia!$O$15)*1*(w.3="tak")</f>
        <v>0</v>
      </c>
      <c r="AL73" s="1">
        <f>(AL$1=Założenia!$O$15)*1*(w.3="tak")</f>
        <v>0</v>
      </c>
      <c r="AM73" s="1">
        <f>(AM$1=Założenia!$O$15)*1*(w.3="tak")</f>
        <v>0</v>
      </c>
      <c r="AN73" s="1">
        <f>(AN$1=Założenia!$O$15)*1*(w.3="tak")</f>
        <v>0</v>
      </c>
      <c r="AO73" s="1">
        <f>(AO$1=Założenia!$O$15)*1*(w.3="tak")</f>
        <v>0</v>
      </c>
      <c r="AP73" s="1">
        <f>(AP$1=Założenia!$O$15)*1*(w.3="tak")</f>
        <v>0</v>
      </c>
      <c r="AQ73" s="1">
        <f>(AQ$1=Założenia!$O$15)*1*(w.3="tak")</f>
        <v>0</v>
      </c>
      <c r="AR73" s="1">
        <f>(AR$1=Założenia!$O$15)*1*(w.3="tak")</f>
        <v>0</v>
      </c>
      <c r="AS73" s="1">
        <f>(AS$1=Założenia!$O$15)*1*(w.3="tak")</f>
        <v>0</v>
      </c>
      <c r="AT73" s="1">
        <f>(AT$1=Założenia!$O$15)*1*(w.3="tak")</f>
        <v>0</v>
      </c>
      <c r="AU73" s="1">
        <f>(AU$1=Założenia!$O$15)*1*(w.3="tak")</f>
        <v>0</v>
      </c>
      <c r="AV73" s="1">
        <f>(AV$1=Założenia!$O$15)*1*(w.3="tak")</f>
        <v>0</v>
      </c>
      <c r="AW73" s="1">
        <f>(AW$1=Założenia!$O$15)*1*(w.3="tak")</f>
        <v>0</v>
      </c>
      <c r="AX73" s="1">
        <f>(AX$1=Założenia!$O$15)*1*(w.3="tak")</f>
        <v>0</v>
      </c>
      <c r="AY73" s="1">
        <f>(AY$1=Założenia!$O$15)*1*(w.3="tak")</f>
        <v>0</v>
      </c>
      <c r="AZ73" s="1">
        <f>(AZ$1=Założenia!$O$15)*1*(w.3="tak")</f>
        <v>0</v>
      </c>
      <c r="BA73" s="1">
        <f>(BA$1=Założenia!$O$15)*1*(w.3="tak")</f>
        <v>0</v>
      </c>
    </row>
    <row r="74" spans="1:53" ht="15.75" customHeight="1" x14ac:dyDescent="0.35">
      <c r="B74" s="5"/>
      <c r="C74" s="5"/>
      <c r="D74" s="5" t="s">
        <v>42</v>
      </c>
      <c r="E74" s="5"/>
      <c r="F74" s="5"/>
      <c r="G74" s="5"/>
      <c r="H74" s="5"/>
      <c r="I74" s="5"/>
      <c r="J74" s="5"/>
      <c r="K74" s="5"/>
      <c r="Q74" s="1" cm="1">
        <f t="array" ref="Q74">SUM($P72:Q72,-$P73:P73)*(w.3="tak")</f>
        <v>0</v>
      </c>
      <c r="R74" s="1" cm="1">
        <f t="array" ref="R74">SUM($P72:R72,-$P73:Q73)*(w.3="tak")</f>
        <v>1</v>
      </c>
      <c r="S74" s="1" cm="1">
        <f t="array" ref="S74">SUM($P72:S72,-$P73:R73)*(w.3="tak")</f>
        <v>0</v>
      </c>
      <c r="T74" s="1" cm="1">
        <f t="array" ref="T74">SUM($P72:T72,-$P73:S73)*(w.3="tak")</f>
        <v>0</v>
      </c>
      <c r="U74" s="1" cm="1">
        <f t="array" ref="U74">SUM($P72:U72,-$P73:T73)*(w.3="tak")</f>
        <v>0</v>
      </c>
      <c r="V74" s="1" cm="1">
        <f t="array" ref="V74">SUM($P72:V72,-$P73:U73)*(w.3="tak")</f>
        <v>0</v>
      </c>
      <c r="W74" s="1" cm="1">
        <f t="array" ref="W74">SUM($P72:W72,-$P73:V73)*(w.3="tak")</f>
        <v>0</v>
      </c>
      <c r="X74" s="1" cm="1">
        <f t="array" ref="X74">SUM($P72:X72,-$P73:W73)*(w.3="tak")</f>
        <v>0</v>
      </c>
      <c r="Y74" s="1" cm="1">
        <f t="array" ref="Y74">SUM($P72:Y72,-$P73:X73)*(w.3="tak")</f>
        <v>0</v>
      </c>
      <c r="Z74" s="1" cm="1">
        <f t="array" ref="Z74">SUM($P72:Z72,-$P73:Y73)*(w.3="tak")</f>
        <v>0</v>
      </c>
      <c r="AA74" s="1" cm="1">
        <f t="array" ref="AA74">SUM($P72:AA72,-$P73:Z73)*(w.3="tak")</f>
        <v>0</v>
      </c>
      <c r="AB74" s="1" cm="1">
        <f t="array" ref="AB74">SUM($P72:AB72,-$P73:AA73)*(w.3="tak")</f>
        <v>0</v>
      </c>
      <c r="AC74" s="1" cm="1">
        <f t="array" ref="AC74">SUM($P72:AC72,-$P73:AB73)*(w.3="tak")</f>
        <v>0</v>
      </c>
      <c r="AD74" s="1" cm="1">
        <f t="array" ref="AD74">SUM($P72:AD72,-$P73:AC73)*(w.3="tak")</f>
        <v>0</v>
      </c>
      <c r="AE74" s="1" cm="1">
        <f t="array" ref="AE74">SUM($P72:AE72,-$P73:AD73)*(w.3="tak")</f>
        <v>0</v>
      </c>
      <c r="AF74" s="1" cm="1">
        <f t="array" ref="AF74">SUM($P72:AF72,-$P73:AE73)*(w.3="tak")</f>
        <v>0</v>
      </c>
      <c r="AG74" s="1" cm="1">
        <f t="array" ref="AG74">SUM($P72:AG72,-$P73:AF73)*(w.3="tak")</f>
        <v>0</v>
      </c>
      <c r="AH74" s="1" cm="1">
        <f t="array" ref="AH74">SUM($P72:AH72,-$P73:AG73)*(w.3="tak")</f>
        <v>0</v>
      </c>
      <c r="AI74" s="1" cm="1">
        <f t="array" ref="AI74">SUM($P72:AI72,-$P73:AH73)*(w.3="tak")</f>
        <v>0</v>
      </c>
      <c r="AJ74" s="1" cm="1">
        <f t="array" ref="AJ74">SUM($P72:AJ72,-$P73:AI73)*(w.3="tak")</f>
        <v>0</v>
      </c>
      <c r="AK74" s="1" cm="1">
        <f t="array" ref="AK74">SUM($P72:AK72,-$P73:AJ73)*(w.3="tak")</f>
        <v>0</v>
      </c>
      <c r="AL74" s="1" cm="1">
        <f t="array" ref="AL74">SUM($P72:AL72,-$P73:AK73)*(w.3="tak")</f>
        <v>0</v>
      </c>
      <c r="AM74" s="1" cm="1">
        <f t="array" ref="AM74">SUM($P72:AM72,-$P73:AL73)*(w.3="tak")</f>
        <v>0</v>
      </c>
      <c r="AN74" s="1" cm="1">
        <f t="array" ref="AN74">SUM($P72:AN72,-$P73:AM73)*(w.3="tak")</f>
        <v>0</v>
      </c>
      <c r="AO74" s="1" cm="1">
        <f t="array" ref="AO74">SUM($P72:AO72,-$P73:AN73)*(w.3="tak")</f>
        <v>0</v>
      </c>
      <c r="AP74" s="1" cm="1">
        <f t="array" ref="AP74">SUM($P72:AP72,-$P73:AO73)*(w.3="tak")</f>
        <v>0</v>
      </c>
      <c r="AQ74" s="1" cm="1">
        <f t="array" ref="AQ74">SUM($P72:AQ72,-$P73:AP73)*(w.3="tak")</f>
        <v>0</v>
      </c>
      <c r="AR74" s="1" cm="1">
        <f t="array" ref="AR74">SUM($P72:AR72,-$P73:AQ73)*(w.3="tak")</f>
        <v>0</v>
      </c>
      <c r="AS74" s="1" cm="1">
        <f t="array" ref="AS74">SUM($P72:AS72,-$P73:AR73)*(w.3="tak")</f>
        <v>0</v>
      </c>
      <c r="AT74" s="1" cm="1">
        <f t="array" ref="AT74">SUM($P72:AT72,-$P73:AS73)*(w.3="tak")</f>
        <v>0</v>
      </c>
      <c r="AU74" s="1" cm="1">
        <f t="array" ref="AU74">SUM($P72:AU72,-$P73:AT73)*(w.3="tak")</f>
        <v>0</v>
      </c>
      <c r="AV74" s="1" cm="1">
        <f t="array" ref="AV74">SUM($P72:AV72,-$P73:AU73)*(w.3="tak")</f>
        <v>0</v>
      </c>
      <c r="AW74" s="1" cm="1">
        <f t="array" ref="AW74">SUM($P72:AW72,-$P73:AV73)*(w.3="tak")</f>
        <v>0</v>
      </c>
      <c r="AX74" s="1" cm="1">
        <f t="array" ref="AX74">SUM($P72:AX72,-$P73:AW73)*(w.3="tak")</f>
        <v>0</v>
      </c>
      <c r="AY74" s="1" cm="1">
        <f t="array" ref="AY74">SUM($P72:AY72,-$P73:AX73)*(w.3="tak")</f>
        <v>0</v>
      </c>
      <c r="AZ74" s="1" cm="1">
        <f t="array" ref="AZ74">SUM($P72:AZ72,-$P73:AY73)*(w.3="tak")</f>
        <v>0</v>
      </c>
      <c r="BA74" s="1" cm="1">
        <f t="array" ref="BA74">SUM($P72:BA72,-$P73:AZ73)*(w.3="tak")</f>
        <v>0</v>
      </c>
    </row>
    <row r="75" spans="1:53" ht="15.75" customHeight="1" x14ac:dyDescent="0.35">
      <c r="B75" s="5"/>
      <c r="C75" s="5" t="s">
        <v>37</v>
      </c>
      <c r="D75" s="5"/>
      <c r="E75" s="5"/>
      <c r="F75" s="5"/>
      <c r="G75" s="5"/>
      <c r="H75" s="5"/>
      <c r="I75" s="5"/>
      <c r="J75" s="5"/>
      <c r="K75" s="5"/>
    </row>
    <row r="76" spans="1:53" ht="15.75" customHeight="1" x14ac:dyDescent="0.35">
      <c r="B76" s="5"/>
      <c r="C76" s="5"/>
      <c r="D76" s="5" t="s">
        <v>40</v>
      </c>
      <c r="E76" s="5"/>
      <c r="F76" s="5"/>
      <c r="G76" s="5"/>
      <c r="H76" s="5"/>
      <c r="I76" s="5"/>
      <c r="J76" s="5"/>
      <c r="K76" s="5"/>
      <c r="Q76" s="1">
        <f>(Q$1=Założenia!$O$20)*1*(w.3="tak")</f>
        <v>0</v>
      </c>
      <c r="R76" s="1">
        <f>(R$1=Założenia!$O$20)*1*(w.3="tak")</f>
        <v>0</v>
      </c>
      <c r="S76" s="1">
        <f>(S$1=Założenia!$O$20)*1*(w.3="tak")</f>
        <v>1</v>
      </c>
      <c r="T76" s="1">
        <f>(T$1=Założenia!$O$20)*1*(w.3="tak")</f>
        <v>0</v>
      </c>
      <c r="U76" s="1">
        <f>(U$1=Założenia!$O$20)*1*(w.3="tak")</f>
        <v>0</v>
      </c>
      <c r="V76" s="1">
        <f>(V$1=Założenia!$O$20)*1*(w.3="tak")</f>
        <v>0</v>
      </c>
      <c r="W76" s="1">
        <f>(W$1=Założenia!$O$20)*1*(w.3="tak")</f>
        <v>0</v>
      </c>
      <c r="X76" s="1">
        <f>(X$1=Założenia!$O$20)*1*(w.3="tak")</f>
        <v>0</v>
      </c>
      <c r="Y76" s="1">
        <f>(Y$1=Założenia!$O$20)*1*(w.3="tak")</f>
        <v>0</v>
      </c>
      <c r="Z76" s="1">
        <f>(Z$1=Założenia!$O$20)*1*(w.3="tak")</f>
        <v>0</v>
      </c>
      <c r="AA76" s="1">
        <f>(AA$1=Założenia!$O$20)*1*(w.3="tak")</f>
        <v>0</v>
      </c>
      <c r="AB76" s="1">
        <f>(AB$1=Założenia!$O$20)*1*(w.3="tak")</f>
        <v>0</v>
      </c>
      <c r="AC76" s="1">
        <f>(AC$1=Założenia!$O$20)*1*(w.3="tak")</f>
        <v>0</v>
      </c>
      <c r="AD76" s="1">
        <f>(AD$1=Założenia!$O$20)*1*(w.3="tak")</f>
        <v>0</v>
      </c>
      <c r="AE76" s="1">
        <f>(AE$1=Założenia!$O$20)*1*(w.3="tak")</f>
        <v>0</v>
      </c>
      <c r="AF76" s="1">
        <f>(AF$1=Założenia!$O$20)*1*(w.3="tak")</f>
        <v>0</v>
      </c>
      <c r="AG76" s="1">
        <f>(AG$1=Założenia!$O$20)*1*(w.3="tak")</f>
        <v>0</v>
      </c>
      <c r="AH76" s="1">
        <f>(AH$1=Założenia!$O$20)*1*(w.3="tak")</f>
        <v>0</v>
      </c>
      <c r="AI76" s="1">
        <f>(AI$1=Założenia!$O$20)*1*(w.3="tak")</f>
        <v>0</v>
      </c>
      <c r="AJ76" s="1">
        <f>(AJ$1=Założenia!$O$20)*1*(w.3="tak")</f>
        <v>0</v>
      </c>
      <c r="AK76" s="1">
        <f>(AK$1=Założenia!$O$20)*1*(w.3="tak")</f>
        <v>0</v>
      </c>
      <c r="AL76" s="1">
        <f>(AL$1=Założenia!$O$20)*1*(w.3="tak")</f>
        <v>0</v>
      </c>
      <c r="AM76" s="1">
        <f>(AM$1=Założenia!$O$20)*1*(w.3="tak")</f>
        <v>0</v>
      </c>
      <c r="AN76" s="1">
        <f>(AN$1=Założenia!$O$20)*1*(w.3="tak")</f>
        <v>0</v>
      </c>
      <c r="AO76" s="1">
        <f>(AO$1=Założenia!$O$20)*1*(w.3="tak")</f>
        <v>0</v>
      </c>
      <c r="AP76" s="1">
        <f>(AP$1=Założenia!$O$20)*1*(w.3="tak")</f>
        <v>0</v>
      </c>
      <c r="AQ76" s="1">
        <f>(AQ$1=Założenia!$O$20)*1*(w.3="tak")</f>
        <v>0</v>
      </c>
      <c r="AR76" s="1">
        <f>(AR$1=Założenia!$O$20)*1*(w.3="tak")</f>
        <v>0</v>
      </c>
      <c r="AS76" s="1">
        <f>(AS$1=Założenia!$O$20)*1*(w.3="tak")</f>
        <v>0</v>
      </c>
      <c r="AT76" s="1">
        <f>(AT$1=Założenia!$O$20)*1*(w.3="tak")</f>
        <v>0</v>
      </c>
      <c r="AU76" s="1">
        <f>(AU$1=Założenia!$O$20)*1*(w.3="tak")</f>
        <v>0</v>
      </c>
      <c r="AV76" s="1">
        <f>(AV$1=Założenia!$O$20)*1*(w.3="tak")</f>
        <v>0</v>
      </c>
      <c r="AW76" s="1">
        <f>(AW$1=Założenia!$O$20)*1*(w.3="tak")</f>
        <v>0</v>
      </c>
      <c r="AX76" s="1">
        <f>(AX$1=Założenia!$O$20)*1*(w.3="tak")</f>
        <v>0</v>
      </c>
      <c r="AY76" s="1">
        <f>(AY$1=Założenia!$O$20)*1*(w.3="tak")</f>
        <v>0</v>
      </c>
      <c r="AZ76" s="1">
        <f>(AZ$1=Założenia!$O$20)*1*(w.3="tak")</f>
        <v>0</v>
      </c>
      <c r="BA76" s="1">
        <f>(BA$1=Założenia!$O$20)*1*(w.3="tak")</f>
        <v>0</v>
      </c>
    </row>
    <row r="77" spans="1:53" ht="15.75" customHeight="1" x14ac:dyDescent="0.35">
      <c r="B77" s="5"/>
      <c r="C77" s="5"/>
      <c r="D77" s="5" t="s">
        <v>41</v>
      </c>
      <c r="E77" s="5"/>
      <c r="F77" s="5"/>
      <c r="G77" s="5"/>
      <c r="H77" s="5"/>
      <c r="I77" s="5"/>
      <c r="J77" s="5"/>
      <c r="K77" s="5"/>
      <c r="Q77" s="1">
        <f>(Q$1=Założenia!$O$21)*1*(w.3="tak")</f>
        <v>0</v>
      </c>
      <c r="R77" s="1">
        <f>(R$1=Założenia!$O$21)*1*(w.3="tak")</f>
        <v>0</v>
      </c>
      <c r="S77" s="1">
        <f>(S$1=Założenia!$O$21)*1*(w.3="tak")</f>
        <v>1</v>
      </c>
      <c r="T77" s="1">
        <f>(T$1=Założenia!$O$21)*1*(w.3="tak")</f>
        <v>0</v>
      </c>
      <c r="U77" s="1">
        <f>(U$1=Założenia!$O$21)*1*(w.3="tak")</f>
        <v>0</v>
      </c>
      <c r="V77" s="1">
        <f>(V$1=Założenia!$O$21)*1*(w.3="tak")</f>
        <v>0</v>
      </c>
      <c r="W77" s="1">
        <f>(W$1=Założenia!$O$21)*1*(w.3="tak")</f>
        <v>0</v>
      </c>
      <c r="X77" s="1">
        <f>(X$1=Założenia!$O$21)*1*(w.3="tak")</f>
        <v>0</v>
      </c>
      <c r="Y77" s="1">
        <f>(Y$1=Założenia!$O$21)*1*(w.3="tak")</f>
        <v>0</v>
      </c>
      <c r="Z77" s="1">
        <f>(Z$1=Założenia!$O$21)*1*(w.3="tak")</f>
        <v>0</v>
      </c>
      <c r="AA77" s="1">
        <f>(AA$1=Założenia!$O$21)*1*(w.3="tak")</f>
        <v>0</v>
      </c>
      <c r="AB77" s="1">
        <f>(AB$1=Założenia!$O$21)*1*(w.3="tak")</f>
        <v>0</v>
      </c>
      <c r="AC77" s="1">
        <f>(AC$1=Założenia!$O$21)*1*(w.3="tak")</f>
        <v>0</v>
      </c>
      <c r="AD77" s="1">
        <f>(AD$1=Założenia!$O$21)*1*(w.3="tak")</f>
        <v>0</v>
      </c>
      <c r="AE77" s="1">
        <f>(AE$1=Założenia!$O$21)*1*(w.3="tak")</f>
        <v>0</v>
      </c>
      <c r="AF77" s="1">
        <f>(AF$1=Założenia!$O$21)*1*(w.3="tak")</f>
        <v>0</v>
      </c>
      <c r="AG77" s="1">
        <f>(AG$1=Założenia!$O$21)*1*(w.3="tak")</f>
        <v>0</v>
      </c>
      <c r="AH77" s="1">
        <f>(AH$1=Założenia!$O$21)*1*(w.3="tak")</f>
        <v>0</v>
      </c>
      <c r="AI77" s="1">
        <f>(AI$1=Założenia!$O$21)*1*(w.3="tak")</f>
        <v>0</v>
      </c>
      <c r="AJ77" s="1">
        <f>(AJ$1=Założenia!$O$21)*1*(w.3="tak")</f>
        <v>0</v>
      </c>
      <c r="AK77" s="1">
        <f>(AK$1=Założenia!$O$21)*1*(w.3="tak")</f>
        <v>0</v>
      </c>
      <c r="AL77" s="1">
        <f>(AL$1=Założenia!$O$21)*1*(w.3="tak")</f>
        <v>0</v>
      </c>
      <c r="AM77" s="1">
        <f>(AM$1=Założenia!$O$21)*1*(w.3="tak")</f>
        <v>0</v>
      </c>
      <c r="AN77" s="1">
        <f>(AN$1=Założenia!$O$21)*1*(w.3="tak")</f>
        <v>0</v>
      </c>
      <c r="AO77" s="1">
        <f>(AO$1=Założenia!$O$21)*1*(w.3="tak")</f>
        <v>0</v>
      </c>
      <c r="AP77" s="1">
        <f>(AP$1=Założenia!$O$21)*1*(w.3="tak")</f>
        <v>0</v>
      </c>
      <c r="AQ77" s="1">
        <f>(AQ$1=Założenia!$O$21)*1*(w.3="tak")</f>
        <v>0</v>
      </c>
      <c r="AR77" s="1">
        <f>(AR$1=Założenia!$O$21)*1*(w.3="tak")</f>
        <v>0</v>
      </c>
      <c r="AS77" s="1">
        <f>(AS$1=Założenia!$O$21)*1*(w.3="tak")</f>
        <v>0</v>
      </c>
      <c r="AT77" s="1">
        <f>(AT$1=Założenia!$O$21)*1*(w.3="tak")</f>
        <v>0</v>
      </c>
      <c r="AU77" s="1">
        <f>(AU$1=Założenia!$O$21)*1*(w.3="tak")</f>
        <v>0</v>
      </c>
      <c r="AV77" s="1">
        <f>(AV$1=Założenia!$O$21)*1*(w.3="tak")</f>
        <v>0</v>
      </c>
      <c r="AW77" s="1">
        <f>(AW$1=Założenia!$O$21)*1*(w.3="tak")</f>
        <v>0</v>
      </c>
      <c r="AX77" s="1">
        <f>(AX$1=Założenia!$O$21)*1*(w.3="tak")</f>
        <v>0</v>
      </c>
      <c r="AY77" s="1">
        <f>(AY$1=Założenia!$O$21)*1*(w.3="tak")</f>
        <v>0</v>
      </c>
      <c r="AZ77" s="1">
        <f>(AZ$1=Założenia!$O$21)*1*(w.3="tak")</f>
        <v>0</v>
      </c>
      <c r="BA77" s="1">
        <f>(BA$1=Założenia!$O$21)*1*(w.3="tak")</f>
        <v>0</v>
      </c>
    </row>
    <row r="78" spans="1:53" ht="15.75" customHeight="1" x14ac:dyDescent="0.35">
      <c r="B78" s="5"/>
      <c r="C78" s="5"/>
      <c r="D78" s="5" t="s">
        <v>42</v>
      </c>
      <c r="E78" s="5"/>
      <c r="F78" s="5"/>
      <c r="G78" s="5"/>
      <c r="H78" s="5"/>
      <c r="I78" s="5"/>
      <c r="J78" s="5"/>
      <c r="K78" s="5"/>
      <c r="Q78" s="1" cm="1">
        <f t="array" ref="Q78">SUM($P76:Q76,-$P77:P77)*(w.3="tak")</f>
        <v>0</v>
      </c>
      <c r="R78" s="1" cm="1">
        <f t="array" ref="R78">SUM($P76:R76,-$P77:Q77)*(w.3="tak")</f>
        <v>0</v>
      </c>
      <c r="S78" s="1" cm="1">
        <f t="array" ref="S78">SUM($P76:S76,-$P77:R77)*(w.3="tak")</f>
        <v>1</v>
      </c>
      <c r="T78" s="1" cm="1">
        <f t="array" ref="T78">SUM($P76:T76,-$P77:S77)*(w.3="tak")</f>
        <v>0</v>
      </c>
      <c r="U78" s="1" cm="1">
        <f t="array" ref="U78">SUM($P76:U76,-$P77:T77)*(w.3="tak")</f>
        <v>0</v>
      </c>
      <c r="V78" s="1" cm="1">
        <f t="array" ref="V78">SUM($P76:V76,-$P77:U77)*(w.3="tak")</f>
        <v>0</v>
      </c>
      <c r="W78" s="1" cm="1">
        <f t="array" ref="W78">SUM($P76:W76,-$P77:V77)*(w.3="tak")</f>
        <v>0</v>
      </c>
      <c r="X78" s="1" cm="1">
        <f t="array" ref="X78">SUM($P76:X76,-$P77:W77)*(w.3="tak")</f>
        <v>0</v>
      </c>
      <c r="Y78" s="1" cm="1">
        <f t="array" ref="Y78">SUM($P76:Y76,-$P77:X77)*(w.3="tak")</f>
        <v>0</v>
      </c>
      <c r="Z78" s="1" cm="1">
        <f t="array" ref="Z78">SUM($P76:Z76,-$P77:Y77)*(w.3="tak")</f>
        <v>0</v>
      </c>
      <c r="AA78" s="1" cm="1">
        <f t="array" ref="AA78">SUM($P76:AA76,-$P77:Z77)*(w.3="tak")</f>
        <v>0</v>
      </c>
      <c r="AB78" s="1" cm="1">
        <f t="array" ref="AB78">SUM($P76:AB76,-$P77:AA77)*(w.3="tak")</f>
        <v>0</v>
      </c>
      <c r="AC78" s="1" cm="1">
        <f t="array" ref="AC78">SUM($P76:AC76,-$P77:AB77)*(w.3="tak")</f>
        <v>0</v>
      </c>
      <c r="AD78" s="1" cm="1">
        <f t="array" ref="AD78">SUM($P76:AD76,-$P77:AC77)*(w.3="tak")</f>
        <v>0</v>
      </c>
      <c r="AE78" s="1" cm="1">
        <f t="array" ref="AE78">SUM($P76:AE76,-$P77:AD77)*(w.3="tak")</f>
        <v>0</v>
      </c>
      <c r="AF78" s="1" cm="1">
        <f t="array" ref="AF78">SUM($P76:AF76,-$P77:AE77)*(w.3="tak")</f>
        <v>0</v>
      </c>
      <c r="AG78" s="1" cm="1">
        <f t="array" ref="AG78">SUM($P76:AG76,-$P77:AF77)*(w.3="tak")</f>
        <v>0</v>
      </c>
      <c r="AH78" s="1" cm="1">
        <f t="array" ref="AH78">SUM($P76:AH76,-$P77:AG77)*(w.3="tak")</f>
        <v>0</v>
      </c>
      <c r="AI78" s="1" cm="1">
        <f t="array" ref="AI78">SUM($P76:AI76,-$P77:AH77)*(w.3="tak")</f>
        <v>0</v>
      </c>
      <c r="AJ78" s="1" cm="1">
        <f t="array" ref="AJ78">SUM($P76:AJ76,-$P77:AI77)*(w.3="tak")</f>
        <v>0</v>
      </c>
      <c r="AK78" s="1" cm="1">
        <f t="array" ref="AK78">SUM($P76:AK76,-$P77:AJ77)*(w.3="tak")</f>
        <v>0</v>
      </c>
      <c r="AL78" s="1" cm="1">
        <f t="array" ref="AL78">SUM($P76:AL76,-$P77:AK77)*(w.3="tak")</f>
        <v>0</v>
      </c>
      <c r="AM78" s="1" cm="1">
        <f t="array" ref="AM78">SUM($P76:AM76,-$P77:AL77)*(w.3="tak")</f>
        <v>0</v>
      </c>
      <c r="AN78" s="1" cm="1">
        <f t="array" ref="AN78">SUM($P76:AN76,-$P77:AM77)*(w.3="tak")</f>
        <v>0</v>
      </c>
      <c r="AO78" s="1" cm="1">
        <f t="array" ref="AO78">SUM($P76:AO76,-$P77:AN77)*(w.3="tak")</f>
        <v>0</v>
      </c>
      <c r="AP78" s="1" cm="1">
        <f t="array" ref="AP78">SUM($P76:AP76,-$P77:AO77)*(w.3="tak")</f>
        <v>0</v>
      </c>
      <c r="AQ78" s="1" cm="1">
        <f t="array" ref="AQ78">SUM($P76:AQ76,-$P77:AP77)*(w.3="tak")</f>
        <v>0</v>
      </c>
      <c r="AR78" s="1" cm="1">
        <f t="array" ref="AR78">SUM($P76:AR76,-$P77:AQ77)*(w.3="tak")</f>
        <v>0</v>
      </c>
      <c r="AS78" s="1" cm="1">
        <f t="array" ref="AS78">SUM($P76:AS76,-$P77:AR77)*(w.3="tak")</f>
        <v>0</v>
      </c>
      <c r="AT78" s="1" cm="1">
        <f t="array" ref="AT78">SUM($P76:AT76,-$P77:AS77)*(w.3="tak")</f>
        <v>0</v>
      </c>
      <c r="AU78" s="1" cm="1">
        <f t="array" ref="AU78">SUM($P76:AU76,-$P77:AT77)*(w.3="tak")</f>
        <v>0</v>
      </c>
      <c r="AV78" s="1" cm="1">
        <f t="array" ref="AV78">SUM($P76:AV76,-$P77:AU77)*(w.3="tak")</f>
        <v>0</v>
      </c>
      <c r="AW78" s="1" cm="1">
        <f t="array" ref="AW78">SUM($P76:AW76,-$P77:AV77)*(w.3="tak")</f>
        <v>0</v>
      </c>
      <c r="AX78" s="1" cm="1">
        <f t="array" ref="AX78">SUM($P76:AX76,-$P77:AW77)*(w.3="tak")</f>
        <v>0</v>
      </c>
      <c r="AY78" s="1" cm="1">
        <f t="array" ref="AY78">SUM($P76:AY76,-$P77:AX77)*(w.3="tak")</f>
        <v>0</v>
      </c>
      <c r="AZ78" s="1" cm="1">
        <f t="array" ref="AZ78">SUM($P76:AZ76,-$P77:AY77)*(w.3="tak")</f>
        <v>0</v>
      </c>
      <c r="BA78" s="1" cm="1">
        <f t="array" ref="BA78">SUM($P76:BA76,-$P77:AZ77)*(w.3="tak")</f>
        <v>0</v>
      </c>
    </row>
    <row r="79" spans="1:53" ht="15.75" customHeight="1" x14ac:dyDescent="0.35">
      <c r="B79" s="5"/>
      <c r="C79" s="5" t="s">
        <v>38</v>
      </c>
      <c r="D79" s="5"/>
      <c r="E79" s="5"/>
      <c r="F79" s="5"/>
      <c r="G79" s="5"/>
      <c r="H79" s="5"/>
      <c r="I79" s="5"/>
      <c r="J79" s="5"/>
      <c r="K79" s="5"/>
    </row>
    <row r="80" spans="1:53" ht="15.75" customHeight="1" x14ac:dyDescent="0.35">
      <c r="B80" s="5"/>
      <c r="C80" s="5"/>
      <c r="D80" s="5" t="s">
        <v>40</v>
      </c>
      <c r="E80" s="5"/>
      <c r="F80" s="5"/>
      <c r="G80" s="5"/>
      <c r="H80" s="5"/>
      <c r="I80" s="5"/>
      <c r="J80" s="5"/>
      <c r="K80" s="5"/>
      <c r="Q80" s="1">
        <f>(Q$1=Założenia!$O$26)*1*(w.3="tak")</f>
        <v>0</v>
      </c>
      <c r="R80" s="1">
        <f>(R$1=Założenia!$O$26)*1*(w.3="tak")</f>
        <v>0</v>
      </c>
      <c r="S80" s="1">
        <f>(S$1=Założenia!$O$26)*1*(w.3="tak")</f>
        <v>0</v>
      </c>
      <c r="T80" s="1">
        <f>(T$1=Założenia!$O$26)*1*(w.3="tak")</f>
        <v>1</v>
      </c>
      <c r="U80" s="1">
        <f>(U$1=Założenia!$O$26)*1*(w.3="tak")</f>
        <v>0</v>
      </c>
      <c r="V80" s="1">
        <f>(V$1=Założenia!$O$26)*1*(w.3="tak")</f>
        <v>0</v>
      </c>
      <c r="W80" s="1">
        <f>(W$1=Założenia!$O$26)*1*(w.3="tak")</f>
        <v>0</v>
      </c>
      <c r="X80" s="1">
        <f>(X$1=Założenia!$O$26)*1*(w.3="tak")</f>
        <v>0</v>
      </c>
      <c r="Y80" s="1">
        <f>(Y$1=Założenia!$O$26)*1*(w.3="tak")</f>
        <v>0</v>
      </c>
      <c r="Z80" s="1">
        <f>(Z$1=Założenia!$O$26)*1*(w.3="tak")</f>
        <v>0</v>
      </c>
      <c r="AA80" s="1">
        <f>(AA$1=Założenia!$O$26)*1*(w.3="tak")</f>
        <v>0</v>
      </c>
      <c r="AB80" s="1">
        <f>(AB$1=Założenia!$O$26)*1*(w.3="tak")</f>
        <v>0</v>
      </c>
      <c r="AC80" s="1">
        <f>(AC$1=Założenia!$O$26)*1*(w.3="tak")</f>
        <v>0</v>
      </c>
      <c r="AD80" s="1">
        <f>(AD$1=Założenia!$O$26)*1*(w.3="tak")</f>
        <v>0</v>
      </c>
      <c r="AE80" s="1">
        <f>(AE$1=Założenia!$O$26)*1*(w.3="tak")</f>
        <v>0</v>
      </c>
      <c r="AF80" s="1">
        <f>(AF$1=Założenia!$O$26)*1*(w.3="tak")</f>
        <v>0</v>
      </c>
      <c r="AG80" s="1">
        <f>(AG$1=Założenia!$O$26)*1*(w.3="tak")</f>
        <v>0</v>
      </c>
      <c r="AH80" s="1">
        <f>(AH$1=Założenia!$O$26)*1*(w.3="tak")</f>
        <v>0</v>
      </c>
      <c r="AI80" s="1">
        <f>(AI$1=Założenia!$O$26)*1*(w.3="tak")</f>
        <v>0</v>
      </c>
      <c r="AJ80" s="1">
        <f>(AJ$1=Założenia!$O$26)*1*(w.3="tak")</f>
        <v>0</v>
      </c>
      <c r="AK80" s="1">
        <f>(AK$1=Założenia!$O$26)*1*(w.3="tak")</f>
        <v>0</v>
      </c>
      <c r="AL80" s="1">
        <f>(AL$1=Założenia!$O$26)*1*(w.3="tak")</f>
        <v>0</v>
      </c>
      <c r="AM80" s="1">
        <f>(AM$1=Założenia!$O$26)*1*(w.3="tak")</f>
        <v>0</v>
      </c>
      <c r="AN80" s="1">
        <f>(AN$1=Założenia!$O$26)*1*(w.3="tak")</f>
        <v>0</v>
      </c>
      <c r="AO80" s="1">
        <f>(AO$1=Założenia!$O$26)*1*(w.3="tak")</f>
        <v>0</v>
      </c>
      <c r="AP80" s="1">
        <f>(AP$1=Założenia!$O$26)*1*(w.3="tak")</f>
        <v>0</v>
      </c>
      <c r="AQ80" s="1">
        <f>(AQ$1=Założenia!$O$26)*1*(w.3="tak")</f>
        <v>0</v>
      </c>
      <c r="AR80" s="1">
        <f>(AR$1=Założenia!$O$26)*1*(w.3="tak")</f>
        <v>0</v>
      </c>
      <c r="AS80" s="1">
        <f>(AS$1=Założenia!$O$26)*1*(w.3="tak")</f>
        <v>0</v>
      </c>
      <c r="AT80" s="1">
        <f>(AT$1=Założenia!$O$26)*1*(w.3="tak")</f>
        <v>0</v>
      </c>
      <c r="AU80" s="1">
        <f>(AU$1=Założenia!$O$26)*1*(w.3="tak")</f>
        <v>0</v>
      </c>
      <c r="AV80" s="1">
        <f>(AV$1=Założenia!$O$26)*1*(w.3="tak")</f>
        <v>0</v>
      </c>
      <c r="AW80" s="1">
        <f>(AW$1=Założenia!$O$26)*1*(w.3="tak")</f>
        <v>0</v>
      </c>
      <c r="AX80" s="1">
        <f>(AX$1=Założenia!$O$26)*1*(w.3="tak")</f>
        <v>0</v>
      </c>
      <c r="AY80" s="1">
        <f>(AY$1=Założenia!$O$26)*1*(w.3="tak")</f>
        <v>0</v>
      </c>
      <c r="AZ80" s="1">
        <f>(AZ$1=Założenia!$O$26)*1*(w.3="tak")</f>
        <v>0</v>
      </c>
      <c r="BA80" s="1">
        <f>(BA$1=Założenia!$O$26)*1*(w.3="tak")</f>
        <v>0</v>
      </c>
    </row>
    <row r="81" spans="1:53" ht="15.75" customHeight="1" x14ac:dyDescent="0.35">
      <c r="B81" s="5"/>
      <c r="C81" s="5"/>
      <c r="D81" s="5" t="s">
        <v>41</v>
      </c>
      <c r="E81" s="5"/>
      <c r="F81" s="5"/>
      <c r="G81" s="5"/>
      <c r="H81" s="5"/>
      <c r="I81" s="5"/>
      <c r="J81" s="5"/>
      <c r="K81" s="5"/>
      <c r="Q81" s="1">
        <f>(Q$1=Założenia!$O$27)*1*(w.3="tak")</f>
        <v>0</v>
      </c>
      <c r="R81" s="1">
        <f>(R$1=Założenia!$O$27)*1*(w.3="tak")</f>
        <v>0</v>
      </c>
      <c r="S81" s="1">
        <f>(S$1=Założenia!$O$27)*1*(w.3="tak")</f>
        <v>0</v>
      </c>
      <c r="T81" s="1">
        <f>(T$1=Założenia!$O$27)*1*(w.3="tak")</f>
        <v>1</v>
      </c>
      <c r="U81" s="1">
        <f>(U$1=Założenia!$O$27)*1*(w.3="tak")</f>
        <v>0</v>
      </c>
      <c r="V81" s="1">
        <f>(V$1=Założenia!$O$27)*1*(w.3="tak")</f>
        <v>0</v>
      </c>
      <c r="W81" s="1">
        <f>(W$1=Założenia!$O$27)*1*(w.3="tak")</f>
        <v>0</v>
      </c>
      <c r="X81" s="1">
        <f>(X$1=Założenia!$O$27)*1*(w.3="tak")</f>
        <v>0</v>
      </c>
      <c r="Y81" s="1">
        <f>(Y$1=Założenia!$O$27)*1*(w.3="tak")</f>
        <v>0</v>
      </c>
      <c r="Z81" s="1">
        <f>(Z$1=Założenia!$O$27)*1*(w.3="tak")</f>
        <v>0</v>
      </c>
      <c r="AA81" s="1">
        <f>(AA$1=Założenia!$O$27)*1*(w.3="tak")</f>
        <v>0</v>
      </c>
      <c r="AB81" s="1">
        <f>(AB$1=Założenia!$O$27)*1*(w.3="tak")</f>
        <v>0</v>
      </c>
      <c r="AC81" s="1">
        <f>(AC$1=Założenia!$O$27)*1*(w.3="tak")</f>
        <v>0</v>
      </c>
      <c r="AD81" s="1">
        <f>(AD$1=Założenia!$O$27)*1*(w.3="tak")</f>
        <v>0</v>
      </c>
      <c r="AE81" s="1">
        <f>(AE$1=Założenia!$O$27)*1*(w.3="tak")</f>
        <v>0</v>
      </c>
      <c r="AF81" s="1">
        <f>(AF$1=Założenia!$O$27)*1*(w.3="tak")</f>
        <v>0</v>
      </c>
      <c r="AG81" s="1">
        <f>(AG$1=Założenia!$O$27)*1*(w.3="tak")</f>
        <v>0</v>
      </c>
      <c r="AH81" s="1">
        <f>(AH$1=Założenia!$O$27)*1*(w.3="tak")</f>
        <v>0</v>
      </c>
      <c r="AI81" s="1">
        <f>(AI$1=Założenia!$O$27)*1*(w.3="tak")</f>
        <v>0</v>
      </c>
      <c r="AJ81" s="1">
        <f>(AJ$1=Założenia!$O$27)*1*(w.3="tak")</f>
        <v>0</v>
      </c>
      <c r="AK81" s="1">
        <f>(AK$1=Założenia!$O$27)*1*(w.3="tak")</f>
        <v>0</v>
      </c>
      <c r="AL81" s="1">
        <f>(AL$1=Założenia!$O$27)*1*(w.3="tak")</f>
        <v>0</v>
      </c>
      <c r="AM81" s="1">
        <f>(AM$1=Założenia!$O$27)*1*(w.3="tak")</f>
        <v>0</v>
      </c>
      <c r="AN81" s="1">
        <f>(AN$1=Założenia!$O$27)*1*(w.3="tak")</f>
        <v>0</v>
      </c>
      <c r="AO81" s="1">
        <f>(AO$1=Założenia!$O$27)*1*(w.3="tak")</f>
        <v>0</v>
      </c>
      <c r="AP81" s="1">
        <f>(AP$1=Założenia!$O$27)*1*(w.3="tak")</f>
        <v>0</v>
      </c>
      <c r="AQ81" s="1">
        <f>(AQ$1=Założenia!$O$27)*1*(w.3="tak")</f>
        <v>0</v>
      </c>
      <c r="AR81" s="1">
        <f>(AR$1=Założenia!$O$27)*1*(w.3="tak")</f>
        <v>0</v>
      </c>
      <c r="AS81" s="1">
        <f>(AS$1=Założenia!$O$27)*1*(w.3="tak")</f>
        <v>0</v>
      </c>
      <c r="AT81" s="1">
        <f>(AT$1=Założenia!$O$27)*1*(w.3="tak")</f>
        <v>0</v>
      </c>
      <c r="AU81" s="1">
        <f>(AU$1=Założenia!$O$27)*1*(w.3="tak")</f>
        <v>0</v>
      </c>
      <c r="AV81" s="1">
        <f>(AV$1=Założenia!$O$27)*1*(w.3="tak")</f>
        <v>0</v>
      </c>
      <c r="AW81" s="1">
        <f>(AW$1=Założenia!$O$27)*1*(w.3="tak")</f>
        <v>0</v>
      </c>
      <c r="AX81" s="1">
        <f>(AX$1=Założenia!$O$27)*1*(w.3="tak")</f>
        <v>0</v>
      </c>
      <c r="AY81" s="1">
        <f>(AY$1=Założenia!$O$27)*1*(w.3="tak")</f>
        <v>0</v>
      </c>
      <c r="AZ81" s="1">
        <f>(AZ$1=Założenia!$O$27)*1*(w.3="tak")</f>
        <v>0</v>
      </c>
      <c r="BA81" s="1">
        <f>(BA$1=Założenia!$O$27)*1*(w.3="tak")</f>
        <v>0</v>
      </c>
    </row>
    <row r="82" spans="1:53" ht="15.75" customHeight="1" x14ac:dyDescent="0.35">
      <c r="B82" s="5"/>
      <c r="C82" s="5"/>
      <c r="D82" s="5" t="s">
        <v>42</v>
      </c>
      <c r="E82" s="5"/>
      <c r="F82" s="5"/>
      <c r="G82" s="5"/>
      <c r="H82" s="5"/>
      <c r="I82" s="5"/>
      <c r="J82" s="5"/>
      <c r="K82" s="5"/>
      <c r="Q82" s="1" cm="1">
        <f t="array" ref="Q82">SUM($P80:Q80,-$P81:P81)*(w.3="tak")</f>
        <v>0</v>
      </c>
      <c r="R82" s="1" cm="1">
        <f t="array" ref="R82">SUM($P80:R80,-$P81:Q81)*(w.3="tak")</f>
        <v>0</v>
      </c>
      <c r="S82" s="1" cm="1">
        <f t="array" ref="S82">SUM($P80:S80,-$P81:R81)*(w.3="tak")</f>
        <v>0</v>
      </c>
      <c r="T82" s="1" cm="1">
        <f t="array" ref="T82">SUM($P80:T80,-$P81:S81)*(w.3="tak")</f>
        <v>1</v>
      </c>
      <c r="U82" s="1" cm="1">
        <f t="array" ref="U82">SUM($P80:U80,-$P81:T81)*(w.3="tak")</f>
        <v>0</v>
      </c>
      <c r="V82" s="1" cm="1">
        <f t="array" ref="V82">SUM($P80:V80,-$P81:U81)*(w.3="tak")</f>
        <v>0</v>
      </c>
      <c r="W82" s="1" cm="1">
        <f t="array" ref="W82">SUM($P80:W80,-$P81:V81)*(w.3="tak")</f>
        <v>0</v>
      </c>
      <c r="X82" s="1" cm="1">
        <f t="array" ref="X82">SUM($P80:X80,-$P81:W81)*(w.3="tak")</f>
        <v>0</v>
      </c>
      <c r="Y82" s="1" cm="1">
        <f t="array" ref="Y82">SUM($P80:Y80,-$P81:X81)*(w.3="tak")</f>
        <v>0</v>
      </c>
      <c r="Z82" s="1" cm="1">
        <f t="array" ref="Z82">SUM($P80:Z80,-$P81:Y81)*(w.3="tak")</f>
        <v>0</v>
      </c>
      <c r="AA82" s="1" cm="1">
        <f t="array" ref="AA82">SUM($P80:AA80,-$P81:Z81)*(w.3="tak")</f>
        <v>0</v>
      </c>
      <c r="AB82" s="1" cm="1">
        <f t="array" ref="AB82">SUM($P80:AB80,-$P81:AA81)*(w.3="tak")</f>
        <v>0</v>
      </c>
      <c r="AC82" s="1" cm="1">
        <f t="array" ref="AC82">SUM($P80:AC80,-$P81:AB81)*(w.3="tak")</f>
        <v>0</v>
      </c>
      <c r="AD82" s="1" cm="1">
        <f t="array" ref="AD82">SUM($P80:AD80,-$P81:AC81)*(w.3="tak")</f>
        <v>0</v>
      </c>
      <c r="AE82" s="1" cm="1">
        <f t="array" ref="AE82">SUM($P80:AE80,-$P81:AD81)*(w.3="tak")</f>
        <v>0</v>
      </c>
      <c r="AF82" s="1" cm="1">
        <f t="array" ref="AF82">SUM($P80:AF80,-$P81:AE81)*(w.3="tak")</f>
        <v>0</v>
      </c>
      <c r="AG82" s="1" cm="1">
        <f t="array" ref="AG82">SUM($P80:AG80,-$P81:AF81)*(w.3="tak")</f>
        <v>0</v>
      </c>
      <c r="AH82" s="1" cm="1">
        <f t="array" ref="AH82">SUM($P80:AH80,-$P81:AG81)*(w.3="tak")</f>
        <v>0</v>
      </c>
      <c r="AI82" s="1" cm="1">
        <f t="array" ref="AI82">SUM($P80:AI80,-$P81:AH81)*(w.3="tak")</f>
        <v>0</v>
      </c>
      <c r="AJ82" s="1" cm="1">
        <f t="array" ref="AJ82">SUM($P80:AJ80,-$P81:AI81)*(w.3="tak")</f>
        <v>0</v>
      </c>
      <c r="AK82" s="1" cm="1">
        <f t="array" ref="AK82">SUM($P80:AK80,-$P81:AJ81)*(w.3="tak")</f>
        <v>0</v>
      </c>
      <c r="AL82" s="1" cm="1">
        <f t="array" ref="AL82">SUM($P80:AL80,-$P81:AK81)*(w.3="tak")</f>
        <v>0</v>
      </c>
      <c r="AM82" s="1" cm="1">
        <f t="array" ref="AM82">SUM($P80:AM80,-$P81:AL81)*(w.3="tak")</f>
        <v>0</v>
      </c>
      <c r="AN82" s="1" cm="1">
        <f t="array" ref="AN82">SUM($P80:AN80,-$P81:AM81)*(w.3="tak")</f>
        <v>0</v>
      </c>
      <c r="AO82" s="1" cm="1">
        <f t="array" ref="AO82">SUM($P80:AO80,-$P81:AN81)*(w.3="tak")</f>
        <v>0</v>
      </c>
      <c r="AP82" s="1" cm="1">
        <f t="array" ref="AP82">SUM($P80:AP80,-$P81:AO81)*(w.3="tak")</f>
        <v>0</v>
      </c>
      <c r="AQ82" s="1" cm="1">
        <f t="array" ref="AQ82">SUM($P80:AQ80,-$P81:AP81)*(w.3="tak")</f>
        <v>0</v>
      </c>
      <c r="AR82" s="1" cm="1">
        <f t="array" ref="AR82">SUM($P80:AR80,-$P81:AQ81)*(w.3="tak")</f>
        <v>0</v>
      </c>
      <c r="AS82" s="1" cm="1">
        <f t="array" ref="AS82">SUM($P80:AS80,-$P81:AR81)*(w.3="tak")</f>
        <v>0</v>
      </c>
      <c r="AT82" s="1" cm="1">
        <f t="array" ref="AT82">SUM($P80:AT80,-$P81:AS81)*(w.3="tak")</f>
        <v>0</v>
      </c>
      <c r="AU82" s="1" cm="1">
        <f t="array" ref="AU82">SUM($P80:AU80,-$P81:AT81)*(w.3="tak")</f>
        <v>0</v>
      </c>
      <c r="AV82" s="1" cm="1">
        <f t="array" ref="AV82">SUM($P80:AV80,-$P81:AU81)*(w.3="tak")</f>
        <v>0</v>
      </c>
      <c r="AW82" s="1" cm="1">
        <f t="array" ref="AW82">SUM($P80:AW80,-$P81:AV81)*(w.3="tak")</f>
        <v>0</v>
      </c>
      <c r="AX82" s="1" cm="1">
        <f t="array" ref="AX82">SUM($P80:AX80,-$P81:AW81)*(w.3="tak")</f>
        <v>0</v>
      </c>
      <c r="AY82" s="1" cm="1">
        <f t="array" ref="AY82">SUM($P80:AY80,-$P81:AX81)*(w.3="tak")</f>
        <v>0</v>
      </c>
      <c r="AZ82" s="1" cm="1">
        <f t="array" ref="AZ82">SUM($P80:AZ80,-$P81:AY81)*(w.3="tak")</f>
        <v>0</v>
      </c>
      <c r="BA82" s="1" cm="1">
        <f t="array" ref="BA82">SUM($P80:BA80,-$P81:AZ81)*(w.3="tak")</f>
        <v>0</v>
      </c>
    </row>
    <row r="83" spans="1:53" ht="15.75" customHeight="1" x14ac:dyDescent="0.35">
      <c r="B83" s="5"/>
      <c r="C83" s="5" t="s">
        <v>44</v>
      </c>
      <c r="D83" s="5"/>
      <c r="E83" s="5"/>
      <c r="F83" s="5"/>
      <c r="G83" s="5"/>
      <c r="H83" s="5"/>
      <c r="I83" s="5"/>
      <c r="J83" s="5"/>
      <c r="K83" s="5"/>
    </row>
    <row r="84" spans="1:53" ht="15.75" customHeight="1" x14ac:dyDescent="0.35">
      <c r="B84" s="5"/>
      <c r="C84" s="5"/>
      <c r="D84" s="5" t="s">
        <v>40</v>
      </c>
      <c r="E84" s="5"/>
      <c r="F84" s="5"/>
      <c r="G84" s="5"/>
      <c r="H84" s="5"/>
      <c r="I84" s="5"/>
      <c r="J84" s="5"/>
      <c r="K84" s="5"/>
      <c r="Q84" s="1">
        <f>(Q$1=Założenia!$O$14)*1*(w.3="tak")</f>
        <v>0</v>
      </c>
      <c r="R84" s="1">
        <f>(R$1=Założenia!$O$14)*1*(w.3="tak")</f>
        <v>1</v>
      </c>
      <c r="S84" s="1">
        <f>(S$1=Założenia!$O$14)*1*(w.3="tak")</f>
        <v>0</v>
      </c>
      <c r="T84" s="1">
        <f>(T$1=Założenia!$O$14)*1*(w.3="tak")</f>
        <v>0</v>
      </c>
      <c r="U84" s="1">
        <f>(U$1=Założenia!$O$14)*1*(w.3="tak")</f>
        <v>0</v>
      </c>
      <c r="V84" s="1">
        <f>(V$1=Założenia!$O$14)*1*(w.3="tak")</f>
        <v>0</v>
      </c>
      <c r="W84" s="1">
        <f>(W$1=Założenia!$O$14)*1*(w.3="tak")</f>
        <v>0</v>
      </c>
      <c r="X84" s="1">
        <f>(X$1=Założenia!$O$14)*1*(w.3="tak")</f>
        <v>0</v>
      </c>
      <c r="Y84" s="1">
        <f>(Y$1=Założenia!$O$14)*1*(w.3="tak")</f>
        <v>0</v>
      </c>
      <c r="Z84" s="1">
        <f>(Z$1=Założenia!$O$14)*1*(w.3="tak")</f>
        <v>0</v>
      </c>
      <c r="AA84" s="1">
        <f>(AA$1=Założenia!$O$14)*1*(w.3="tak")</f>
        <v>0</v>
      </c>
      <c r="AB84" s="1">
        <f>(AB$1=Założenia!$O$14)*1*(w.3="tak")</f>
        <v>0</v>
      </c>
      <c r="AC84" s="1">
        <f>(AC$1=Założenia!$O$14)*1*(w.3="tak")</f>
        <v>0</v>
      </c>
      <c r="AD84" s="1">
        <f>(AD$1=Założenia!$O$14)*1*(w.3="tak")</f>
        <v>0</v>
      </c>
      <c r="AE84" s="1">
        <f>(AE$1=Założenia!$O$14)*1*(w.3="tak")</f>
        <v>0</v>
      </c>
      <c r="AF84" s="1">
        <f>(AF$1=Założenia!$O$14)*1*(w.3="tak")</f>
        <v>0</v>
      </c>
      <c r="AG84" s="1">
        <f>(AG$1=Założenia!$O$14)*1*(w.3="tak")</f>
        <v>0</v>
      </c>
      <c r="AH84" s="1">
        <f>(AH$1=Założenia!$O$14)*1*(w.3="tak")</f>
        <v>0</v>
      </c>
      <c r="AI84" s="1">
        <f>(AI$1=Założenia!$O$14)*1*(w.3="tak")</f>
        <v>0</v>
      </c>
      <c r="AJ84" s="1">
        <f>(AJ$1=Założenia!$O$14)*1*(w.3="tak")</f>
        <v>0</v>
      </c>
      <c r="AK84" s="1">
        <f>(AK$1=Założenia!$O$14)*1*(w.3="tak")</f>
        <v>0</v>
      </c>
      <c r="AL84" s="1">
        <f>(AL$1=Założenia!$O$14)*1*(w.3="tak")</f>
        <v>0</v>
      </c>
      <c r="AM84" s="1">
        <f>(AM$1=Założenia!$O$14)*1*(w.3="tak")</f>
        <v>0</v>
      </c>
      <c r="AN84" s="1">
        <f>(AN$1=Założenia!$O$14)*1*(w.3="tak")</f>
        <v>0</v>
      </c>
      <c r="AO84" s="1">
        <f>(AO$1=Założenia!$O$14)*1*(w.3="tak")</f>
        <v>0</v>
      </c>
      <c r="AP84" s="1">
        <f>(AP$1=Założenia!$O$14)*1*(w.3="tak")</f>
        <v>0</v>
      </c>
      <c r="AQ84" s="1">
        <f>(AQ$1=Założenia!$O$14)*1*(w.3="tak")</f>
        <v>0</v>
      </c>
      <c r="AR84" s="1">
        <f>(AR$1=Założenia!$O$14)*1*(w.3="tak")</f>
        <v>0</v>
      </c>
      <c r="AS84" s="1">
        <f>(AS$1=Założenia!$O$14)*1*(w.3="tak")</f>
        <v>0</v>
      </c>
      <c r="AT84" s="1">
        <f>(AT$1=Założenia!$O$14)*1*(w.3="tak")</f>
        <v>0</v>
      </c>
      <c r="AU84" s="1">
        <f>(AU$1=Założenia!$O$14)*1*(w.3="tak")</f>
        <v>0</v>
      </c>
      <c r="AV84" s="1">
        <f>(AV$1=Założenia!$O$14)*1*(w.3="tak")</f>
        <v>0</v>
      </c>
      <c r="AW84" s="1">
        <f>(AW$1=Założenia!$O$14)*1*(w.3="tak")</f>
        <v>0</v>
      </c>
      <c r="AX84" s="1">
        <f>(AX$1=Założenia!$O$14)*1*(w.3="tak")</f>
        <v>0</v>
      </c>
      <c r="AY84" s="1">
        <f>(AY$1=Założenia!$O$14)*1*(w.3="tak")</f>
        <v>0</v>
      </c>
      <c r="AZ84" s="1">
        <f>(AZ$1=Założenia!$O$14)*1*(w.3="tak")</f>
        <v>0</v>
      </c>
      <c r="BA84" s="1">
        <f>(BA$1=Założenia!$O$14)*1*(w.3="tak")</f>
        <v>0</v>
      </c>
    </row>
    <row r="85" spans="1:53" ht="15.75" customHeight="1" x14ac:dyDescent="0.35">
      <c r="B85" s="5"/>
      <c r="C85" s="5"/>
      <c r="D85" s="5" t="s">
        <v>41</v>
      </c>
      <c r="E85" s="5"/>
      <c r="F85" s="5"/>
      <c r="G85" s="5"/>
      <c r="H85" s="5"/>
      <c r="I85" s="5"/>
      <c r="J85" s="5"/>
      <c r="K85" s="5"/>
      <c r="Q85" s="1">
        <f>(Q$1=Założenia!$O$27)*1*(w.3="tak")</f>
        <v>0</v>
      </c>
      <c r="R85" s="1">
        <f>(R$1=Założenia!$O$27)*1*(w.3="tak")</f>
        <v>0</v>
      </c>
      <c r="S85" s="1">
        <f>(S$1=Założenia!$O$27)*1*(w.3="tak")</f>
        <v>0</v>
      </c>
      <c r="T85" s="1">
        <f>(T$1=Założenia!$O$27)*1*(w.3="tak")</f>
        <v>1</v>
      </c>
      <c r="U85" s="1">
        <f>(U$1=Założenia!$O$27)*1*(w.3="tak")</f>
        <v>0</v>
      </c>
      <c r="V85" s="1">
        <f>(V$1=Założenia!$O$27)*1*(w.3="tak")</f>
        <v>0</v>
      </c>
      <c r="W85" s="1">
        <f>(W$1=Założenia!$O$27)*1*(w.3="tak")</f>
        <v>0</v>
      </c>
      <c r="X85" s="1">
        <f>(X$1=Założenia!$O$27)*1*(w.3="tak")</f>
        <v>0</v>
      </c>
      <c r="Y85" s="1">
        <f>(Y$1=Założenia!$O$27)*1*(w.3="tak")</f>
        <v>0</v>
      </c>
      <c r="Z85" s="1">
        <f>(Z$1=Założenia!$O$27)*1*(w.3="tak")</f>
        <v>0</v>
      </c>
      <c r="AA85" s="1">
        <f>(AA$1=Założenia!$O$27)*1*(w.3="tak")</f>
        <v>0</v>
      </c>
      <c r="AB85" s="1">
        <f>(AB$1=Założenia!$O$27)*1*(w.3="tak")</f>
        <v>0</v>
      </c>
      <c r="AC85" s="1">
        <f>(AC$1=Założenia!$O$27)*1*(w.3="tak")</f>
        <v>0</v>
      </c>
      <c r="AD85" s="1">
        <f>(AD$1=Założenia!$O$27)*1*(w.3="tak")</f>
        <v>0</v>
      </c>
      <c r="AE85" s="1">
        <f>(AE$1=Założenia!$O$27)*1*(w.3="tak")</f>
        <v>0</v>
      </c>
      <c r="AF85" s="1">
        <f>(AF$1=Założenia!$O$27)*1*(w.3="tak")</f>
        <v>0</v>
      </c>
      <c r="AG85" s="1">
        <f>(AG$1=Założenia!$O$27)*1*(w.3="tak")</f>
        <v>0</v>
      </c>
      <c r="AH85" s="1">
        <f>(AH$1=Założenia!$O$27)*1*(w.3="tak")</f>
        <v>0</v>
      </c>
      <c r="AI85" s="1">
        <f>(AI$1=Założenia!$O$27)*1*(w.3="tak")</f>
        <v>0</v>
      </c>
      <c r="AJ85" s="1">
        <f>(AJ$1=Założenia!$O$27)*1*(w.3="tak")</f>
        <v>0</v>
      </c>
      <c r="AK85" s="1">
        <f>(AK$1=Założenia!$O$27)*1*(w.3="tak")</f>
        <v>0</v>
      </c>
      <c r="AL85" s="1">
        <f>(AL$1=Założenia!$O$27)*1*(w.3="tak")</f>
        <v>0</v>
      </c>
      <c r="AM85" s="1">
        <f>(AM$1=Założenia!$O$27)*1*(w.3="tak")</f>
        <v>0</v>
      </c>
      <c r="AN85" s="1">
        <f>(AN$1=Założenia!$O$27)*1*(w.3="tak")</f>
        <v>0</v>
      </c>
      <c r="AO85" s="1">
        <f>(AO$1=Założenia!$O$27)*1*(w.3="tak")</f>
        <v>0</v>
      </c>
      <c r="AP85" s="1">
        <f>(AP$1=Założenia!$O$27)*1*(w.3="tak")</f>
        <v>0</v>
      </c>
      <c r="AQ85" s="1">
        <f>(AQ$1=Założenia!$O$27)*1*(w.3="tak")</f>
        <v>0</v>
      </c>
      <c r="AR85" s="1">
        <f>(AR$1=Założenia!$O$27)*1*(w.3="tak")</f>
        <v>0</v>
      </c>
      <c r="AS85" s="1">
        <f>(AS$1=Założenia!$O$27)*1*(w.3="tak")</f>
        <v>0</v>
      </c>
      <c r="AT85" s="1">
        <f>(AT$1=Założenia!$O$27)*1*(w.3="tak")</f>
        <v>0</v>
      </c>
      <c r="AU85" s="1">
        <f>(AU$1=Założenia!$O$27)*1*(w.3="tak")</f>
        <v>0</v>
      </c>
      <c r="AV85" s="1">
        <f>(AV$1=Założenia!$O$27)*1*(w.3="tak")</f>
        <v>0</v>
      </c>
      <c r="AW85" s="1">
        <f>(AW$1=Założenia!$O$27)*1*(w.3="tak")</f>
        <v>0</v>
      </c>
      <c r="AX85" s="1">
        <f>(AX$1=Założenia!$O$27)*1*(w.3="tak")</f>
        <v>0</v>
      </c>
      <c r="AY85" s="1">
        <f>(AY$1=Założenia!$O$27)*1*(w.3="tak")</f>
        <v>0</v>
      </c>
      <c r="AZ85" s="1">
        <f>(AZ$1=Założenia!$O$27)*1*(w.3="tak")</f>
        <v>0</v>
      </c>
      <c r="BA85" s="1">
        <f>(BA$1=Założenia!$O$27)*1*(w.3="tak")</f>
        <v>0</v>
      </c>
    </row>
    <row r="86" spans="1:53" ht="15.75" customHeight="1" x14ac:dyDescent="0.35">
      <c r="B86" s="5"/>
      <c r="C86" s="5"/>
      <c r="D86" s="5" t="s">
        <v>42</v>
      </c>
      <c r="E86" s="5"/>
      <c r="F86" s="5"/>
      <c r="G86" s="5"/>
      <c r="H86" s="5"/>
      <c r="I86" s="5"/>
      <c r="J86" s="5"/>
      <c r="K86" s="5"/>
      <c r="Q86" s="1" cm="1">
        <f t="array" ref="Q86">SUM($P84:Q84,-$P85:P85)*(w.3="tak")</f>
        <v>0</v>
      </c>
      <c r="R86" s="1" cm="1">
        <f t="array" ref="R86">SUM($P84:R84,-$P85:Q85)*(w.3="tak")</f>
        <v>1</v>
      </c>
      <c r="S86" s="1" cm="1">
        <f t="array" ref="S86">SUM($P84:S84,-$P85:R85)*(w.3="tak")</f>
        <v>1</v>
      </c>
      <c r="T86" s="1" cm="1">
        <f t="array" ref="T86">SUM($P84:T84,-$P85:S85)*(w.3="tak")</f>
        <v>1</v>
      </c>
      <c r="U86" s="1" cm="1">
        <f t="array" ref="U86">SUM($P84:U84,-$P85:T85)*(w.3="tak")</f>
        <v>0</v>
      </c>
      <c r="V86" s="1" cm="1">
        <f t="array" ref="V86">SUM($P84:V84,-$P85:U85)*(w.3="tak")</f>
        <v>0</v>
      </c>
      <c r="W86" s="1" cm="1">
        <f t="array" ref="W86">SUM($P84:W84,-$P85:V85)*(w.3="tak")</f>
        <v>0</v>
      </c>
      <c r="X86" s="1" cm="1">
        <f t="array" ref="X86">SUM($P84:X84,-$P85:W85)*(w.3="tak")</f>
        <v>0</v>
      </c>
      <c r="Y86" s="1" cm="1">
        <f t="array" ref="Y86">SUM($P84:Y84,-$P85:X85)*(w.3="tak")</f>
        <v>0</v>
      </c>
      <c r="Z86" s="1" cm="1">
        <f t="array" ref="Z86">SUM($P84:Z84,-$P85:Y85)*(w.3="tak")</f>
        <v>0</v>
      </c>
      <c r="AA86" s="1" cm="1">
        <f t="array" ref="AA86">SUM($P84:AA84,-$P85:Z85)*(w.3="tak")</f>
        <v>0</v>
      </c>
      <c r="AB86" s="1" cm="1">
        <f t="array" ref="AB86">SUM($P84:AB84,-$P85:AA85)*(w.3="tak")</f>
        <v>0</v>
      </c>
      <c r="AC86" s="1" cm="1">
        <f t="array" ref="AC86">SUM($P84:AC84,-$P85:AB85)*(w.3="tak")</f>
        <v>0</v>
      </c>
      <c r="AD86" s="1" cm="1">
        <f t="array" ref="AD86">SUM($P84:AD84,-$P85:AC85)*(w.3="tak")</f>
        <v>0</v>
      </c>
      <c r="AE86" s="1" cm="1">
        <f t="array" ref="AE86">SUM($P84:AE84,-$P85:AD85)*(w.3="tak")</f>
        <v>0</v>
      </c>
      <c r="AF86" s="1" cm="1">
        <f t="array" ref="AF86">SUM($P84:AF84,-$P85:AE85)*(w.3="tak")</f>
        <v>0</v>
      </c>
      <c r="AG86" s="1" cm="1">
        <f t="array" ref="AG86">SUM($P84:AG84,-$P85:AF85)*(w.3="tak")</f>
        <v>0</v>
      </c>
      <c r="AH86" s="1" cm="1">
        <f t="array" ref="AH86">SUM($P84:AH84,-$P85:AG85)*(w.3="tak")</f>
        <v>0</v>
      </c>
      <c r="AI86" s="1" cm="1">
        <f t="array" ref="AI86">SUM($P84:AI84,-$P85:AH85)*(w.3="tak")</f>
        <v>0</v>
      </c>
      <c r="AJ86" s="1" cm="1">
        <f t="array" ref="AJ86">SUM($P84:AJ84,-$P85:AI85)*(w.3="tak")</f>
        <v>0</v>
      </c>
      <c r="AK86" s="1" cm="1">
        <f t="array" ref="AK86">SUM($P84:AK84,-$P85:AJ85)*(w.3="tak")</f>
        <v>0</v>
      </c>
      <c r="AL86" s="1" cm="1">
        <f t="array" ref="AL86">SUM($P84:AL84,-$P85:AK85)*(w.3="tak")</f>
        <v>0</v>
      </c>
      <c r="AM86" s="1" cm="1">
        <f t="array" ref="AM86">SUM($P84:AM84,-$P85:AL85)*(w.3="tak")</f>
        <v>0</v>
      </c>
      <c r="AN86" s="1" cm="1">
        <f t="array" ref="AN86">SUM($P84:AN84,-$P85:AM85)*(w.3="tak")</f>
        <v>0</v>
      </c>
      <c r="AO86" s="1" cm="1">
        <f t="array" ref="AO86">SUM($P84:AO84,-$P85:AN85)*(w.3="tak")</f>
        <v>0</v>
      </c>
      <c r="AP86" s="1" cm="1">
        <f t="array" ref="AP86">SUM($P84:AP84,-$P85:AO85)*(w.3="tak")</f>
        <v>0</v>
      </c>
      <c r="AQ86" s="1" cm="1">
        <f t="array" ref="AQ86">SUM($P84:AQ84,-$P85:AP85)*(w.3="tak")</f>
        <v>0</v>
      </c>
      <c r="AR86" s="1" cm="1">
        <f t="array" ref="AR86">SUM($P84:AR84,-$P85:AQ85)*(w.3="tak")</f>
        <v>0</v>
      </c>
      <c r="AS86" s="1" cm="1">
        <f t="array" ref="AS86">SUM($P84:AS84,-$P85:AR85)*(w.3="tak")</f>
        <v>0</v>
      </c>
      <c r="AT86" s="1" cm="1">
        <f t="array" ref="AT86">SUM($P84:AT84,-$P85:AS85)*(w.3="tak")</f>
        <v>0</v>
      </c>
      <c r="AU86" s="1" cm="1">
        <f t="array" ref="AU86">SUM($P84:AU84,-$P85:AT85)*(w.3="tak")</f>
        <v>0</v>
      </c>
      <c r="AV86" s="1" cm="1">
        <f t="array" ref="AV86">SUM($P84:AV84,-$P85:AU85)*(w.3="tak")</f>
        <v>0</v>
      </c>
      <c r="AW86" s="1" cm="1">
        <f t="array" ref="AW86">SUM($P84:AW84,-$P85:AV85)*(w.3="tak")</f>
        <v>0</v>
      </c>
      <c r="AX86" s="1" cm="1">
        <f t="array" ref="AX86">SUM($P84:AX84,-$P85:AW85)*(w.3="tak")</f>
        <v>0</v>
      </c>
      <c r="AY86" s="1" cm="1">
        <f t="array" ref="AY86">SUM($P84:AY84,-$P85:AX85)*(w.3="tak")</f>
        <v>0</v>
      </c>
      <c r="AZ86" s="1" cm="1">
        <f t="array" ref="AZ86">SUM($P84:AZ84,-$P85:AY85)*(w.3="tak")</f>
        <v>0</v>
      </c>
      <c r="BA86" s="1" cm="1">
        <f t="array" ref="BA86">SUM($P84:BA84,-$P85:AZ85)*(w.3="tak")</f>
        <v>0</v>
      </c>
    </row>
    <row r="87" spans="1:53" ht="15.75" customHeight="1" x14ac:dyDescent="0.35">
      <c r="B87" s="5"/>
      <c r="C87" s="5"/>
      <c r="D87" s="5"/>
      <c r="E87" s="5"/>
      <c r="F87" s="5"/>
      <c r="G87" s="5"/>
      <c r="H87" s="5"/>
      <c r="I87" s="5"/>
      <c r="J87" s="5"/>
      <c r="K87" s="5"/>
    </row>
    <row r="88" spans="1:53" x14ac:dyDescent="0.35">
      <c r="A88" s="54"/>
      <c r="B88" s="55" t="s">
        <v>169</v>
      </c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6" t="str">
        <f t="shared" ref="Q88:BA88" si="4">IF(OPt.w3=1,"Projektowanie",IF(OBt.w3=1,"Budowa",IF(OEt.w3=1,"Eksploatacja","")))</f>
        <v/>
      </c>
      <c r="R88" s="56" t="str">
        <f t="shared" si="4"/>
        <v>Projektowanie</v>
      </c>
      <c r="S88" s="56" t="str">
        <f t="shared" si="4"/>
        <v>Budowa</v>
      </c>
      <c r="T88" s="56" t="str">
        <f t="shared" si="4"/>
        <v>Eksploatacja</v>
      </c>
      <c r="U88" s="56" t="str">
        <f t="shared" si="4"/>
        <v/>
      </c>
      <c r="V88" s="56" t="str">
        <f t="shared" si="4"/>
        <v/>
      </c>
      <c r="W88" s="56" t="str">
        <f t="shared" si="4"/>
        <v/>
      </c>
      <c r="X88" s="56" t="str">
        <f t="shared" si="4"/>
        <v/>
      </c>
      <c r="Y88" s="56" t="str">
        <f t="shared" si="4"/>
        <v/>
      </c>
      <c r="Z88" s="56" t="str">
        <f t="shared" si="4"/>
        <v/>
      </c>
      <c r="AA88" s="56" t="str">
        <f t="shared" si="4"/>
        <v/>
      </c>
      <c r="AB88" s="56" t="str">
        <f t="shared" si="4"/>
        <v/>
      </c>
      <c r="AC88" s="56" t="str">
        <f t="shared" si="4"/>
        <v/>
      </c>
      <c r="AD88" s="56" t="str">
        <f t="shared" si="4"/>
        <v/>
      </c>
      <c r="AE88" s="56" t="str">
        <f t="shared" si="4"/>
        <v/>
      </c>
      <c r="AF88" s="56" t="str">
        <f t="shared" si="4"/>
        <v/>
      </c>
      <c r="AG88" s="56" t="str">
        <f t="shared" si="4"/>
        <v/>
      </c>
      <c r="AH88" s="56" t="str">
        <f t="shared" si="4"/>
        <v/>
      </c>
      <c r="AI88" s="56" t="str">
        <f t="shared" si="4"/>
        <v/>
      </c>
      <c r="AJ88" s="56" t="str">
        <f t="shared" si="4"/>
        <v/>
      </c>
      <c r="AK88" s="56" t="str">
        <f t="shared" si="4"/>
        <v/>
      </c>
      <c r="AL88" s="56" t="str">
        <f t="shared" si="4"/>
        <v/>
      </c>
      <c r="AM88" s="56" t="str">
        <f t="shared" si="4"/>
        <v/>
      </c>
      <c r="AN88" s="56" t="str">
        <f t="shared" si="4"/>
        <v/>
      </c>
      <c r="AO88" s="56" t="str">
        <f t="shared" si="4"/>
        <v/>
      </c>
      <c r="AP88" s="56" t="str">
        <f t="shared" si="4"/>
        <v/>
      </c>
      <c r="AQ88" s="56" t="str">
        <f t="shared" si="4"/>
        <v/>
      </c>
      <c r="AR88" s="56" t="str">
        <f t="shared" si="4"/>
        <v/>
      </c>
      <c r="AS88" s="56" t="str">
        <f t="shared" si="4"/>
        <v/>
      </c>
      <c r="AT88" s="56" t="str">
        <f t="shared" si="4"/>
        <v/>
      </c>
      <c r="AU88" s="56" t="str">
        <f t="shared" si="4"/>
        <v/>
      </c>
      <c r="AV88" s="56" t="str">
        <f t="shared" si="4"/>
        <v/>
      </c>
      <c r="AW88" s="56" t="str">
        <f t="shared" si="4"/>
        <v/>
      </c>
      <c r="AX88" s="56" t="str">
        <f t="shared" si="4"/>
        <v/>
      </c>
      <c r="AY88" s="56" t="str">
        <f t="shared" si="4"/>
        <v/>
      </c>
      <c r="AZ88" s="56" t="str">
        <f t="shared" si="4"/>
        <v/>
      </c>
      <c r="BA88" s="56" t="str">
        <f t="shared" si="4"/>
        <v/>
      </c>
    </row>
    <row r="89" spans="1:53" x14ac:dyDescent="0.35"/>
    <row r="90" spans="1:53" ht="15.75" customHeight="1" thickBot="1" x14ac:dyDescent="0.4">
      <c r="A90" s="44" t="s">
        <v>228</v>
      </c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</row>
    <row r="91" spans="1:53" ht="15" thickTop="1" x14ac:dyDescent="0.35"/>
    <row r="92" spans="1:53" x14ac:dyDescent="0.35">
      <c r="B92" s="8" t="s">
        <v>205</v>
      </c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</row>
    <row r="93" spans="1:53" ht="15.75" customHeight="1" x14ac:dyDescent="0.35">
      <c r="C93" s="5" t="s">
        <v>226</v>
      </c>
      <c r="D93" s="5"/>
      <c r="E93" s="5"/>
      <c r="F93" s="5"/>
      <c r="G93" s="5"/>
      <c r="H93" s="5"/>
      <c r="I93" s="5"/>
      <c r="J93" s="5"/>
      <c r="K93" s="5"/>
      <c r="N93" s="93" t="str">
        <f>IF(COUNTIFS(Q93:BA93,"&lt;&gt;"&amp;0)=0,"ok","błąd")</f>
        <v>ok</v>
      </c>
      <c r="Q93" s="11">
        <f>ROUND('Wariant 1'!Q25-'Wariant 1'!Q29,2)</f>
        <v>0</v>
      </c>
      <c r="R93" s="11">
        <f>ROUND('Wariant 1'!R25-'Wariant 1'!R29,2)</f>
        <v>0</v>
      </c>
      <c r="S93" s="11">
        <f>ROUND('Wariant 1'!S25-'Wariant 1'!S29,2)</f>
        <v>0</v>
      </c>
      <c r="T93" s="11">
        <f>ROUND('Wariant 1'!T25-'Wariant 1'!T29,2)</f>
        <v>0</v>
      </c>
      <c r="U93" s="11">
        <f>ROUND('Wariant 1'!U25-'Wariant 1'!U29,2)</f>
        <v>0</v>
      </c>
      <c r="V93" s="11">
        <f>ROUND('Wariant 1'!V25-'Wariant 1'!V29,2)</f>
        <v>0</v>
      </c>
      <c r="W93" s="11">
        <f>ROUND('Wariant 1'!W25-'Wariant 1'!W29,2)</f>
        <v>0</v>
      </c>
      <c r="X93" s="11">
        <f>ROUND('Wariant 1'!X25-'Wariant 1'!X29,2)</f>
        <v>0</v>
      </c>
      <c r="Y93" s="11">
        <f>ROUND('Wariant 1'!Y25-'Wariant 1'!Y29,2)</f>
        <v>0</v>
      </c>
      <c r="Z93" s="11">
        <f>ROUND('Wariant 1'!Z25-'Wariant 1'!Z29,2)</f>
        <v>0</v>
      </c>
      <c r="AA93" s="11">
        <f>ROUND('Wariant 1'!AA25-'Wariant 1'!AA29,2)</f>
        <v>0</v>
      </c>
      <c r="AB93" s="11">
        <f>ROUND('Wariant 1'!AB25-'Wariant 1'!AB29,2)</f>
        <v>0</v>
      </c>
      <c r="AC93" s="11">
        <f>ROUND('Wariant 1'!AC25-'Wariant 1'!AC29,2)</f>
        <v>0</v>
      </c>
      <c r="AD93" s="11">
        <f>ROUND('Wariant 1'!AD25-'Wariant 1'!AD29,2)</f>
        <v>0</v>
      </c>
      <c r="AE93" s="11">
        <f>ROUND('Wariant 1'!AE25-'Wariant 1'!AE29,2)</f>
        <v>0</v>
      </c>
      <c r="AF93" s="11">
        <f>ROUND('Wariant 1'!AF25-'Wariant 1'!AF29,2)</f>
        <v>0</v>
      </c>
      <c r="AG93" s="11">
        <f>ROUND('Wariant 1'!AG25-'Wariant 1'!AG29,2)</f>
        <v>0</v>
      </c>
      <c r="AH93" s="11">
        <f>ROUND('Wariant 1'!AH25-'Wariant 1'!AH29,2)</f>
        <v>0</v>
      </c>
      <c r="AI93" s="11">
        <f>ROUND('Wariant 1'!AI25-'Wariant 1'!AI29,2)</f>
        <v>0</v>
      </c>
      <c r="AJ93" s="11">
        <f>ROUND('Wariant 1'!AJ25-'Wariant 1'!AJ29,2)</f>
        <v>0</v>
      </c>
      <c r="AK93" s="11">
        <f>ROUND('Wariant 1'!AK25-'Wariant 1'!AK29,2)</f>
        <v>0</v>
      </c>
      <c r="AL93" s="11">
        <f>ROUND('Wariant 1'!AL25-'Wariant 1'!AL29,2)</f>
        <v>0</v>
      </c>
      <c r="AM93" s="11">
        <f>ROUND('Wariant 1'!AM25-'Wariant 1'!AM29,2)</f>
        <v>0</v>
      </c>
      <c r="AN93" s="11">
        <f>ROUND('Wariant 1'!AN25-'Wariant 1'!AN29,2)</f>
        <v>0</v>
      </c>
      <c r="AO93" s="11">
        <f>ROUND('Wariant 1'!AO25-'Wariant 1'!AO29,2)</f>
        <v>0</v>
      </c>
      <c r="AP93" s="11">
        <f>ROUND('Wariant 1'!AP25-'Wariant 1'!AP29,2)</f>
        <v>0</v>
      </c>
      <c r="AQ93" s="11">
        <f>ROUND('Wariant 1'!AQ25-'Wariant 1'!AQ29,2)</f>
        <v>0</v>
      </c>
      <c r="AR93" s="11">
        <f>ROUND('Wariant 1'!AR25-'Wariant 1'!AR29,2)</f>
        <v>0</v>
      </c>
      <c r="AS93" s="11">
        <f>ROUND('Wariant 1'!AS25-'Wariant 1'!AS29,2)</f>
        <v>0</v>
      </c>
      <c r="AT93" s="11">
        <f>ROUND('Wariant 1'!AT25-'Wariant 1'!AT29,2)</f>
        <v>0</v>
      </c>
      <c r="AU93" s="11">
        <f>ROUND('Wariant 1'!AU25-'Wariant 1'!AU29,2)</f>
        <v>0</v>
      </c>
      <c r="AV93" s="11">
        <f>ROUND('Wariant 1'!AV25-'Wariant 1'!AV29,2)</f>
        <v>0</v>
      </c>
      <c r="AW93" s="11">
        <f>ROUND('Wariant 1'!AW25-'Wariant 1'!AW29,2)</f>
        <v>0</v>
      </c>
      <c r="AX93" s="11">
        <f>ROUND('Wariant 1'!AX25-'Wariant 1'!AX29,2)</f>
        <v>0</v>
      </c>
      <c r="AY93" s="11">
        <f>ROUND('Wariant 1'!AY25-'Wariant 1'!AY29,2)</f>
        <v>0</v>
      </c>
      <c r="AZ93" s="11">
        <f>ROUND('Wariant 1'!AZ25-'Wariant 1'!AZ29,2)</f>
        <v>0</v>
      </c>
      <c r="BA93" s="11">
        <f>ROUND('Wariant 1'!BA25-'Wariant 1'!BA29,2)</f>
        <v>0</v>
      </c>
    </row>
    <row r="94" spans="1:53" ht="15.75" customHeight="1" x14ac:dyDescent="0.35">
      <c r="C94" s="5" t="s">
        <v>89</v>
      </c>
      <c r="D94" s="5"/>
      <c r="E94" s="5"/>
      <c r="F94" s="5"/>
      <c r="G94" s="5"/>
      <c r="H94" s="5"/>
      <c r="I94" s="5"/>
      <c r="J94" s="5"/>
      <c r="K94" s="5"/>
      <c r="N94" s="92" t="str">
        <f>IF(COUNTIFS(Q94:BA94,"&lt;&gt;"&amp;0)=0,"ok","błąd")</f>
        <v>ok</v>
      </c>
      <c r="Q94" s="1">
        <f>ROUND('Wariant 1'!Q59-'Wariant 1'!Q27,2)</f>
        <v>0</v>
      </c>
      <c r="R94" s="1">
        <f>ROUND('Wariant 1'!R59-'Wariant 1'!R27,2)</f>
        <v>0</v>
      </c>
      <c r="S94" s="1">
        <f>ROUND('Wariant 1'!S59-'Wariant 1'!S27,2)</f>
        <v>0</v>
      </c>
      <c r="T94" s="1">
        <f>ROUND('Wariant 1'!T59-'Wariant 1'!T27,2)</f>
        <v>0</v>
      </c>
      <c r="U94" s="1">
        <f>ROUND('Wariant 1'!U59-'Wariant 1'!U27,2)</f>
        <v>0</v>
      </c>
      <c r="V94" s="1">
        <f>ROUND('Wariant 1'!V59-'Wariant 1'!V27,2)</f>
        <v>0</v>
      </c>
      <c r="W94" s="1">
        <f>ROUND('Wariant 1'!W59-'Wariant 1'!W27,2)</f>
        <v>0</v>
      </c>
      <c r="X94" s="1">
        <f>ROUND('Wariant 1'!X59-'Wariant 1'!X27,2)</f>
        <v>0</v>
      </c>
      <c r="Y94" s="1">
        <f>ROUND('Wariant 1'!Y59-'Wariant 1'!Y27,2)</f>
        <v>0</v>
      </c>
      <c r="Z94" s="1">
        <f>ROUND('Wariant 1'!Z59-'Wariant 1'!Z27,2)</f>
        <v>0</v>
      </c>
      <c r="AA94" s="1">
        <f>ROUND('Wariant 1'!AA59-'Wariant 1'!AA27,2)</f>
        <v>0</v>
      </c>
      <c r="AB94" s="1">
        <f>ROUND('Wariant 1'!AB59-'Wariant 1'!AB27,2)</f>
        <v>0</v>
      </c>
      <c r="AC94" s="1">
        <f>ROUND('Wariant 1'!AC59-'Wariant 1'!AC27,2)</f>
        <v>0</v>
      </c>
      <c r="AD94" s="1">
        <f>ROUND('Wariant 1'!AD59-'Wariant 1'!AD27,2)</f>
        <v>0</v>
      </c>
      <c r="AE94" s="1">
        <f>ROUND('Wariant 1'!AE59-'Wariant 1'!AE27,2)</f>
        <v>0</v>
      </c>
      <c r="AF94" s="1">
        <f>ROUND('Wariant 1'!AF59-'Wariant 1'!AF27,2)</f>
        <v>0</v>
      </c>
      <c r="AG94" s="1">
        <f>ROUND('Wariant 1'!AG59-'Wariant 1'!AG27,2)</f>
        <v>0</v>
      </c>
      <c r="AH94" s="1">
        <f>ROUND('Wariant 1'!AH59-'Wariant 1'!AH27,2)</f>
        <v>0</v>
      </c>
      <c r="AI94" s="1">
        <f>ROUND('Wariant 1'!AI59-'Wariant 1'!AI27,2)</f>
        <v>0</v>
      </c>
      <c r="AJ94" s="1">
        <f>ROUND('Wariant 1'!AJ59-'Wariant 1'!AJ27,2)</f>
        <v>0</v>
      </c>
      <c r="AK94" s="1">
        <f>ROUND('Wariant 1'!AK59-'Wariant 1'!AK27,2)</f>
        <v>0</v>
      </c>
      <c r="AL94" s="1">
        <f>ROUND('Wariant 1'!AL59-'Wariant 1'!AL27,2)</f>
        <v>0</v>
      </c>
      <c r="AM94" s="1">
        <f>ROUND('Wariant 1'!AM59-'Wariant 1'!AM27,2)</f>
        <v>0</v>
      </c>
      <c r="AN94" s="1">
        <f>ROUND('Wariant 1'!AN59-'Wariant 1'!AN27,2)</f>
        <v>0</v>
      </c>
      <c r="AO94" s="1">
        <f>ROUND('Wariant 1'!AO59-'Wariant 1'!AO27,2)</f>
        <v>0</v>
      </c>
      <c r="AP94" s="1">
        <f>ROUND('Wariant 1'!AP59-'Wariant 1'!AP27,2)</f>
        <v>0</v>
      </c>
      <c r="AQ94" s="1">
        <f>ROUND('Wariant 1'!AQ59-'Wariant 1'!AQ27,2)</f>
        <v>0</v>
      </c>
      <c r="AR94" s="1">
        <f>ROUND('Wariant 1'!AR59-'Wariant 1'!AR27,2)</f>
        <v>0</v>
      </c>
      <c r="AS94" s="1">
        <f>ROUND('Wariant 1'!AS59-'Wariant 1'!AS27,2)</f>
        <v>0</v>
      </c>
      <c r="AT94" s="1">
        <f>ROUND('Wariant 1'!AT59-'Wariant 1'!AT27,2)</f>
        <v>0</v>
      </c>
      <c r="AU94" s="1">
        <f>ROUND('Wariant 1'!AU59-'Wariant 1'!AU27,2)</f>
        <v>0</v>
      </c>
      <c r="AV94" s="1">
        <f>ROUND('Wariant 1'!AV59-'Wariant 1'!AV27,2)</f>
        <v>0</v>
      </c>
      <c r="AW94" s="1">
        <f>ROUND('Wariant 1'!AW59-'Wariant 1'!AW27,2)</f>
        <v>0</v>
      </c>
      <c r="AX94" s="1">
        <f>ROUND('Wariant 1'!AX59-'Wariant 1'!AX27,2)</f>
        <v>0</v>
      </c>
      <c r="AY94" s="1">
        <f>ROUND('Wariant 1'!AY59-'Wariant 1'!AY27,2)</f>
        <v>0</v>
      </c>
      <c r="AZ94" s="1">
        <f>ROUND('Wariant 1'!AZ59-'Wariant 1'!AZ27,2)</f>
        <v>0</v>
      </c>
      <c r="BA94" s="1">
        <f>ROUND('Wariant 1'!BA59-'Wariant 1'!BA27,2)</f>
        <v>0</v>
      </c>
    </row>
    <row r="95" spans="1:53" ht="15.75" customHeight="1" x14ac:dyDescent="0.35">
      <c r="C95" s="5" t="s">
        <v>90</v>
      </c>
      <c r="D95" s="5"/>
      <c r="E95" s="5"/>
      <c r="F95" s="5"/>
      <c r="G95" s="5"/>
      <c r="H95" s="5"/>
      <c r="I95" s="5"/>
      <c r="J95" s="5"/>
      <c r="K95" s="5"/>
      <c r="N95" s="92" t="str">
        <f>IF(COUNTIFS(Q95:BA95,"&lt;&gt;"&amp;0)=0,"ok","błąd")</f>
        <v>ok</v>
      </c>
      <c r="Q95" s="1">
        <f>ROUND('Wariant 1'!Q201-'Wariant 1'!Q59,2)</f>
        <v>0</v>
      </c>
      <c r="R95" s="1">
        <f>ROUND('Wariant 1'!R201-'Wariant 1'!R59,0)</f>
        <v>0</v>
      </c>
      <c r="S95" s="1">
        <f>ROUND('Wariant 1'!S201-'Wariant 1'!S59,0)</f>
        <v>0</v>
      </c>
      <c r="T95" s="1">
        <f>ROUND('Wariant 1'!T201-'Wariant 1'!T59,0)</f>
        <v>0</v>
      </c>
      <c r="U95" s="1">
        <f>ROUND('Wariant 1'!U201-'Wariant 1'!U59,0)</f>
        <v>0</v>
      </c>
      <c r="V95" s="1">
        <f>ROUND('Wariant 1'!V201-'Wariant 1'!V59,0)</f>
        <v>0</v>
      </c>
      <c r="W95" s="1">
        <f>ROUND('Wariant 1'!W201-'Wariant 1'!W59,0)</f>
        <v>0</v>
      </c>
      <c r="X95" s="1">
        <f>ROUND('Wariant 1'!X201-'Wariant 1'!X59,0)</f>
        <v>0</v>
      </c>
      <c r="Y95" s="1">
        <f>ROUND('Wariant 1'!Y201-'Wariant 1'!Y59,0)</f>
        <v>0</v>
      </c>
      <c r="Z95" s="1">
        <f>ROUND('Wariant 1'!Z201-'Wariant 1'!Z59,0)</f>
        <v>0</v>
      </c>
      <c r="AA95" s="1">
        <f>ROUND('Wariant 1'!AA201-'Wariant 1'!AA59,0)</f>
        <v>0</v>
      </c>
      <c r="AB95" s="1">
        <f>ROUND('Wariant 1'!AB201-'Wariant 1'!AB59,0)</f>
        <v>0</v>
      </c>
      <c r="AC95" s="1">
        <f>ROUND('Wariant 1'!AC201-'Wariant 1'!AC59,0)</f>
        <v>0</v>
      </c>
      <c r="AD95" s="1">
        <f>ROUND('Wariant 1'!AD201-'Wariant 1'!AD59,0)</f>
        <v>0</v>
      </c>
      <c r="AE95" s="1">
        <f>ROUND('Wariant 1'!AE201-'Wariant 1'!AE59,0)</f>
        <v>0</v>
      </c>
      <c r="AF95" s="1">
        <f>ROUND('Wariant 1'!AF201-'Wariant 1'!AF59,0)</f>
        <v>0</v>
      </c>
      <c r="AG95" s="1">
        <f>ROUND('Wariant 1'!AG201-'Wariant 1'!AG59,0)</f>
        <v>0</v>
      </c>
      <c r="AH95" s="1">
        <f>ROUND('Wariant 1'!AH201-'Wariant 1'!AH59,0)</f>
        <v>0</v>
      </c>
      <c r="AI95" s="1">
        <f>ROUND('Wariant 1'!AI201-'Wariant 1'!AI59,0)</f>
        <v>0</v>
      </c>
      <c r="AJ95" s="1">
        <f>ROUND('Wariant 1'!AJ201-'Wariant 1'!AJ59,0)</f>
        <v>0</v>
      </c>
      <c r="AK95" s="1">
        <f>ROUND('Wariant 1'!AK201-'Wariant 1'!AK59,0)</f>
        <v>0</v>
      </c>
      <c r="AL95" s="1">
        <f>ROUND('Wariant 1'!AL201-'Wariant 1'!AL59,0)</f>
        <v>0</v>
      </c>
      <c r="AM95" s="1">
        <f>ROUND('Wariant 1'!AM201-'Wariant 1'!AM59,0)</f>
        <v>0</v>
      </c>
      <c r="AN95" s="1">
        <f>ROUND('Wariant 1'!AN201-'Wariant 1'!AN59,0)</f>
        <v>0</v>
      </c>
      <c r="AO95" s="1">
        <f>ROUND('Wariant 1'!AO201-'Wariant 1'!AO59,0)</f>
        <v>0</v>
      </c>
      <c r="AP95" s="1">
        <f>ROUND('Wariant 1'!AP201-'Wariant 1'!AP59,0)</f>
        <v>0</v>
      </c>
      <c r="AQ95" s="1">
        <f>ROUND('Wariant 1'!AQ201-'Wariant 1'!AQ59,0)</f>
        <v>0</v>
      </c>
      <c r="AR95" s="1">
        <f>ROUND('Wariant 1'!AR201-'Wariant 1'!AR59,0)</f>
        <v>0</v>
      </c>
      <c r="AS95" s="1">
        <f>ROUND('Wariant 1'!AS201-'Wariant 1'!AS59,0)</f>
        <v>0</v>
      </c>
      <c r="AT95" s="1">
        <f>ROUND('Wariant 1'!AT201-'Wariant 1'!AT59,0)</f>
        <v>0</v>
      </c>
      <c r="AU95" s="1">
        <f>ROUND('Wariant 1'!AU201-'Wariant 1'!AU59,0)</f>
        <v>0</v>
      </c>
      <c r="AV95" s="1">
        <f>ROUND('Wariant 1'!AV201-'Wariant 1'!AV59,0)</f>
        <v>0</v>
      </c>
      <c r="AW95" s="1">
        <f>ROUND('Wariant 1'!AW201-'Wariant 1'!AW59,0)</f>
        <v>0</v>
      </c>
      <c r="AX95" s="1">
        <f>ROUND('Wariant 1'!AX201-'Wariant 1'!AX59,0)</f>
        <v>0</v>
      </c>
      <c r="AY95" s="1">
        <f>ROUND('Wariant 1'!AY201-'Wariant 1'!AY59,0)</f>
        <v>0</v>
      </c>
      <c r="AZ95" s="1">
        <f>ROUND('Wariant 1'!AZ201-'Wariant 1'!AZ59,0)</f>
        <v>0</v>
      </c>
      <c r="BA95" s="1">
        <f>ROUND('Wariant 1'!BA201-'Wariant 1'!BA59,0)</f>
        <v>0</v>
      </c>
    </row>
    <row r="96" spans="1:53" ht="15.75" customHeight="1" x14ac:dyDescent="0.35">
      <c r="C96" s="5" t="s">
        <v>227</v>
      </c>
      <c r="D96" s="5"/>
      <c r="E96" s="5"/>
      <c r="F96" s="5"/>
      <c r="G96" s="5"/>
      <c r="H96" s="5"/>
      <c r="I96" s="5"/>
      <c r="J96" s="5"/>
      <c r="K96" s="5"/>
      <c r="N96" s="92" t="str">
        <f>IF(COUNTIFS(Q96:BA96,"&lt;&gt;"&amp;0)=0,"ok","błąd")</f>
        <v>ok</v>
      </c>
      <c r="Q96" s="1">
        <f>ROUND('Wariant 1'!Q175-'Wariant 1'!Q180,2)</f>
        <v>0</v>
      </c>
      <c r="R96" s="1">
        <f>ROUND('Wariant 1'!R175-'Wariant 1'!R180,2)</f>
        <v>0</v>
      </c>
      <c r="S96" s="1">
        <f>ROUND('Wariant 1'!S175-'Wariant 1'!S180,2)</f>
        <v>0</v>
      </c>
      <c r="T96" s="1">
        <f>ROUND('Wariant 1'!T175-'Wariant 1'!T180,2)</f>
        <v>0</v>
      </c>
      <c r="U96" s="1">
        <f>ROUND('Wariant 1'!U175-'Wariant 1'!U180,2)</f>
        <v>0</v>
      </c>
      <c r="V96" s="1">
        <f>ROUND('Wariant 1'!V175-'Wariant 1'!V180,2)</f>
        <v>0</v>
      </c>
      <c r="W96" s="1">
        <f>ROUND('Wariant 1'!W175-'Wariant 1'!W180,2)</f>
        <v>0</v>
      </c>
      <c r="X96" s="1">
        <f>ROUND('Wariant 1'!X175-'Wariant 1'!X180,2)</f>
        <v>0</v>
      </c>
      <c r="Y96" s="1">
        <f>ROUND('Wariant 1'!Y175-'Wariant 1'!Y180,2)</f>
        <v>0</v>
      </c>
      <c r="Z96" s="1">
        <f>ROUND('Wariant 1'!Z175-'Wariant 1'!Z180,2)</f>
        <v>0</v>
      </c>
      <c r="AA96" s="1">
        <f>ROUND('Wariant 1'!AA175-'Wariant 1'!AA180,2)</f>
        <v>0</v>
      </c>
      <c r="AB96" s="1">
        <f>ROUND('Wariant 1'!AB175-'Wariant 1'!AB180,2)</f>
        <v>0</v>
      </c>
      <c r="AC96" s="1">
        <f>ROUND('Wariant 1'!AC175-'Wariant 1'!AC180,2)</f>
        <v>0</v>
      </c>
      <c r="AD96" s="1">
        <f>ROUND('Wariant 1'!AD175-'Wariant 1'!AD180,2)</f>
        <v>0</v>
      </c>
      <c r="AE96" s="1">
        <f>ROUND('Wariant 1'!AE175-'Wariant 1'!AE180,2)</f>
        <v>0</v>
      </c>
      <c r="AF96" s="1">
        <f>ROUND('Wariant 1'!AF175-'Wariant 1'!AF180,2)</f>
        <v>0</v>
      </c>
      <c r="AG96" s="1">
        <f>ROUND('Wariant 1'!AG175-'Wariant 1'!AG180,2)</f>
        <v>0</v>
      </c>
      <c r="AH96" s="1">
        <f>ROUND('Wariant 1'!AH175-'Wariant 1'!AH180,2)</f>
        <v>0</v>
      </c>
      <c r="AI96" s="1">
        <f>ROUND('Wariant 1'!AI175-'Wariant 1'!AI180,2)</f>
        <v>0</v>
      </c>
      <c r="AJ96" s="1">
        <f>ROUND('Wariant 1'!AJ175-'Wariant 1'!AJ180,2)</f>
        <v>0</v>
      </c>
      <c r="AK96" s="1">
        <f>ROUND('Wariant 1'!AK175-'Wariant 1'!AK180,2)</f>
        <v>0</v>
      </c>
      <c r="AL96" s="1">
        <f>ROUND('Wariant 1'!AL175-'Wariant 1'!AL180,2)</f>
        <v>0</v>
      </c>
      <c r="AM96" s="1">
        <f>ROUND('Wariant 1'!AM175-'Wariant 1'!AM180,2)</f>
        <v>0</v>
      </c>
      <c r="AN96" s="1">
        <f>ROUND('Wariant 1'!AN175-'Wariant 1'!AN180,2)</f>
        <v>0</v>
      </c>
      <c r="AO96" s="1">
        <f>ROUND('Wariant 1'!AO175-'Wariant 1'!AO180,2)</f>
        <v>0</v>
      </c>
      <c r="AP96" s="1">
        <f>ROUND('Wariant 1'!AP175-'Wariant 1'!AP180,2)</f>
        <v>0</v>
      </c>
      <c r="AQ96" s="1">
        <f>ROUND('Wariant 1'!AQ175-'Wariant 1'!AQ180,2)</f>
        <v>0</v>
      </c>
      <c r="AR96" s="1">
        <f>ROUND('Wariant 1'!AR175-'Wariant 1'!AR180,2)</f>
        <v>0</v>
      </c>
      <c r="AS96" s="1">
        <f>ROUND('Wariant 1'!AS175-'Wariant 1'!AS180,2)</f>
        <v>0</v>
      </c>
      <c r="AT96" s="1">
        <f>ROUND('Wariant 1'!AT175-'Wariant 1'!AT180,2)</f>
        <v>0</v>
      </c>
      <c r="AU96" s="1">
        <f>ROUND('Wariant 1'!AU175-'Wariant 1'!AU180,2)</f>
        <v>0</v>
      </c>
      <c r="AV96" s="1">
        <f>ROUND('Wariant 1'!AV175-'Wariant 1'!AV180,2)</f>
        <v>0</v>
      </c>
      <c r="AW96" s="1">
        <f>ROUND('Wariant 1'!AW175-'Wariant 1'!AW180,2)</f>
        <v>0</v>
      </c>
      <c r="AX96" s="1">
        <f>ROUND('Wariant 1'!AX175-'Wariant 1'!AX180,2)</f>
        <v>0</v>
      </c>
      <c r="AY96" s="1">
        <f>ROUND('Wariant 1'!AY175-'Wariant 1'!AY180,2)</f>
        <v>0</v>
      </c>
      <c r="AZ96" s="1">
        <f>ROUND('Wariant 1'!AZ175-'Wariant 1'!AZ180,2)</f>
        <v>0</v>
      </c>
      <c r="BA96" s="1">
        <f>ROUND('Wariant 1'!BA175-'Wariant 1'!BA180,2)</f>
        <v>0</v>
      </c>
    </row>
    <row r="97" spans="2:53" ht="15.75" customHeight="1" x14ac:dyDescent="0.35">
      <c r="C97" s="5"/>
      <c r="D97" s="5"/>
      <c r="E97" s="5"/>
      <c r="F97" s="5"/>
      <c r="G97" s="5"/>
      <c r="H97" s="5"/>
      <c r="I97" s="5"/>
      <c r="J97" s="5"/>
      <c r="K97" s="5"/>
    </row>
    <row r="98" spans="2:53" x14ac:dyDescent="0.35">
      <c r="B98" s="8" t="s">
        <v>206</v>
      </c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</row>
    <row r="99" spans="2:53" ht="15.75" customHeight="1" x14ac:dyDescent="0.35">
      <c r="C99" s="5" t="s">
        <v>226</v>
      </c>
      <c r="D99" s="5"/>
      <c r="E99" s="5"/>
      <c r="F99" s="5"/>
      <c r="G99" s="5"/>
      <c r="H99" s="5"/>
      <c r="I99" s="5"/>
      <c r="J99" s="5"/>
      <c r="K99" s="5"/>
      <c r="N99" s="93" t="str">
        <f t="shared" ref="N99:N102" si="5">IF(COUNTIFS(Q99:BA99,"&lt;&gt;"&amp;0)=0,"ok","błąd")</f>
        <v>ok</v>
      </c>
      <c r="Q99" s="11">
        <f>ROUND('Wariant 2'!Q25-'Wariant 2'!Q29,2)</f>
        <v>0</v>
      </c>
      <c r="R99" s="11">
        <f>ROUND('Wariant 2'!R25-'Wariant 2'!R29,2)</f>
        <v>0</v>
      </c>
      <c r="S99" s="11">
        <f>ROUND('Wariant 2'!S25-'Wariant 2'!S29,2)</f>
        <v>0</v>
      </c>
      <c r="T99" s="11">
        <f>ROUND('Wariant 2'!T25-'Wariant 2'!T29,2)</f>
        <v>0</v>
      </c>
      <c r="U99" s="11">
        <f>ROUND('Wariant 2'!U25-'Wariant 2'!U29,2)</f>
        <v>0</v>
      </c>
      <c r="V99" s="11">
        <f>ROUND('Wariant 2'!V25-'Wariant 2'!V29,2)</f>
        <v>0</v>
      </c>
      <c r="W99" s="11">
        <f>ROUND('Wariant 2'!W25-'Wariant 2'!W29,2)</f>
        <v>0</v>
      </c>
      <c r="X99" s="11">
        <f>ROUND('Wariant 2'!X25-'Wariant 2'!X29,2)</f>
        <v>0</v>
      </c>
      <c r="Y99" s="11">
        <f>ROUND('Wariant 2'!Y25-'Wariant 2'!Y29,2)</f>
        <v>0</v>
      </c>
      <c r="Z99" s="11">
        <f>ROUND('Wariant 2'!Z25-'Wariant 2'!Z29,2)</f>
        <v>0</v>
      </c>
      <c r="AA99" s="11">
        <f>ROUND('Wariant 2'!AA25-'Wariant 2'!AA29,2)</f>
        <v>0</v>
      </c>
      <c r="AB99" s="11">
        <f>ROUND('Wariant 2'!AB25-'Wariant 2'!AB29,2)</f>
        <v>0</v>
      </c>
      <c r="AC99" s="11">
        <f>ROUND('Wariant 2'!AC25-'Wariant 2'!AC29,2)</f>
        <v>0</v>
      </c>
      <c r="AD99" s="11">
        <f>ROUND('Wariant 2'!AD25-'Wariant 2'!AD29,2)</f>
        <v>0</v>
      </c>
      <c r="AE99" s="11">
        <f>ROUND('Wariant 2'!AE25-'Wariant 2'!AE29,2)</f>
        <v>0</v>
      </c>
      <c r="AF99" s="11">
        <f>ROUND('Wariant 2'!AF25-'Wariant 2'!AF29,2)</f>
        <v>0</v>
      </c>
      <c r="AG99" s="11">
        <f>ROUND('Wariant 2'!AG25-'Wariant 2'!AG29,2)</f>
        <v>0</v>
      </c>
      <c r="AH99" s="11">
        <f>ROUND('Wariant 2'!AH25-'Wariant 2'!AH29,2)</f>
        <v>0</v>
      </c>
      <c r="AI99" s="11">
        <f>ROUND('Wariant 2'!AI25-'Wariant 2'!AI29,2)</f>
        <v>0</v>
      </c>
      <c r="AJ99" s="11">
        <f>ROUND('Wariant 2'!AJ25-'Wariant 2'!AJ29,2)</f>
        <v>0</v>
      </c>
      <c r="AK99" s="11">
        <f>ROUND('Wariant 2'!AK25-'Wariant 2'!AK29,2)</f>
        <v>0</v>
      </c>
      <c r="AL99" s="11">
        <f>ROUND('Wariant 2'!AL25-'Wariant 2'!AL29,2)</f>
        <v>0</v>
      </c>
      <c r="AM99" s="11">
        <f>ROUND('Wariant 2'!AM25-'Wariant 2'!AM29,2)</f>
        <v>0</v>
      </c>
      <c r="AN99" s="11">
        <f>ROUND('Wariant 2'!AN25-'Wariant 2'!AN29,2)</f>
        <v>0</v>
      </c>
      <c r="AO99" s="11">
        <f>ROUND('Wariant 2'!AO25-'Wariant 2'!AO29,2)</f>
        <v>0</v>
      </c>
      <c r="AP99" s="11">
        <f>ROUND('Wariant 2'!AP25-'Wariant 2'!AP29,2)</f>
        <v>0</v>
      </c>
      <c r="AQ99" s="11">
        <f>ROUND('Wariant 2'!AQ25-'Wariant 2'!AQ29,2)</f>
        <v>0</v>
      </c>
      <c r="AR99" s="11">
        <f>ROUND('Wariant 2'!AR25-'Wariant 2'!AR29,2)</f>
        <v>0</v>
      </c>
      <c r="AS99" s="11">
        <f>ROUND('Wariant 2'!AS25-'Wariant 2'!AS29,2)</f>
        <v>0</v>
      </c>
      <c r="AT99" s="11">
        <f>ROUND('Wariant 2'!AT25-'Wariant 2'!AT29,2)</f>
        <v>0</v>
      </c>
      <c r="AU99" s="11">
        <f>ROUND('Wariant 2'!AU25-'Wariant 2'!AU29,2)</f>
        <v>0</v>
      </c>
      <c r="AV99" s="11">
        <f>ROUND('Wariant 2'!AV25-'Wariant 2'!AV29,2)</f>
        <v>0</v>
      </c>
      <c r="AW99" s="11">
        <f>ROUND('Wariant 2'!AW25-'Wariant 2'!AW29,2)</f>
        <v>0</v>
      </c>
      <c r="AX99" s="11">
        <f>ROUND('Wariant 2'!AX25-'Wariant 2'!AX29,2)</f>
        <v>0</v>
      </c>
      <c r="AY99" s="11">
        <f>ROUND('Wariant 2'!AY25-'Wariant 2'!AY29,2)</f>
        <v>0</v>
      </c>
      <c r="AZ99" s="11">
        <f>ROUND('Wariant 2'!AZ25-'Wariant 2'!AZ29,2)</f>
        <v>0</v>
      </c>
      <c r="BA99" s="11">
        <f>ROUND('Wariant 2'!BA25-'Wariant 2'!BA29,2)</f>
        <v>0</v>
      </c>
    </row>
    <row r="100" spans="2:53" ht="15.75" customHeight="1" x14ac:dyDescent="0.35">
      <c r="C100" s="5" t="s">
        <v>89</v>
      </c>
      <c r="D100" s="5"/>
      <c r="E100" s="5"/>
      <c r="F100" s="5"/>
      <c r="G100" s="5"/>
      <c r="H100" s="5"/>
      <c r="I100" s="5"/>
      <c r="J100" s="5"/>
      <c r="K100" s="5"/>
      <c r="N100" s="92" t="str">
        <f t="shared" si="5"/>
        <v>ok</v>
      </c>
      <c r="Q100" s="1">
        <f>ROUND('Wariant 2'!Q59-'Wariant 2'!Q27,2)</f>
        <v>0</v>
      </c>
      <c r="R100" s="1">
        <f>ROUND('Wariant 2'!R59-'Wariant 2'!R27,2)</f>
        <v>0</v>
      </c>
      <c r="S100" s="1">
        <f>ROUND('Wariant 2'!S59-'Wariant 2'!S27,2)</f>
        <v>0</v>
      </c>
      <c r="T100" s="1">
        <f>ROUND('Wariant 2'!T59-'Wariant 2'!T27,2)</f>
        <v>0</v>
      </c>
      <c r="U100" s="1">
        <f>ROUND('Wariant 2'!U59-'Wariant 2'!U27,2)</f>
        <v>0</v>
      </c>
      <c r="V100" s="1">
        <f>ROUND('Wariant 2'!V59-'Wariant 2'!V27,2)</f>
        <v>0</v>
      </c>
      <c r="W100" s="1">
        <f>ROUND('Wariant 2'!W59-'Wariant 2'!W27,2)</f>
        <v>0</v>
      </c>
      <c r="X100" s="1">
        <f>ROUND('Wariant 2'!X59-'Wariant 2'!X27,2)</f>
        <v>0</v>
      </c>
      <c r="Y100" s="1">
        <f>ROUND('Wariant 2'!Y59-'Wariant 2'!Y27,2)</f>
        <v>0</v>
      </c>
      <c r="Z100" s="1">
        <f>ROUND('Wariant 2'!Z59-'Wariant 2'!Z27,2)</f>
        <v>0</v>
      </c>
      <c r="AA100" s="1">
        <f>ROUND('Wariant 2'!AA59-'Wariant 2'!AA27,2)</f>
        <v>0</v>
      </c>
      <c r="AB100" s="1">
        <f>ROUND('Wariant 2'!AB59-'Wariant 2'!AB27,2)</f>
        <v>0</v>
      </c>
      <c r="AC100" s="1">
        <f>ROUND('Wariant 2'!AC59-'Wariant 2'!AC27,2)</f>
        <v>0</v>
      </c>
      <c r="AD100" s="1">
        <f>ROUND('Wariant 2'!AD59-'Wariant 2'!AD27,2)</f>
        <v>0</v>
      </c>
      <c r="AE100" s="1">
        <f>ROUND('Wariant 2'!AE59-'Wariant 2'!AE27,2)</f>
        <v>0</v>
      </c>
      <c r="AF100" s="1">
        <f>ROUND('Wariant 2'!AF59-'Wariant 2'!AF27,2)</f>
        <v>0</v>
      </c>
      <c r="AG100" s="1">
        <f>ROUND('Wariant 2'!AG59-'Wariant 2'!AG27,2)</f>
        <v>0</v>
      </c>
      <c r="AH100" s="1">
        <f>ROUND('Wariant 2'!AH59-'Wariant 2'!AH27,2)</f>
        <v>0</v>
      </c>
      <c r="AI100" s="1">
        <f>ROUND('Wariant 2'!AI59-'Wariant 2'!AI27,2)</f>
        <v>0</v>
      </c>
      <c r="AJ100" s="1">
        <f>ROUND('Wariant 2'!AJ59-'Wariant 2'!AJ27,2)</f>
        <v>0</v>
      </c>
      <c r="AK100" s="1">
        <f>ROUND('Wariant 2'!AK59-'Wariant 2'!AK27,2)</f>
        <v>0</v>
      </c>
      <c r="AL100" s="1">
        <f>ROUND('Wariant 2'!AL59-'Wariant 2'!AL27,2)</f>
        <v>0</v>
      </c>
      <c r="AM100" s="1">
        <f>ROUND('Wariant 2'!AM59-'Wariant 2'!AM27,2)</f>
        <v>0</v>
      </c>
      <c r="AN100" s="1">
        <f>ROUND('Wariant 2'!AN59-'Wariant 2'!AN27,2)</f>
        <v>0</v>
      </c>
      <c r="AO100" s="1">
        <f>ROUND('Wariant 2'!AO59-'Wariant 2'!AO27,2)</f>
        <v>0</v>
      </c>
      <c r="AP100" s="1">
        <f>ROUND('Wariant 2'!AP59-'Wariant 2'!AP27,2)</f>
        <v>0</v>
      </c>
      <c r="AQ100" s="1">
        <f>ROUND('Wariant 2'!AQ59-'Wariant 2'!AQ27,2)</f>
        <v>0</v>
      </c>
      <c r="AR100" s="1">
        <f>ROUND('Wariant 2'!AR59-'Wariant 2'!AR27,2)</f>
        <v>0</v>
      </c>
      <c r="AS100" s="1">
        <f>ROUND('Wariant 2'!AS59-'Wariant 2'!AS27,2)</f>
        <v>0</v>
      </c>
      <c r="AT100" s="1">
        <f>ROUND('Wariant 2'!AT59-'Wariant 2'!AT27,2)</f>
        <v>0</v>
      </c>
      <c r="AU100" s="1">
        <f>ROUND('Wariant 2'!AU59-'Wariant 2'!AU27,2)</f>
        <v>0</v>
      </c>
      <c r="AV100" s="1">
        <f>ROUND('Wariant 2'!AV59-'Wariant 2'!AV27,2)</f>
        <v>0</v>
      </c>
      <c r="AW100" s="1">
        <f>ROUND('Wariant 2'!AW59-'Wariant 2'!AW27,2)</f>
        <v>0</v>
      </c>
      <c r="AX100" s="1">
        <f>ROUND('Wariant 2'!AX59-'Wariant 2'!AX27,2)</f>
        <v>0</v>
      </c>
      <c r="AY100" s="1">
        <f>ROUND('Wariant 2'!AY59-'Wariant 2'!AY27,2)</f>
        <v>0</v>
      </c>
      <c r="AZ100" s="1">
        <f>ROUND('Wariant 2'!AZ59-'Wariant 2'!AZ27,2)</f>
        <v>0</v>
      </c>
      <c r="BA100" s="1">
        <f>ROUND('Wariant 2'!BA59-'Wariant 2'!BA27,2)</f>
        <v>0</v>
      </c>
    </row>
    <row r="101" spans="2:53" ht="15.75" customHeight="1" x14ac:dyDescent="0.35">
      <c r="C101" s="5" t="s">
        <v>90</v>
      </c>
      <c r="D101" s="5"/>
      <c r="E101" s="5"/>
      <c r="F101" s="5"/>
      <c r="G101" s="5"/>
      <c r="H101" s="5"/>
      <c r="I101" s="5"/>
      <c r="J101" s="5"/>
      <c r="K101" s="5"/>
      <c r="N101" s="92" t="str">
        <f t="shared" si="5"/>
        <v>ok</v>
      </c>
      <c r="Q101" s="1">
        <f>ROUND('Wariant 2'!Q201-'Wariant 2'!Q59,2)</f>
        <v>0</v>
      </c>
      <c r="R101" s="1">
        <f>ROUND('Wariant 2'!R201-'Wariant 2'!R59,2)</f>
        <v>0</v>
      </c>
      <c r="S101" s="1">
        <f>ROUND('Wariant 2'!S201-'Wariant 2'!S59,2)</f>
        <v>0</v>
      </c>
      <c r="T101" s="1">
        <f>ROUND('Wariant 2'!T201-'Wariant 2'!T59,2)</f>
        <v>0</v>
      </c>
      <c r="U101" s="1">
        <f>ROUND('Wariant 2'!U201-'Wariant 2'!U59,2)</f>
        <v>0</v>
      </c>
      <c r="V101" s="1">
        <f>ROUND('Wariant 2'!V201-'Wariant 2'!V59,2)</f>
        <v>0</v>
      </c>
      <c r="W101" s="1">
        <f>ROUND('Wariant 2'!W201-'Wariant 2'!W59,2)</f>
        <v>0</v>
      </c>
      <c r="X101" s="1">
        <f>ROUND('Wariant 2'!X201-'Wariant 2'!X59,2)</f>
        <v>0</v>
      </c>
      <c r="Y101" s="1">
        <f>ROUND('Wariant 2'!Y201-'Wariant 2'!Y59,2)</f>
        <v>0</v>
      </c>
      <c r="Z101" s="1">
        <f>ROUND('Wariant 2'!Z201-'Wariant 2'!Z59,2)</f>
        <v>0</v>
      </c>
      <c r="AA101" s="1">
        <f>ROUND('Wariant 2'!AA201-'Wariant 2'!AA59,2)</f>
        <v>0</v>
      </c>
      <c r="AB101" s="1">
        <f>ROUND('Wariant 2'!AB201-'Wariant 2'!AB59,2)</f>
        <v>0</v>
      </c>
      <c r="AC101" s="1">
        <f>ROUND('Wariant 2'!AC201-'Wariant 2'!AC59,2)</f>
        <v>0</v>
      </c>
      <c r="AD101" s="1">
        <f>ROUND('Wariant 2'!AD201-'Wariant 2'!AD59,2)</f>
        <v>0</v>
      </c>
      <c r="AE101" s="1">
        <f>ROUND('Wariant 2'!AE201-'Wariant 2'!AE59,2)</f>
        <v>0</v>
      </c>
      <c r="AF101" s="1">
        <f>ROUND('Wariant 2'!AF201-'Wariant 2'!AF59,2)</f>
        <v>0</v>
      </c>
      <c r="AG101" s="1">
        <f>ROUND('Wariant 2'!AG201-'Wariant 2'!AG59,2)</f>
        <v>0</v>
      </c>
      <c r="AH101" s="1">
        <f>ROUND('Wariant 2'!AH201-'Wariant 2'!AH59,2)</f>
        <v>0</v>
      </c>
      <c r="AI101" s="1">
        <f>ROUND('Wariant 2'!AI201-'Wariant 2'!AI59,2)</f>
        <v>0</v>
      </c>
      <c r="AJ101" s="1">
        <f>ROUND('Wariant 2'!AJ201-'Wariant 2'!AJ59,2)</f>
        <v>0</v>
      </c>
      <c r="AK101" s="1">
        <f>ROUND('Wariant 2'!AK201-'Wariant 2'!AK59,2)</f>
        <v>0</v>
      </c>
      <c r="AL101" s="1">
        <f>ROUND('Wariant 2'!AL201-'Wariant 2'!AL59,2)</f>
        <v>0</v>
      </c>
      <c r="AM101" s="1">
        <f>ROUND('Wariant 2'!AM201-'Wariant 2'!AM59,2)</f>
        <v>0</v>
      </c>
      <c r="AN101" s="1">
        <f>ROUND('Wariant 2'!AN201-'Wariant 2'!AN59,2)</f>
        <v>0</v>
      </c>
      <c r="AO101" s="1">
        <f>ROUND('Wariant 2'!AO201-'Wariant 2'!AO59,2)</f>
        <v>0</v>
      </c>
      <c r="AP101" s="1">
        <f>ROUND('Wariant 2'!AP201-'Wariant 2'!AP59,2)</f>
        <v>0</v>
      </c>
      <c r="AQ101" s="1">
        <f>ROUND('Wariant 2'!AQ201-'Wariant 2'!AQ59,2)</f>
        <v>0</v>
      </c>
      <c r="AR101" s="1">
        <f>ROUND('Wariant 2'!AR201-'Wariant 2'!AR59,2)</f>
        <v>0</v>
      </c>
      <c r="AS101" s="1">
        <f>ROUND('Wariant 2'!AS201-'Wariant 2'!AS59,2)</f>
        <v>0</v>
      </c>
      <c r="AT101" s="1">
        <f>ROUND('Wariant 2'!AT201-'Wariant 2'!AT59,2)</f>
        <v>0</v>
      </c>
      <c r="AU101" s="1">
        <f>ROUND('Wariant 2'!AU201-'Wariant 2'!AU59,2)</f>
        <v>0</v>
      </c>
      <c r="AV101" s="1">
        <f>ROUND('Wariant 2'!AV201-'Wariant 2'!AV59,2)</f>
        <v>0</v>
      </c>
      <c r="AW101" s="1">
        <f>ROUND('Wariant 2'!AW201-'Wariant 2'!AW59,2)</f>
        <v>0</v>
      </c>
      <c r="AX101" s="1">
        <f>ROUND('Wariant 2'!AX201-'Wariant 2'!AX59,2)</f>
        <v>0</v>
      </c>
      <c r="AY101" s="1">
        <f>ROUND('Wariant 2'!AY201-'Wariant 2'!AY59,2)</f>
        <v>0</v>
      </c>
      <c r="AZ101" s="1">
        <f>ROUND('Wariant 2'!AZ201-'Wariant 2'!AZ59,2)</f>
        <v>0</v>
      </c>
      <c r="BA101" s="1">
        <f>ROUND('Wariant 2'!BA201-'Wariant 2'!BA59,2)</f>
        <v>0</v>
      </c>
    </row>
    <row r="102" spans="2:53" ht="15.75" customHeight="1" x14ac:dyDescent="0.35">
      <c r="C102" s="5" t="s">
        <v>227</v>
      </c>
      <c r="D102" s="5"/>
      <c r="E102" s="5"/>
      <c r="F102" s="5"/>
      <c r="G102" s="5"/>
      <c r="H102" s="5"/>
      <c r="I102" s="5"/>
      <c r="J102" s="5"/>
      <c r="K102" s="5"/>
      <c r="N102" s="92" t="str">
        <f t="shared" si="5"/>
        <v>ok</v>
      </c>
      <c r="Q102" s="1">
        <f>ROUND('Wariant 2'!Q175-'Wariant 2'!Q180,2)</f>
        <v>0</v>
      </c>
      <c r="R102" s="1">
        <f>'Wariant 2'!R175-'Wariant 2'!R180</f>
        <v>0</v>
      </c>
      <c r="S102" s="1">
        <f>'Wariant 2'!S175-'Wariant 2'!S180</f>
        <v>0</v>
      </c>
      <c r="T102" s="1">
        <f>'Wariant 2'!T175-'Wariant 2'!T180</f>
        <v>0</v>
      </c>
      <c r="U102" s="1">
        <f>'Wariant 2'!U175-'Wariant 2'!U180</f>
        <v>0</v>
      </c>
      <c r="V102" s="1">
        <f>'Wariant 2'!V175-'Wariant 2'!V180</f>
        <v>0</v>
      </c>
      <c r="W102" s="1">
        <f>'Wariant 2'!W175-'Wariant 2'!W180</f>
        <v>0</v>
      </c>
      <c r="X102" s="1">
        <f>'Wariant 2'!X175-'Wariant 2'!X180</f>
        <v>0</v>
      </c>
      <c r="Y102" s="1">
        <f>'Wariant 2'!Y175-'Wariant 2'!Y180</f>
        <v>0</v>
      </c>
      <c r="Z102" s="1">
        <f>'Wariant 2'!Z175-'Wariant 2'!Z180</f>
        <v>0</v>
      </c>
      <c r="AA102" s="1">
        <f>'Wariant 2'!AA175-'Wariant 2'!AA180</f>
        <v>0</v>
      </c>
      <c r="AB102" s="1">
        <f>'Wariant 2'!AB175-'Wariant 2'!AB180</f>
        <v>0</v>
      </c>
      <c r="AC102" s="1">
        <f>'Wariant 2'!AC175-'Wariant 2'!AC180</f>
        <v>0</v>
      </c>
      <c r="AD102" s="1">
        <f>'Wariant 2'!AD175-'Wariant 2'!AD180</f>
        <v>0</v>
      </c>
      <c r="AE102" s="1">
        <f>'Wariant 2'!AE175-'Wariant 2'!AE180</f>
        <v>0</v>
      </c>
      <c r="AF102" s="1">
        <f>'Wariant 2'!AF175-'Wariant 2'!AF180</f>
        <v>0</v>
      </c>
      <c r="AG102" s="1">
        <f>'Wariant 2'!AG175-'Wariant 2'!AG180</f>
        <v>0</v>
      </c>
      <c r="AH102" s="1">
        <f>'Wariant 2'!AH175-'Wariant 2'!AH180</f>
        <v>0</v>
      </c>
      <c r="AI102" s="1">
        <f>'Wariant 2'!AI175-'Wariant 2'!AI180</f>
        <v>0</v>
      </c>
      <c r="AJ102" s="1">
        <f>'Wariant 2'!AJ175-'Wariant 2'!AJ180</f>
        <v>0</v>
      </c>
      <c r="AK102" s="1">
        <f>'Wariant 2'!AK175-'Wariant 2'!AK180</f>
        <v>0</v>
      </c>
      <c r="AL102" s="1">
        <f>'Wariant 2'!AL175-'Wariant 2'!AL180</f>
        <v>0</v>
      </c>
      <c r="AM102" s="1">
        <f>'Wariant 2'!AM175-'Wariant 2'!AM180</f>
        <v>0</v>
      </c>
      <c r="AN102" s="1">
        <f>'Wariant 2'!AN175-'Wariant 2'!AN180</f>
        <v>0</v>
      </c>
      <c r="AO102" s="1">
        <f>'Wariant 2'!AO175-'Wariant 2'!AO180</f>
        <v>0</v>
      </c>
      <c r="AP102" s="1">
        <f>'Wariant 2'!AP175-'Wariant 2'!AP180</f>
        <v>0</v>
      </c>
      <c r="AQ102" s="1">
        <f>'Wariant 2'!AQ175-'Wariant 2'!AQ180</f>
        <v>0</v>
      </c>
      <c r="AR102" s="1">
        <f>'Wariant 2'!AR175-'Wariant 2'!AR180</f>
        <v>0</v>
      </c>
      <c r="AS102" s="1">
        <f>'Wariant 2'!AS175-'Wariant 2'!AS180</f>
        <v>0</v>
      </c>
      <c r="AT102" s="1">
        <f>'Wariant 2'!AT175-'Wariant 2'!AT180</f>
        <v>0</v>
      </c>
      <c r="AU102" s="1">
        <f>'Wariant 2'!AU175-'Wariant 2'!AU180</f>
        <v>0</v>
      </c>
      <c r="AV102" s="1">
        <f>'Wariant 2'!AV175-'Wariant 2'!AV180</f>
        <v>0</v>
      </c>
      <c r="AW102" s="1">
        <f>'Wariant 2'!AW175-'Wariant 2'!AW180</f>
        <v>0</v>
      </c>
      <c r="AX102" s="1">
        <f>'Wariant 2'!AX175-'Wariant 2'!AX180</f>
        <v>0</v>
      </c>
      <c r="AY102" s="1">
        <f>'Wariant 2'!AY175-'Wariant 2'!AY180</f>
        <v>0</v>
      </c>
      <c r="AZ102" s="1">
        <f>'Wariant 2'!AZ175-'Wariant 2'!AZ180</f>
        <v>0</v>
      </c>
      <c r="BA102" s="1">
        <f>'Wariant 2'!BA175-'Wariant 2'!BA180</f>
        <v>0</v>
      </c>
    </row>
    <row r="103" spans="2:53" ht="15.75" customHeight="1" x14ac:dyDescent="0.35">
      <c r="C103" s="5"/>
      <c r="D103" s="5"/>
      <c r="E103" s="5"/>
      <c r="F103" s="5"/>
      <c r="G103" s="5"/>
      <c r="H103" s="5"/>
      <c r="I103" s="5"/>
      <c r="J103" s="5"/>
      <c r="K103" s="5"/>
    </row>
    <row r="104" spans="2:53" x14ac:dyDescent="0.35">
      <c r="B104" s="8" t="s">
        <v>207</v>
      </c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</row>
    <row r="105" spans="2:53" ht="15.75" customHeight="1" x14ac:dyDescent="0.35">
      <c r="C105" s="5" t="s">
        <v>226</v>
      </c>
      <c r="D105" s="5"/>
      <c r="E105" s="5"/>
      <c r="F105" s="5"/>
      <c r="G105" s="5"/>
      <c r="H105" s="5"/>
      <c r="I105" s="5"/>
      <c r="J105" s="5"/>
      <c r="K105" s="5"/>
      <c r="N105" s="93" t="str">
        <f t="shared" ref="N105:N108" si="6">IF(COUNTIFS(Q105:BA105,"&lt;&gt;"&amp;0)=0,"ok","błąd")</f>
        <v>ok</v>
      </c>
      <c r="Q105" s="11">
        <f>ROUND('Wariant 3'!Q25-'Wariant 3'!Q29,2)</f>
        <v>0</v>
      </c>
      <c r="R105" s="11">
        <f>ROUND('Wariant 3'!R25-'Wariant 3'!R29,2)</f>
        <v>0</v>
      </c>
      <c r="S105" s="11">
        <f>ROUND('Wariant 3'!S25-'Wariant 3'!S29,2)</f>
        <v>0</v>
      </c>
      <c r="T105" s="11">
        <f>ROUND('Wariant 3'!T25-'Wariant 3'!T29,2)</f>
        <v>0</v>
      </c>
      <c r="U105" s="11">
        <f>ROUND('Wariant 3'!U25-'Wariant 3'!U29,2)</f>
        <v>0</v>
      </c>
      <c r="V105" s="11">
        <f>ROUND('Wariant 3'!V25-'Wariant 3'!V29,2)</f>
        <v>0</v>
      </c>
      <c r="W105" s="11">
        <f>ROUND('Wariant 3'!W25-'Wariant 3'!W29,2)</f>
        <v>0</v>
      </c>
      <c r="X105" s="11">
        <f>ROUND('Wariant 3'!X25-'Wariant 3'!X29,2)</f>
        <v>0</v>
      </c>
      <c r="Y105" s="11">
        <f>ROUND('Wariant 3'!Y25-'Wariant 3'!Y29,2)</f>
        <v>0</v>
      </c>
      <c r="Z105" s="11">
        <f>ROUND('Wariant 3'!Z25-'Wariant 3'!Z29,2)</f>
        <v>0</v>
      </c>
      <c r="AA105" s="11">
        <f>ROUND('Wariant 3'!AA25-'Wariant 3'!AA29,2)</f>
        <v>0</v>
      </c>
      <c r="AB105" s="11">
        <f>ROUND('Wariant 3'!AB25-'Wariant 3'!AB29,2)</f>
        <v>0</v>
      </c>
      <c r="AC105" s="11">
        <f>ROUND('Wariant 3'!AC25-'Wariant 3'!AC29,2)</f>
        <v>0</v>
      </c>
      <c r="AD105" s="11">
        <f>ROUND('Wariant 3'!AD25-'Wariant 3'!AD29,2)</f>
        <v>0</v>
      </c>
      <c r="AE105" s="11">
        <f>ROUND('Wariant 3'!AE25-'Wariant 3'!AE29,2)</f>
        <v>0</v>
      </c>
      <c r="AF105" s="11">
        <f>ROUND('Wariant 3'!AF25-'Wariant 3'!AF29,2)</f>
        <v>0</v>
      </c>
      <c r="AG105" s="11">
        <f>ROUND('Wariant 3'!AG25-'Wariant 3'!AG29,2)</f>
        <v>0</v>
      </c>
      <c r="AH105" s="11">
        <f>ROUND('Wariant 3'!AH25-'Wariant 3'!AH29,2)</f>
        <v>0</v>
      </c>
      <c r="AI105" s="11">
        <f>ROUND('Wariant 3'!AI25-'Wariant 3'!AI29,2)</f>
        <v>0</v>
      </c>
      <c r="AJ105" s="11">
        <f>ROUND('Wariant 3'!AJ25-'Wariant 3'!AJ29,2)</f>
        <v>0</v>
      </c>
      <c r="AK105" s="11">
        <f>ROUND('Wariant 3'!AK25-'Wariant 3'!AK29,2)</f>
        <v>0</v>
      </c>
      <c r="AL105" s="11">
        <f>ROUND('Wariant 3'!AL25-'Wariant 3'!AL29,2)</f>
        <v>0</v>
      </c>
      <c r="AM105" s="11">
        <f>ROUND('Wariant 3'!AM25-'Wariant 3'!AM29,2)</f>
        <v>0</v>
      </c>
      <c r="AN105" s="11">
        <f>ROUND('Wariant 3'!AN25-'Wariant 3'!AN29,2)</f>
        <v>0</v>
      </c>
      <c r="AO105" s="11">
        <f>ROUND('Wariant 3'!AO25-'Wariant 3'!AO29,2)</f>
        <v>0</v>
      </c>
      <c r="AP105" s="11">
        <f>ROUND('Wariant 3'!AP25-'Wariant 3'!AP29,2)</f>
        <v>0</v>
      </c>
      <c r="AQ105" s="11">
        <f>ROUND('Wariant 3'!AQ25-'Wariant 3'!AQ29,2)</f>
        <v>0</v>
      </c>
      <c r="AR105" s="11">
        <f>ROUND('Wariant 3'!AR25-'Wariant 3'!AR29,2)</f>
        <v>0</v>
      </c>
      <c r="AS105" s="11">
        <f>ROUND('Wariant 3'!AS25-'Wariant 3'!AS29,2)</f>
        <v>0</v>
      </c>
      <c r="AT105" s="11">
        <f>ROUND('Wariant 3'!AT25-'Wariant 3'!AT29,2)</f>
        <v>0</v>
      </c>
      <c r="AU105" s="11">
        <f>ROUND('Wariant 3'!AU25-'Wariant 3'!AU29,2)</f>
        <v>0</v>
      </c>
      <c r="AV105" s="11">
        <f>ROUND('Wariant 3'!AV25-'Wariant 3'!AV29,2)</f>
        <v>0</v>
      </c>
      <c r="AW105" s="11">
        <f>ROUND('Wariant 3'!AW25-'Wariant 3'!AW29,2)</f>
        <v>0</v>
      </c>
      <c r="AX105" s="11">
        <f>ROUND('Wariant 3'!AX25-'Wariant 3'!AX29,2)</f>
        <v>0</v>
      </c>
      <c r="AY105" s="11">
        <f>ROUND('Wariant 3'!AY25-'Wariant 3'!AY29,2)</f>
        <v>0</v>
      </c>
      <c r="AZ105" s="11">
        <f>ROUND('Wariant 3'!AZ25-'Wariant 3'!AZ29,2)</f>
        <v>0</v>
      </c>
      <c r="BA105" s="11">
        <f>ROUND('Wariant 3'!BA25-'Wariant 3'!BA29,2)</f>
        <v>0</v>
      </c>
    </row>
    <row r="106" spans="2:53" ht="15.75" customHeight="1" x14ac:dyDescent="0.35">
      <c r="C106" s="5" t="s">
        <v>89</v>
      </c>
      <c r="D106" s="5"/>
      <c r="E106" s="5"/>
      <c r="F106" s="5"/>
      <c r="G106" s="5"/>
      <c r="H106" s="5"/>
      <c r="I106" s="5"/>
      <c r="J106" s="5"/>
      <c r="K106" s="5"/>
      <c r="N106" s="92" t="str">
        <f t="shared" si="6"/>
        <v>ok</v>
      </c>
      <c r="Q106" s="1">
        <f>ROUND('Wariant 3'!Q59-'Wariant 3'!Q27,2)</f>
        <v>0</v>
      </c>
      <c r="R106" s="1">
        <f>ROUND('Wariant 3'!R59-'Wariant 3'!R27,2)</f>
        <v>0</v>
      </c>
      <c r="S106" s="1">
        <f>ROUND('Wariant 3'!S59-'Wariant 3'!S27,2)</f>
        <v>0</v>
      </c>
      <c r="T106" s="1">
        <f>ROUND('Wariant 3'!T59-'Wariant 3'!T27,2)</f>
        <v>0</v>
      </c>
      <c r="U106" s="1">
        <f>ROUND('Wariant 3'!U59-'Wariant 3'!U27,2)</f>
        <v>0</v>
      </c>
      <c r="V106" s="1">
        <f>ROUND('Wariant 3'!V59-'Wariant 3'!V27,2)</f>
        <v>0</v>
      </c>
      <c r="W106" s="1">
        <f>ROUND('Wariant 3'!W59-'Wariant 3'!W27,2)</f>
        <v>0</v>
      </c>
      <c r="X106" s="1">
        <f>ROUND('Wariant 3'!X59-'Wariant 3'!X27,2)</f>
        <v>0</v>
      </c>
      <c r="Y106" s="1">
        <f>ROUND('Wariant 3'!Y59-'Wariant 3'!Y27,2)</f>
        <v>0</v>
      </c>
      <c r="Z106" s="1">
        <f>ROUND('Wariant 3'!Z59-'Wariant 3'!Z27,2)</f>
        <v>0</v>
      </c>
      <c r="AA106" s="1">
        <f>ROUND('Wariant 3'!AA59-'Wariant 3'!AA27,2)</f>
        <v>0</v>
      </c>
      <c r="AB106" s="1">
        <f>ROUND('Wariant 3'!AB59-'Wariant 3'!AB27,2)</f>
        <v>0</v>
      </c>
      <c r="AC106" s="1">
        <f>ROUND('Wariant 3'!AC59-'Wariant 3'!AC27,2)</f>
        <v>0</v>
      </c>
      <c r="AD106" s="1">
        <f>ROUND('Wariant 3'!AD59-'Wariant 3'!AD27,2)</f>
        <v>0</v>
      </c>
      <c r="AE106" s="1">
        <f>ROUND('Wariant 3'!AE59-'Wariant 3'!AE27,2)</f>
        <v>0</v>
      </c>
      <c r="AF106" s="1">
        <f>ROUND('Wariant 3'!AF59-'Wariant 3'!AF27,2)</f>
        <v>0</v>
      </c>
      <c r="AG106" s="1">
        <f>ROUND('Wariant 3'!AG59-'Wariant 3'!AG27,2)</f>
        <v>0</v>
      </c>
      <c r="AH106" s="1">
        <f>ROUND('Wariant 3'!AH59-'Wariant 3'!AH27,2)</f>
        <v>0</v>
      </c>
      <c r="AI106" s="1">
        <f>ROUND('Wariant 3'!AI59-'Wariant 3'!AI27,2)</f>
        <v>0</v>
      </c>
      <c r="AJ106" s="1">
        <f>ROUND('Wariant 3'!AJ59-'Wariant 3'!AJ27,2)</f>
        <v>0</v>
      </c>
      <c r="AK106" s="1">
        <f>ROUND('Wariant 3'!AK59-'Wariant 3'!AK27,2)</f>
        <v>0</v>
      </c>
      <c r="AL106" s="1">
        <f>ROUND('Wariant 3'!AL59-'Wariant 3'!AL27,2)</f>
        <v>0</v>
      </c>
      <c r="AM106" s="1">
        <f>ROUND('Wariant 3'!AM59-'Wariant 3'!AM27,2)</f>
        <v>0</v>
      </c>
      <c r="AN106" s="1">
        <f>ROUND('Wariant 3'!AN59-'Wariant 3'!AN27,2)</f>
        <v>0</v>
      </c>
      <c r="AO106" s="1">
        <f>ROUND('Wariant 3'!AO59-'Wariant 3'!AO27,2)</f>
        <v>0</v>
      </c>
      <c r="AP106" s="1">
        <f>ROUND('Wariant 3'!AP59-'Wariant 3'!AP27,2)</f>
        <v>0</v>
      </c>
      <c r="AQ106" s="1">
        <f>ROUND('Wariant 3'!AQ59-'Wariant 3'!AQ27,2)</f>
        <v>0</v>
      </c>
      <c r="AR106" s="1">
        <f>ROUND('Wariant 3'!AR59-'Wariant 3'!AR27,2)</f>
        <v>0</v>
      </c>
      <c r="AS106" s="1">
        <f>ROUND('Wariant 3'!AS59-'Wariant 3'!AS27,2)</f>
        <v>0</v>
      </c>
      <c r="AT106" s="1">
        <f>ROUND('Wariant 3'!AT59-'Wariant 3'!AT27,2)</f>
        <v>0</v>
      </c>
      <c r="AU106" s="1">
        <f>ROUND('Wariant 3'!AU59-'Wariant 3'!AU27,2)</f>
        <v>0</v>
      </c>
      <c r="AV106" s="1">
        <f>ROUND('Wariant 3'!AV59-'Wariant 3'!AV27,2)</f>
        <v>0</v>
      </c>
      <c r="AW106" s="1">
        <f>ROUND('Wariant 3'!AW59-'Wariant 3'!AW27,2)</f>
        <v>0</v>
      </c>
      <c r="AX106" s="1">
        <f>ROUND('Wariant 3'!AX59-'Wariant 3'!AX27,2)</f>
        <v>0</v>
      </c>
      <c r="AY106" s="1">
        <f>ROUND('Wariant 3'!AY59-'Wariant 3'!AY27,2)</f>
        <v>0</v>
      </c>
      <c r="AZ106" s="1">
        <f>ROUND('Wariant 3'!AZ59-'Wariant 3'!AZ27,2)</f>
        <v>0</v>
      </c>
      <c r="BA106" s="1">
        <f>ROUND('Wariant 3'!BA59-'Wariant 3'!BA27,2)</f>
        <v>0</v>
      </c>
    </row>
    <row r="107" spans="2:53" ht="15.75" customHeight="1" x14ac:dyDescent="0.35">
      <c r="C107" s="5" t="s">
        <v>90</v>
      </c>
      <c r="D107" s="5"/>
      <c r="E107" s="5"/>
      <c r="F107" s="5"/>
      <c r="G107" s="5"/>
      <c r="H107" s="5"/>
      <c r="I107" s="5"/>
      <c r="J107" s="5"/>
      <c r="K107" s="5"/>
      <c r="N107" s="92" t="str">
        <f t="shared" si="6"/>
        <v>ok</v>
      </c>
      <c r="Q107" s="1">
        <f>ROUND('Wariant 3'!Q201-'Wariant 3'!Q59,2)</f>
        <v>0</v>
      </c>
      <c r="R107" s="1">
        <f>ROUND('Wariant 3'!R201-'Wariant 3'!R59,2)</f>
        <v>0</v>
      </c>
      <c r="S107" s="1">
        <f>ROUND('Wariant 3'!S201-'Wariant 3'!S59,2)</f>
        <v>0</v>
      </c>
      <c r="T107" s="1">
        <f>ROUND('Wariant 3'!T201-'Wariant 3'!T59,2)</f>
        <v>0</v>
      </c>
      <c r="U107" s="1">
        <f>ROUND('Wariant 3'!U201-'Wariant 3'!U59,2)</f>
        <v>0</v>
      </c>
      <c r="V107" s="1">
        <f>ROUND('Wariant 3'!V201-'Wariant 3'!V59,2)</f>
        <v>0</v>
      </c>
      <c r="W107" s="1">
        <f>ROUND('Wariant 3'!W201-'Wariant 3'!W59,2)</f>
        <v>0</v>
      </c>
      <c r="X107" s="1">
        <f>ROUND('Wariant 3'!X201-'Wariant 3'!X59,2)</f>
        <v>0</v>
      </c>
      <c r="Y107" s="1">
        <f>ROUND('Wariant 3'!Y201-'Wariant 3'!Y59,2)</f>
        <v>0</v>
      </c>
      <c r="Z107" s="1">
        <f>ROUND('Wariant 3'!Z201-'Wariant 3'!Z59,2)</f>
        <v>0</v>
      </c>
      <c r="AA107" s="1">
        <f>ROUND('Wariant 3'!AA201-'Wariant 3'!AA59,2)</f>
        <v>0</v>
      </c>
      <c r="AB107" s="1">
        <f>ROUND('Wariant 3'!AB201-'Wariant 3'!AB59,2)</f>
        <v>0</v>
      </c>
      <c r="AC107" s="1">
        <f>ROUND('Wariant 3'!AC201-'Wariant 3'!AC59,2)</f>
        <v>0</v>
      </c>
      <c r="AD107" s="1">
        <f>ROUND('Wariant 3'!AD201-'Wariant 3'!AD59,2)</f>
        <v>0</v>
      </c>
      <c r="AE107" s="1">
        <f>ROUND('Wariant 3'!AE201-'Wariant 3'!AE59,2)</f>
        <v>0</v>
      </c>
      <c r="AF107" s="1">
        <f>ROUND('Wariant 3'!AF201-'Wariant 3'!AF59,2)</f>
        <v>0</v>
      </c>
      <c r="AG107" s="1">
        <f>ROUND('Wariant 3'!AG201-'Wariant 3'!AG59,2)</f>
        <v>0</v>
      </c>
      <c r="AH107" s="1">
        <f>ROUND('Wariant 3'!AH201-'Wariant 3'!AH59,2)</f>
        <v>0</v>
      </c>
      <c r="AI107" s="1">
        <f>ROUND('Wariant 3'!AI201-'Wariant 3'!AI59,2)</f>
        <v>0</v>
      </c>
      <c r="AJ107" s="1">
        <f>ROUND('Wariant 3'!AJ201-'Wariant 3'!AJ59,2)</f>
        <v>0</v>
      </c>
      <c r="AK107" s="1">
        <f>ROUND('Wariant 3'!AK201-'Wariant 3'!AK59,2)</f>
        <v>0</v>
      </c>
      <c r="AL107" s="1">
        <f>ROUND('Wariant 3'!AL201-'Wariant 3'!AL59,2)</f>
        <v>0</v>
      </c>
      <c r="AM107" s="1">
        <f>ROUND('Wariant 3'!AM201-'Wariant 3'!AM59,2)</f>
        <v>0</v>
      </c>
      <c r="AN107" s="1">
        <f>ROUND('Wariant 3'!AN201-'Wariant 3'!AN59,2)</f>
        <v>0</v>
      </c>
      <c r="AO107" s="1">
        <f>ROUND('Wariant 3'!AO201-'Wariant 3'!AO59,2)</f>
        <v>0</v>
      </c>
      <c r="AP107" s="1">
        <f>ROUND('Wariant 3'!AP201-'Wariant 3'!AP59,2)</f>
        <v>0</v>
      </c>
      <c r="AQ107" s="1">
        <f>ROUND('Wariant 3'!AQ201-'Wariant 3'!AQ59,2)</f>
        <v>0</v>
      </c>
      <c r="AR107" s="1">
        <f>ROUND('Wariant 3'!AR201-'Wariant 3'!AR59,2)</f>
        <v>0</v>
      </c>
      <c r="AS107" s="1">
        <f>ROUND('Wariant 3'!AS201-'Wariant 3'!AS59,2)</f>
        <v>0</v>
      </c>
      <c r="AT107" s="1">
        <f>ROUND('Wariant 3'!AT201-'Wariant 3'!AT59,2)</f>
        <v>0</v>
      </c>
      <c r="AU107" s="1">
        <f>ROUND('Wariant 3'!AU201-'Wariant 3'!AU59,2)</f>
        <v>0</v>
      </c>
      <c r="AV107" s="1">
        <f>ROUND('Wariant 3'!AV201-'Wariant 3'!AV59,2)</f>
        <v>0</v>
      </c>
      <c r="AW107" s="1">
        <f>ROUND('Wariant 3'!AW201-'Wariant 3'!AW59,2)</f>
        <v>0</v>
      </c>
      <c r="AX107" s="1">
        <f>ROUND('Wariant 3'!AX201-'Wariant 3'!AX59,2)</f>
        <v>0</v>
      </c>
      <c r="AY107" s="1">
        <f>ROUND('Wariant 3'!AY201-'Wariant 3'!AY59,2)</f>
        <v>0</v>
      </c>
      <c r="AZ107" s="1">
        <f>ROUND('Wariant 3'!AZ201-'Wariant 3'!AZ59,2)</f>
        <v>0</v>
      </c>
      <c r="BA107" s="1">
        <f>ROUND('Wariant 3'!BA201-'Wariant 3'!BA59,2)</f>
        <v>0</v>
      </c>
    </row>
    <row r="108" spans="2:53" ht="15.75" customHeight="1" x14ac:dyDescent="0.35">
      <c r="C108" s="5" t="s">
        <v>227</v>
      </c>
      <c r="D108" s="5"/>
      <c r="E108" s="5"/>
      <c r="F108" s="5"/>
      <c r="G108" s="5"/>
      <c r="H108" s="5"/>
      <c r="I108" s="5"/>
      <c r="J108" s="5"/>
      <c r="K108" s="5"/>
      <c r="N108" s="92" t="str">
        <f t="shared" si="6"/>
        <v>ok</v>
      </c>
      <c r="Q108" s="1">
        <f>ROUND('Wariant 3'!Q175-'Wariant 3'!Q180,2)</f>
        <v>0</v>
      </c>
      <c r="R108" s="1">
        <f>ROUND('Wariant 3'!R175-'Wariant 3'!R180,2)</f>
        <v>0</v>
      </c>
      <c r="S108" s="1">
        <f>ROUND('Wariant 3'!S175-'Wariant 3'!S180,2)</f>
        <v>0</v>
      </c>
      <c r="T108" s="1">
        <f>ROUND('Wariant 3'!T175-'Wariant 3'!T180,2)</f>
        <v>0</v>
      </c>
      <c r="U108" s="1">
        <f>ROUND('Wariant 3'!U175-'Wariant 3'!U180,2)</f>
        <v>0</v>
      </c>
      <c r="V108" s="1">
        <f>ROUND('Wariant 3'!V175-'Wariant 3'!V180,2)</f>
        <v>0</v>
      </c>
      <c r="W108" s="1">
        <f>ROUND('Wariant 3'!W175-'Wariant 3'!W180,2)</f>
        <v>0</v>
      </c>
      <c r="X108" s="1">
        <f>ROUND('Wariant 3'!X175-'Wariant 3'!X180,2)</f>
        <v>0</v>
      </c>
      <c r="Y108" s="1">
        <f>ROUND('Wariant 3'!Y175-'Wariant 3'!Y180,2)</f>
        <v>0</v>
      </c>
      <c r="Z108" s="1">
        <f>ROUND('Wariant 3'!Z175-'Wariant 3'!Z180,2)</f>
        <v>0</v>
      </c>
      <c r="AA108" s="1">
        <f>ROUND('Wariant 3'!AA175-'Wariant 3'!AA180,2)</f>
        <v>0</v>
      </c>
      <c r="AB108" s="1">
        <f>ROUND('Wariant 3'!AB175-'Wariant 3'!AB180,2)</f>
        <v>0</v>
      </c>
      <c r="AC108" s="1">
        <f>ROUND('Wariant 3'!AC175-'Wariant 3'!AC180,2)</f>
        <v>0</v>
      </c>
      <c r="AD108" s="1">
        <f>ROUND('Wariant 3'!AD175-'Wariant 3'!AD180,2)</f>
        <v>0</v>
      </c>
      <c r="AE108" s="1">
        <f>ROUND('Wariant 3'!AE175-'Wariant 3'!AE180,2)</f>
        <v>0</v>
      </c>
      <c r="AF108" s="1">
        <f>ROUND('Wariant 3'!AF175-'Wariant 3'!AF180,2)</f>
        <v>0</v>
      </c>
      <c r="AG108" s="1">
        <f>ROUND('Wariant 3'!AG175-'Wariant 3'!AG180,2)</f>
        <v>0</v>
      </c>
      <c r="AH108" s="1">
        <f>ROUND('Wariant 3'!AH175-'Wariant 3'!AH180,2)</f>
        <v>0</v>
      </c>
      <c r="AI108" s="1">
        <f>ROUND('Wariant 3'!AI175-'Wariant 3'!AI180,2)</f>
        <v>0</v>
      </c>
      <c r="AJ108" s="1">
        <f>ROUND('Wariant 3'!AJ175-'Wariant 3'!AJ180,2)</f>
        <v>0</v>
      </c>
      <c r="AK108" s="1">
        <f>ROUND('Wariant 3'!AK175-'Wariant 3'!AK180,2)</f>
        <v>0</v>
      </c>
      <c r="AL108" s="1">
        <f>ROUND('Wariant 3'!AL175-'Wariant 3'!AL180,2)</f>
        <v>0</v>
      </c>
      <c r="AM108" s="1">
        <f>ROUND('Wariant 3'!AM175-'Wariant 3'!AM180,2)</f>
        <v>0</v>
      </c>
      <c r="AN108" s="1">
        <f>ROUND('Wariant 3'!AN175-'Wariant 3'!AN180,2)</f>
        <v>0</v>
      </c>
      <c r="AO108" s="1">
        <f>ROUND('Wariant 3'!AO175-'Wariant 3'!AO180,2)</f>
        <v>0</v>
      </c>
      <c r="AP108" s="1">
        <f>ROUND('Wariant 3'!AP175-'Wariant 3'!AP180,2)</f>
        <v>0</v>
      </c>
      <c r="AQ108" s="1">
        <f>ROUND('Wariant 3'!AQ175-'Wariant 3'!AQ180,2)</f>
        <v>0</v>
      </c>
      <c r="AR108" s="1">
        <f>ROUND('Wariant 3'!AR175-'Wariant 3'!AR180,2)</f>
        <v>0</v>
      </c>
      <c r="AS108" s="1">
        <f>ROUND('Wariant 3'!AS175-'Wariant 3'!AS180,2)</f>
        <v>0</v>
      </c>
      <c r="AT108" s="1">
        <f>ROUND('Wariant 3'!AT175-'Wariant 3'!AT180,2)</f>
        <v>0</v>
      </c>
      <c r="AU108" s="1">
        <f>ROUND('Wariant 3'!AU175-'Wariant 3'!AU180,2)</f>
        <v>0</v>
      </c>
      <c r="AV108" s="1">
        <f>ROUND('Wariant 3'!AV175-'Wariant 3'!AV180,2)</f>
        <v>0</v>
      </c>
      <c r="AW108" s="1">
        <f>ROUND('Wariant 3'!AW175-'Wariant 3'!AW180,2)</f>
        <v>0</v>
      </c>
      <c r="AX108" s="1">
        <f>ROUND('Wariant 3'!AX175-'Wariant 3'!AX180,2)</f>
        <v>0</v>
      </c>
      <c r="AY108" s="1">
        <f>ROUND('Wariant 3'!AY175-'Wariant 3'!AY180,2)</f>
        <v>0</v>
      </c>
      <c r="AZ108" s="1">
        <f>ROUND('Wariant 3'!AZ175-'Wariant 3'!AZ180,2)</f>
        <v>0</v>
      </c>
      <c r="BA108" s="1">
        <f>ROUND('Wariant 3'!BA175-'Wariant 3'!BA180,2)</f>
        <v>0</v>
      </c>
    </row>
    <row r="109" spans="2:53" ht="15.75" customHeight="1" x14ac:dyDescent="0.35">
      <c r="C109" s="5"/>
      <c r="D109" s="5"/>
      <c r="E109" s="5"/>
      <c r="F109" s="5"/>
      <c r="G109" s="5"/>
      <c r="H109" s="5"/>
      <c r="I109" s="5"/>
      <c r="J109" s="5"/>
      <c r="K109" s="5"/>
    </row>
    <row r="110" spans="2:53" ht="15.75" customHeight="1" x14ac:dyDescent="0.35">
      <c r="B110" s="9" t="s">
        <v>225</v>
      </c>
      <c r="C110" s="8"/>
      <c r="D110" s="9"/>
      <c r="E110" s="9"/>
      <c r="F110" s="9"/>
      <c r="G110" s="9"/>
      <c r="H110" s="9"/>
      <c r="I110" s="9"/>
      <c r="J110" s="9"/>
      <c r="K110" s="9"/>
      <c r="L110" s="8"/>
      <c r="M110" s="8"/>
      <c r="N110" s="9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</row>
    <row r="111" spans="2:53" ht="15.75" customHeight="1" x14ac:dyDescent="0.35">
      <c r="B111" s="5"/>
      <c r="C111" s="2" t="s">
        <v>205</v>
      </c>
      <c r="D111" s="5"/>
      <c r="E111" s="5"/>
      <c r="F111" s="5"/>
      <c r="G111" s="5"/>
      <c r="H111" s="5"/>
      <c r="I111" s="5"/>
      <c r="J111" s="5"/>
      <c r="K111" s="5"/>
      <c r="N111" s="92" t="str">
        <f>IF(COUNTIFS(Q111:BA111,"&lt;&gt;"&amp;0)=0,"ok","błąd")</f>
        <v>ok</v>
      </c>
      <c r="Q111" s="1">
        <f>Wyniki!Q66-'Wariant 1'!Q$88</f>
        <v>0</v>
      </c>
      <c r="R111" s="1">
        <f>Wyniki!R66-'Wariant 1'!R$88</f>
        <v>0</v>
      </c>
      <c r="S111" s="1">
        <f>Wyniki!S66-'Wariant 1'!S$88</f>
        <v>0</v>
      </c>
      <c r="T111" s="1">
        <f>Wyniki!T66-'Wariant 1'!T$88</f>
        <v>0</v>
      </c>
      <c r="U111" s="1">
        <f>Wyniki!U66-'Wariant 1'!U$88</f>
        <v>0</v>
      </c>
      <c r="V111" s="1">
        <f>Wyniki!V66-'Wariant 1'!V$88</f>
        <v>0</v>
      </c>
      <c r="W111" s="1">
        <f>Wyniki!W66-'Wariant 1'!W$88</f>
        <v>0</v>
      </c>
      <c r="X111" s="1">
        <f>Wyniki!X66-'Wariant 1'!X$88</f>
        <v>0</v>
      </c>
      <c r="Y111" s="1">
        <f>Wyniki!Y66-'Wariant 1'!Y$88</f>
        <v>0</v>
      </c>
      <c r="Z111" s="1">
        <f>Wyniki!Z66-'Wariant 1'!Z$88</f>
        <v>0</v>
      </c>
      <c r="AA111" s="1">
        <f>Wyniki!AA66-'Wariant 1'!AA$88</f>
        <v>0</v>
      </c>
      <c r="AB111" s="1">
        <f>Wyniki!AB66-'Wariant 1'!AB$88</f>
        <v>0</v>
      </c>
      <c r="AC111" s="1">
        <f>Wyniki!AC66-'Wariant 1'!AC$88</f>
        <v>0</v>
      </c>
      <c r="AD111" s="1">
        <f>Wyniki!AD66-'Wariant 1'!AD$88</f>
        <v>0</v>
      </c>
      <c r="AE111" s="1">
        <f>Wyniki!AE66-'Wariant 1'!AE$88</f>
        <v>0</v>
      </c>
      <c r="AF111" s="1">
        <f>Wyniki!AF66-'Wariant 1'!AF$88</f>
        <v>0</v>
      </c>
      <c r="AG111" s="1">
        <f>Wyniki!AG66-'Wariant 1'!AG$88</f>
        <v>0</v>
      </c>
      <c r="AH111" s="1">
        <f>Wyniki!AH66-'Wariant 1'!AH$88</f>
        <v>0</v>
      </c>
      <c r="AI111" s="1">
        <f>Wyniki!AI66-'Wariant 1'!AI$88</f>
        <v>0</v>
      </c>
      <c r="AJ111" s="1">
        <f>Wyniki!AJ66-'Wariant 1'!AJ$88</f>
        <v>0</v>
      </c>
      <c r="AK111" s="1">
        <f>Wyniki!AK66-'Wariant 1'!AK$88</f>
        <v>0</v>
      </c>
      <c r="AL111" s="1">
        <f>Wyniki!AL66-'Wariant 1'!AL$88</f>
        <v>0</v>
      </c>
      <c r="AM111" s="1">
        <f>Wyniki!AM66-'Wariant 1'!AM$88</f>
        <v>0</v>
      </c>
      <c r="AN111" s="1">
        <f>Wyniki!AN66-'Wariant 1'!AN$88</f>
        <v>0</v>
      </c>
      <c r="AO111" s="1">
        <f>Wyniki!AO66-'Wariant 1'!AO$88</f>
        <v>0</v>
      </c>
      <c r="AP111" s="1">
        <f>Wyniki!AP66-'Wariant 1'!AP$88</f>
        <v>0</v>
      </c>
      <c r="AQ111" s="1">
        <f>Wyniki!AQ66-'Wariant 1'!AQ$88</f>
        <v>0</v>
      </c>
      <c r="AR111" s="1">
        <f>Wyniki!AR66-'Wariant 1'!AR$88</f>
        <v>0</v>
      </c>
      <c r="AS111" s="1">
        <f>Wyniki!AS66-'Wariant 1'!AS$88</f>
        <v>0</v>
      </c>
      <c r="AT111" s="1">
        <f>Wyniki!AT66-'Wariant 1'!AT$88</f>
        <v>0</v>
      </c>
      <c r="AU111" s="1">
        <f>Wyniki!AU66-'Wariant 1'!AU$88</f>
        <v>0</v>
      </c>
      <c r="AV111" s="1">
        <f>Wyniki!AV66-'Wariant 1'!AV$88</f>
        <v>0</v>
      </c>
      <c r="AW111" s="1">
        <f>Wyniki!AW66-'Wariant 1'!AW$88</f>
        <v>0</v>
      </c>
      <c r="AX111" s="1">
        <f>Wyniki!AX66-'Wariant 1'!AX$88</f>
        <v>0</v>
      </c>
      <c r="AY111" s="1">
        <f>Wyniki!AY66-'Wariant 1'!AY$88</f>
        <v>0</v>
      </c>
      <c r="AZ111" s="1">
        <f>Wyniki!AZ66-'Wariant 1'!AZ$88</f>
        <v>0</v>
      </c>
      <c r="BA111" s="1">
        <f>Wyniki!BA66-'Wariant 1'!BA$88</f>
        <v>0</v>
      </c>
    </row>
    <row r="112" spans="2:53" ht="15.75" customHeight="1" x14ac:dyDescent="0.35">
      <c r="B112" s="5"/>
      <c r="C112" s="2" t="s">
        <v>206</v>
      </c>
      <c r="D112" s="5"/>
      <c r="E112" s="5"/>
      <c r="F112" s="5"/>
      <c r="G112" s="5"/>
      <c r="H112" s="5"/>
      <c r="I112" s="5"/>
      <c r="J112" s="5"/>
      <c r="K112" s="5"/>
      <c r="N112" s="92" t="str">
        <f>IF(COUNTIFS(Q112:BA112,"&lt;&gt;"&amp;0)=0,"ok","błąd")</f>
        <v>ok</v>
      </c>
      <c r="Q112" s="1">
        <f>Wyniki!Q100-'Wariant 2'!Q$88</f>
        <v>0</v>
      </c>
      <c r="R112" s="1">
        <f>Wyniki!R100-'Wariant 2'!R$88</f>
        <v>0</v>
      </c>
      <c r="S112" s="1">
        <f>Wyniki!S100-'Wariant 2'!S$88</f>
        <v>0</v>
      </c>
      <c r="T112" s="1">
        <f>Wyniki!T100-'Wariant 2'!T$88</f>
        <v>0</v>
      </c>
      <c r="U112" s="1">
        <f>Wyniki!U100-'Wariant 2'!U$88</f>
        <v>0</v>
      </c>
      <c r="V112" s="1">
        <f>Wyniki!V100-'Wariant 2'!V$88</f>
        <v>0</v>
      </c>
      <c r="W112" s="1">
        <f>Wyniki!W100-'Wariant 2'!W$88</f>
        <v>0</v>
      </c>
      <c r="X112" s="1">
        <f>Wyniki!X100-'Wariant 2'!X$88</f>
        <v>0</v>
      </c>
      <c r="Y112" s="1">
        <f>Wyniki!Y100-'Wariant 2'!Y$88</f>
        <v>0</v>
      </c>
      <c r="Z112" s="1">
        <f>Wyniki!Z100-'Wariant 2'!Z$88</f>
        <v>0</v>
      </c>
      <c r="AA112" s="1">
        <f>Wyniki!AA100-'Wariant 2'!AA$88</f>
        <v>0</v>
      </c>
      <c r="AB112" s="1">
        <f>Wyniki!AB100-'Wariant 2'!AB$88</f>
        <v>0</v>
      </c>
      <c r="AC112" s="1">
        <f>Wyniki!AC100-'Wariant 2'!AC$88</f>
        <v>0</v>
      </c>
      <c r="AD112" s="1">
        <f>Wyniki!AD100-'Wariant 2'!AD$88</f>
        <v>0</v>
      </c>
      <c r="AE112" s="1">
        <f>Wyniki!AE100-'Wariant 2'!AE$88</f>
        <v>0</v>
      </c>
      <c r="AF112" s="1">
        <f>Wyniki!AF100-'Wariant 2'!AF$88</f>
        <v>0</v>
      </c>
      <c r="AG112" s="1">
        <f>Wyniki!AG100-'Wariant 2'!AG$88</f>
        <v>0</v>
      </c>
      <c r="AH112" s="1">
        <f>Wyniki!AH100-'Wariant 2'!AH$88</f>
        <v>0</v>
      </c>
      <c r="AI112" s="1">
        <f>Wyniki!AI100-'Wariant 2'!AI$88</f>
        <v>0</v>
      </c>
      <c r="AJ112" s="1">
        <f>Wyniki!AJ100-'Wariant 2'!AJ$88</f>
        <v>0</v>
      </c>
      <c r="AK112" s="1">
        <f>Wyniki!AK100-'Wariant 2'!AK$88</f>
        <v>0</v>
      </c>
      <c r="AL112" s="1">
        <f>Wyniki!AL100-'Wariant 2'!AL$88</f>
        <v>0</v>
      </c>
      <c r="AM112" s="1">
        <f>Wyniki!AM100-'Wariant 2'!AM$88</f>
        <v>0</v>
      </c>
      <c r="AN112" s="1">
        <f>Wyniki!AN100-'Wariant 2'!AN$88</f>
        <v>0</v>
      </c>
      <c r="AO112" s="1">
        <f>Wyniki!AO100-'Wariant 2'!AO$88</f>
        <v>0</v>
      </c>
      <c r="AP112" s="1">
        <f>Wyniki!AP100-'Wariant 2'!AP$88</f>
        <v>0</v>
      </c>
      <c r="AQ112" s="1">
        <f>Wyniki!AQ100-'Wariant 2'!AQ$88</f>
        <v>0</v>
      </c>
      <c r="AR112" s="1">
        <f>Wyniki!AR100-'Wariant 2'!AR$88</f>
        <v>0</v>
      </c>
      <c r="AS112" s="1">
        <f>Wyniki!AS100-'Wariant 2'!AS$88</f>
        <v>0</v>
      </c>
      <c r="AT112" s="1">
        <f>Wyniki!AT100-'Wariant 2'!AT$88</f>
        <v>0</v>
      </c>
      <c r="AU112" s="1">
        <f>Wyniki!AU100-'Wariant 2'!AU$88</f>
        <v>0</v>
      </c>
      <c r="AV112" s="1">
        <f>Wyniki!AV100-'Wariant 2'!AV$88</f>
        <v>0</v>
      </c>
      <c r="AW112" s="1">
        <f>Wyniki!AW100-'Wariant 2'!AW$88</f>
        <v>0</v>
      </c>
      <c r="AX112" s="1">
        <f>Wyniki!AX100-'Wariant 2'!AX$88</f>
        <v>0</v>
      </c>
      <c r="AY112" s="1">
        <f>Wyniki!AY100-'Wariant 2'!AY$88</f>
        <v>0</v>
      </c>
      <c r="AZ112" s="1">
        <f>Wyniki!AZ100-'Wariant 2'!AZ$88</f>
        <v>0</v>
      </c>
      <c r="BA112" s="1">
        <f>Wyniki!BA100-'Wariant 2'!BA$88</f>
        <v>0</v>
      </c>
    </row>
    <row r="113" spans="2:53" ht="15.75" customHeight="1" x14ac:dyDescent="0.35">
      <c r="B113" s="5"/>
      <c r="C113" s="2" t="s">
        <v>207</v>
      </c>
      <c r="D113" s="5"/>
      <c r="E113" s="5"/>
      <c r="F113" s="5"/>
      <c r="G113" s="5"/>
      <c r="H113" s="5"/>
      <c r="I113" s="5"/>
      <c r="J113" s="5"/>
      <c r="K113" s="5"/>
      <c r="N113" s="92" t="str">
        <f>IF(COUNTIFS(Q113:BA113,"&lt;&gt;"&amp;0)=0,"ok","błąd")</f>
        <v>ok</v>
      </c>
      <c r="Q113" s="1">
        <f>Wyniki!Q134-'Wariant 3'!Q$88</f>
        <v>0</v>
      </c>
      <c r="R113" s="1">
        <f>Wyniki!R134-'Wariant 3'!R$88</f>
        <v>0</v>
      </c>
      <c r="S113" s="1">
        <f>Wyniki!S134-'Wariant 3'!S$88</f>
        <v>0</v>
      </c>
      <c r="T113" s="1">
        <f>Wyniki!T134-'Wariant 3'!T$88</f>
        <v>0</v>
      </c>
      <c r="U113" s="1">
        <f>Wyniki!U134-'Wariant 3'!U$88</f>
        <v>0</v>
      </c>
      <c r="V113" s="1">
        <f>Wyniki!V134-'Wariant 3'!V$88</f>
        <v>0</v>
      </c>
      <c r="W113" s="1">
        <f>Wyniki!W134-'Wariant 3'!W$88</f>
        <v>0</v>
      </c>
      <c r="X113" s="1">
        <f>Wyniki!X134-'Wariant 3'!X$88</f>
        <v>0</v>
      </c>
      <c r="Y113" s="1">
        <f>Wyniki!Y134-'Wariant 3'!Y$88</f>
        <v>0</v>
      </c>
      <c r="Z113" s="1">
        <f>Wyniki!Z134-'Wariant 3'!Z$88</f>
        <v>0</v>
      </c>
      <c r="AA113" s="1">
        <f>Wyniki!AA134-'Wariant 3'!AA$88</f>
        <v>0</v>
      </c>
      <c r="AB113" s="1">
        <f>Wyniki!AB134-'Wariant 3'!AB$88</f>
        <v>0</v>
      </c>
      <c r="AC113" s="1">
        <f>Wyniki!AC134-'Wariant 3'!AC$88</f>
        <v>0</v>
      </c>
      <c r="AD113" s="1">
        <f>Wyniki!AD134-'Wariant 3'!AD$88</f>
        <v>0</v>
      </c>
      <c r="AE113" s="1">
        <f>Wyniki!AE134-'Wariant 3'!AE$88</f>
        <v>0</v>
      </c>
      <c r="AF113" s="1">
        <f>Wyniki!AF134-'Wariant 3'!AF$88</f>
        <v>0</v>
      </c>
      <c r="AG113" s="1">
        <f>Wyniki!AG134-'Wariant 3'!AG$88</f>
        <v>0</v>
      </c>
      <c r="AH113" s="1">
        <f>Wyniki!AH134-'Wariant 3'!AH$88</f>
        <v>0</v>
      </c>
      <c r="AI113" s="1">
        <f>Wyniki!AI134-'Wariant 3'!AI$88</f>
        <v>0</v>
      </c>
      <c r="AJ113" s="1">
        <f>Wyniki!AJ134-'Wariant 3'!AJ$88</f>
        <v>0</v>
      </c>
      <c r="AK113" s="1">
        <f>Wyniki!AK134-'Wariant 3'!AK$88</f>
        <v>0</v>
      </c>
      <c r="AL113" s="1">
        <f>Wyniki!AL134-'Wariant 3'!AL$88</f>
        <v>0</v>
      </c>
      <c r="AM113" s="1">
        <f>Wyniki!AM134-'Wariant 3'!AM$88</f>
        <v>0</v>
      </c>
      <c r="AN113" s="1">
        <f>Wyniki!AN134-'Wariant 3'!AN$88</f>
        <v>0</v>
      </c>
      <c r="AO113" s="1">
        <f>Wyniki!AO134-'Wariant 3'!AO$88</f>
        <v>0</v>
      </c>
      <c r="AP113" s="1">
        <f>Wyniki!AP134-'Wariant 3'!AP$88</f>
        <v>0</v>
      </c>
      <c r="AQ113" s="1">
        <f>Wyniki!AQ134-'Wariant 3'!AQ$88</f>
        <v>0</v>
      </c>
      <c r="AR113" s="1">
        <f>Wyniki!AR134-'Wariant 3'!AR$88</f>
        <v>0</v>
      </c>
      <c r="AS113" s="1">
        <f>Wyniki!AS134-'Wariant 3'!AS$88</f>
        <v>0</v>
      </c>
      <c r="AT113" s="1">
        <f>Wyniki!AT134-'Wariant 3'!AT$88</f>
        <v>0</v>
      </c>
      <c r="AU113" s="1">
        <f>Wyniki!AU134-'Wariant 3'!AU$88</f>
        <v>0</v>
      </c>
      <c r="AV113" s="1">
        <f>Wyniki!AV134-'Wariant 3'!AV$88</f>
        <v>0</v>
      </c>
      <c r="AW113" s="1">
        <f>Wyniki!AW134-'Wariant 3'!AW$88</f>
        <v>0</v>
      </c>
      <c r="AX113" s="1">
        <f>Wyniki!AX134-'Wariant 3'!AX$88</f>
        <v>0</v>
      </c>
      <c r="AY113" s="1">
        <f>Wyniki!AY134-'Wariant 3'!AY$88</f>
        <v>0</v>
      </c>
      <c r="AZ113" s="1">
        <f>Wyniki!AZ134-'Wariant 3'!AZ$88</f>
        <v>0</v>
      </c>
      <c r="BA113" s="1">
        <f>Wyniki!BA134-'Wariant 3'!BA$88</f>
        <v>0</v>
      </c>
    </row>
    <row r="114" spans="2:53" ht="15.75" customHeight="1" x14ac:dyDescent="0.35">
      <c r="B114" s="5"/>
      <c r="D114" s="5"/>
      <c r="E114" s="5"/>
      <c r="F114" s="5"/>
      <c r="G114" s="5"/>
      <c r="H114" s="5"/>
      <c r="I114" s="5"/>
      <c r="J114" s="5"/>
      <c r="K114" s="5"/>
      <c r="N114" s="134"/>
    </row>
    <row r="115" spans="2:53" ht="15.75" customHeight="1" x14ac:dyDescent="0.35">
      <c r="C115" s="5"/>
      <c r="D115" s="5"/>
      <c r="E115" s="5"/>
      <c r="F115" s="5"/>
      <c r="G115" s="5"/>
      <c r="H115" s="5"/>
      <c r="I115" s="5"/>
      <c r="J115" s="5"/>
      <c r="K115" s="5"/>
    </row>
    <row r="116" spans="2:53" ht="15.75" customHeight="1" x14ac:dyDescent="0.35"/>
  </sheetData>
  <conditionalFormatting sqref="N93:N96">
    <cfRule type="cellIs" dxfId="9" priority="9" operator="equal">
      <formula>"ok"</formula>
    </cfRule>
    <cfRule type="cellIs" dxfId="8" priority="10" operator="equal">
      <formula>"błąd"</formula>
    </cfRule>
  </conditionalFormatting>
  <conditionalFormatting sqref="N99:N102">
    <cfRule type="cellIs" dxfId="7" priority="7" operator="equal">
      <formula>"ok"</formula>
    </cfRule>
    <cfRule type="cellIs" dxfId="6" priority="8" operator="equal">
      <formula>"błąd"</formula>
    </cfRule>
  </conditionalFormatting>
  <conditionalFormatting sqref="N105:N108">
    <cfRule type="cellIs" dxfId="5" priority="5" operator="equal">
      <formula>"ok"</formula>
    </cfRule>
    <cfRule type="cellIs" dxfId="4" priority="6" operator="equal">
      <formula>"błąd"</formula>
    </cfRule>
  </conditionalFormatting>
  <conditionalFormatting sqref="N114">
    <cfRule type="cellIs" dxfId="3" priority="3" operator="equal">
      <formula>"ok"</formula>
    </cfRule>
    <cfRule type="cellIs" dxfId="2" priority="4" operator="equal">
      <formula>"błąd"</formula>
    </cfRule>
  </conditionalFormatting>
  <conditionalFormatting sqref="N111:N113">
    <cfRule type="cellIs" dxfId="1" priority="1" operator="equal">
      <formula>"ok"</formula>
    </cfRule>
    <cfRule type="cellIs" dxfId="0" priority="2" operator="equal">
      <formula>"błąd"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Nazwane zakresy</vt:lpstr>
      </vt:variant>
      <vt:variant>
        <vt:i4>57</vt:i4>
      </vt:variant>
    </vt:vector>
  </HeadingPairs>
  <TitlesOfParts>
    <vt:vector size="65" baseType="lpstr">
      <vt:lpstr>Wstęp</vt:lpstr>
      <vt:lpstr>Założenia</vt:lpstr>
      <vt:lpstr>Wyniki</vt:lpstr>
      <vt:lpstr>Wyniki - porównanie</vt:lpstr>
      <vt:lpstr>Wariant 1</vt:lpstr>
      <vt:lpstr>Wariant 2</vt:lpstr>
      <vt:lpstr>Wariant 3</vt:lpstr>
      <vt:lpstr>Księga założeń</vt:lpstr>
      <vt:lpstr>CIT</vt:lpstr>
      <vt:lpstr>CPI</vt:lpstr>
      <vt:lpstr>CPIc</vt:lpstr>
      <vt:lpstr>fee.w1</vt:lpstr>
      <vt:lpstr>fee.w2</vt:lpstr>
      <vt:lpstr>fee.w3</vt:lpstr>
      <vt:lpstr>irr.diff.w1</vt:lpstr>
      <vt:lpstr>irr.diff.w2</vt:lpstr>
      <vt:lpstr>irr.diff.w3</vt:lpstr>
      <vt:lpstr>IRR.goal.w1</vt:lpstr>
      <vt:lpstr>IRR.goal.w2</vt:lpstr>
      <vt:lpstr>IRR.goal.w3</vt:lpstr>
      <vt:lpstr>IRR.w1</vt:lpstr>
      <vt:lpstr>IRR.w2</vt:lpstr>
      <vt:lpstr>IRR.w3</vt:lpstr>
      <vt:lpstr>OBk.w1</vt:lpstr>
      <vt:lpstr>OBk.w2</vt:lpstr>
      <vt:lpstr>OBk.w3</vt:lpstr>
      <vt:lpstr>OBp.w1</vt:lpstr>
      <vt:lpstr>OBp.w2</vt:lpstr>
      <vt:lpstr>OBp.w3</vt:lpstr>
      <vt:lpstr>'Księga założeń'!Obszar_wydruku</vt:lpstr>
      <vt:lpstr>Wstęp!Obszar_wydruku</vt:lpstr>
      <vt:lpstr>OBt.w1</vt:lpstr>
      <vt:lpstr>OBt.w2</vt:lpstr>
      <vt:lpstr>OBt.w3</vt:lpstr>
      <vt:lpstr>OEk.w1</vt:lpstr>
      <vt:lpstr>OEk.w2</vt:lpstr>
      <vt:lpstr>OEk.w3</vt:lpstr>
      <vt:lpstr>OEp.w1</vt:lpstr>
      <vt:lpstr>OEp.w2</vt:lpstr>
      <vt:lpstr>OEp.w3</vt:lpstr>
      <vt:lpstr>OEt.w1</vt:lpstr>
      <vt:lpstr>OEt.w2</vt:lpstr>
      <vt:lpstr>OEt.w3</vt:lpstr>
      <vt:lpstr>OPk.w1</vt:lpstr>
      <vt:lpstr>OPk.w2</vt:lpstr>
      <vt:lpstr>OPk.w3</vt:lpstr>
      <vt:lpstr>OPp.w1</vt:lpstr>
      <vt:lpstr>OPp.w2</vt:lpstr>
      <vt:lpstr>OPp.w3</vt:lpstr>
      <vt:lpstr>OPt.w1</vt:lpstr>
      <vt:lpstr>OPt.w2</vt:lpstr>
      <vt:lpstr>OPt.w3</vt:lpstr>
      <vt:lpstr>PPPk.w1</vt:lpstr>
      <vt:lpstr>PPPk.w2</vt:lpstr>
      <vt:lpstr>PPPk.w3</vt:lpstr>
      <vt:lpstr>PPPp.w1</vt:lpstr>
      <vt:lpstr>PPPp.w2</vt:lpstr>
      <vt:lpstr>PPPp.w3</vt:lpstr>
      <vt:lpstr>PPPt.w1</vt:lpstr>
      <vt:lpstr>PPPt.w2</vt:lpstr>
      <vt:lpstr>PPPt.w3</vt:lpstr>
      <vt:lpstr>VAT</vt:lpstr>
      <vt:lpstr>w.1</vt:lpstr>
      <vt:lpstr>w.2</vt:lpstr>
      <vt:lpstr>w.3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Konrad Kostrzewa</dc:creator>
  <cp:lastModifiedBy>Zapora Gabriela</cp:lastModifiedBy>
  <cp:lastPrinted>2023-10-31T10:39:05Z</cp:lastPrinted>
  <dcterms:created xsi:type="dcterms:W3CDTF">2023-10-05T07:55:16Z</dcterms:created>
  <dcterms:modified xsi:type="dcterms:W3CDTF">2025-11-26T10:53:30Z</dcterms:modified>
</cp:coreProperties>
</file>